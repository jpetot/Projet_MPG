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ink/ink1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ThisWorkbook"/>
  <xr:revisionPtr revIDLastSave="0" documentId="13_ncr:1_{5826300D-5856-4160-A50F-BEB358AE421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BDD" sheetId="1" r:id="rId1"/>
    <sheet name="CalculCotation" sheetId="3" r:id="rId2"/>
    <sheet name="ButsMPG + Var" sheetId="2" r:id="rId3"/>
    <sheet name="PrixMini" sheetId="4" r:id="rId4"/>
    <sheet name="Calculs" sheetId="5" r:id="rId5"/>
    <sheet name="Mer" sheetId="7" r:id="rId6"/>
    <sheet name="Mercato" sheetId="6" r:id="rId7"/>
  </sheets>
  <definedNames>
    <definedName name="_xlnm._FilterDatabase" localSheetId="4" hidden="1">Calculs!$A$2:$K$2</definedName>
    <definedName name="_xlnm._FilterDatabase" localSheetId="5" hidden="1">Mer!$A$3:$M$3</definedName>
    <definedName name="_xlnm._FilterDatabase" localSheetId="6" hidden="1">Mercato!$A$8:$O$208</definedName>
    <definedName name="_xlnm._FilterDatabase" localSheetId="3" hidden="1">PrixMini!$B$2:$F$599</definedName>
    <definedName name="solver_adj" localSheetId="6" hidden="1">Mercato!$N$9:$N$208</definedName>
    <definedName name="solver_cvg" localSheetId="6" hidden="1">0.0001</definedName>
    <definedName name="solver_drv" localSheetId="6" hidden="1">1</definedName>
    <definedName name="solver_eng" localSheetId="6" hidden="1">2</definedName>
    <definedName name="solver_est" localSheetId="6" hidden="1">1</definedName>
    <definedName name="solver_itr" localSheetId="6" hidden="1">2147483647</definedName>
    <definedName name="solver_lhs1" localSheetId="6" hidden="1">Mercato!$D$3</definedName>
    <definedName name="solver_lhs2" localSheetId="6" hidden="1">Mercato!$D$4</definedName>
    <definedName name="solver_lhs3" localSheetId="6" hidden="1">Mercato!$D$5</definedName>
    <definedName name="solver_lhs4" localSheetId="6" hidden="1">Mercato!$D$6</definedName>
    <definedName name="solver_lhs5" localSheetId="6" hidden="1">Mercato!$K$5</definedName>
    <definedName name="solver_lhs6" localSheetId="6" hidden="1">Mercato!$N$9:$N$208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6</definedName>
    <definedName name="solver_nwt" localSheetId="6" hidden="1">1</definedName>
    <definedName name="solver_opt" localSheetId="6" hidden="1">Mercato!$K$2</definedName>
    <definedName name="solver_pre" localSheetId="6" hidden="1">0.000001</definedName>
    <definedName name="solver_rbv" localSheetId="6" hidden="1">1</definedName>
    <definedName name="solver_rel1" localSheetId="6" hidden="1">2</definedName>
    <definedName name="solver_rel2" localSheetId="6" hidden="1">2</definedName>
    <definedName name="solver_rel3" localSheetId="6" hidden="1">2</definedName>
    <definedName name="solver_rel4" localSheetId="6" hidden="1">2</definedName>
    <definedName name="solver_rel5" localSheetId="6" hidden="1">1</definedName>
    <definedName name="solver_rel6" localSheetId="6" hidden="1">5</definedName>
    <definedName name="solver_rhs1" localSheetId="6" hidden="1">Mercato!$C$3</definedName>
    <definedName name="solver_rhs2" localSheetId="6" hidden="1">Mercato!$C$4</definedName>
    <definedName name="solver_rhs3" localSheetId="6" hidden="1">Mercato!$C$5</definedName>
    <definedName name="solver_rhs4" localSheetId="6" hidden="1">Mercato!$C$6</definedName>
    <definedName name="solver_rhs5" localSheetId="6" hidden="1">Mercato!$K$4</definedName>
    <definedName name="solver_rhs6" localSheetId="6" hidden="1">binaire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6" l="1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9" i="6"/>
  <c r="D6" i="6" l="1"/>
  <c r="D5" i="6"/>
  <c r="D4" i="6"/>
  <c r="D3" i="6"/>
  <c r="K5" i="6"/>
  <c r="K2" i="6"/>
  <c r="G2" i="6" l="1"/>
  <c r="H37" i="2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5" i="3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5" i="3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B46" i="2"/>
  <c r="B3" i="5"/>
  <c r="J325" i="5" l="1"/>
  <c r="J19" i="5"/>
  <c r="J648" i="5"/>
  <c r="J636" i="5"/>
  <c r="J624" i="5"/>
  <c r="J612" i="5"/>
  <c r="J604" i="5"/>
  <c r="J592" i="5"/>
  <c r="J580" i="5"/>
  <c r="J551" i="5"/>
  <c r="J519" i="5"/>
  <c r="J495" i="5"/>
  <c r="J471" i="5"/>
  <c r="J447" i="5"/>
  <c r="J423" i="5"/>
  <c r="J399" i="5"/>
  <c r="J375" i="5"/>
  <c r="J343" i="5"/>
  <c r="J644" i="5"/>
  <c r="J632" i="5"/>
  <c r="J620" i="5"/>
  <c r="J608" i="5"/>
  <c r="J596" i="5"/>
  <c r="J588" i="5"/>
  <c r="J575" i="5"/>
  <c r="J559" i="5"/>
  <c r="J535" i="5"/>
  <c r="J511" i="5"/>
  <c r="J479" i="5"/>
  <c r="J455" i="5"/>
  <c r="J431" i="5"/>
  <c r="J407" i="5"/>
  <c r="J383" i="5"/>
  <c r="J359" i="5"/>
  <c r="J327" i="5"/>
  <c r="J295" i="5"/>
  <c r="J279" i="5"/>
  <c r="J227" i="5"/>
  <c r="J163" i="5"/>
  <c r="J99" i="5"/>
  <c r="J67" i="5"/>
  <c r="J35" i="5"/>
  <c r="J3" i="5"/>
  <c r="J647" i="5"/>
  <c r="J643" i="5"/>
  <c r="J639" i="5"/>
  <c r="J635" i="5"/>
  <c r="J631" i="5"/>
  <c r="J623" i="5"/>
  <c r="J615" i="5"/>
  <c r="J607" i="5"/>
  <c r="J603" i="5"/>
  <c r="J595" i="5"/>
  <c r="J587" i="5"/>
  <c r="J579" i="5"/>
  <c r="J574" i="5"/>
  <c r="J566" i="5"/>
  <c r="J558" i="5"/>
  <c r="J550" i="5"/>
  <c r="J542" i="5"/>
  <c r="J534" i="5"/>
  <c r="J526" i="5"/>
  <c r="J518" i="5"/>
  <c r="J510" i="5"/>
  <c r="J502" i="5"/>
  <c r="J494" i="5"/>
  <c r="J486" i="5"/>
  <c r="J478" i="5"/>
  <c r="J470" i="5"/>
  <c r="J462" i="5"/>
  <c r="J454" i="5"/>
  <c r="J446" i="5"/>
  <c r="J438" i="5"/>
  <c r="J430" i="5"/>
  <c r="J422" i="5"/>
  <c r="J414" i="5"/>
  <c r="J406" i="5"/>
  <c r="J398" i="5"/>
  <c r="J390" i="5"/>
  <c r="J382" i="5"/>
  <c r="J374" i="5"/>
  <c r="J366" i="5"/>
  <c r="J358" i="5"/>
  <c r="J350" i="5"/>
  <c r="J341" i="5"/>
  <c r="J309" i="5"/>
  <c r="J293" i="5"/>
  <c r="J277" i="5"/>
  <c r="J255" i="5"/>
  <c r="J223" i="5"/>
  <c r="J191" i="5"/>
  <c r="J159" i="5"/>
  <c r="J127" i="5"/>
  <c r="J95" i="5"/>
  <c r="J63" i="5"/>
  <c r="J31" i="5"/>
  <c r="J650" i="5"/>
  <c r="J646" i="5"/>
  <c r="J642" i="5"/>
  <c r="J638" i="5"/>
  <c r="J634" i="5"/>
  <c r="J630" i="5"/>
  <c r="J626" i="5"/>
  <c r="J622" i="5"/>
  <c r="J618" i="5"/>
  <c r="J614" i="5"/>
  <c r="J610" i="5"/>
  <c r="J606" i="5"/>
  <c r="J602" i="5"/>
  <c r="J598" i="5"/>
  <c r="J594" i="5"/>
  <c r="J590" i="5"/>
  <c r="J586" i="5"/>
  <c r="J582" i="5"/>
  <c r="J578" i="5"/>
  <c r="J571" i="5"/>
  <c r="J563" i="5"/>
  <c r="J555" i="5"/>
  <c r="J547" i="5"/>
  <c r="J539" i="5"/>
  <c r="J531" i="5"/>
  <c r="J523" i="5"/>
  <c r="J515" i="5"/>
  <c r="J507" i="5"/>
  <c r="J499" i="5"/>
  <c r="J491" i="5"/>
  <c r="J483" i="5"/>
  <c r="J475" i="5"/>
  <c r="J467" i="5"/>
  <c r="J459" i="5"/>
  <c r="J451" i="5"/>
  <c r="J443" i="5"/>
  <c r="J435" i="5"/>
  <c r="J427" i="5"/>
  <c r="J419" i="5"/>
  <c r="J411" i="5"/>
  <c r="J403" i="5"/>
  <c r="J395" i="5"/>
  <c r="J387" i="5"/>
  <c r="J379" i="5"/>
  <c r="J371" i="5"/>
  <c r="J363" i="5"/>
  <c r="J355" i="5"/>
  <c r="J347" i="5"/>
  <c r="J335" i="5"/>
  <c r="J319" i="5"/>
  <c r="J303" i="5"/>
  <c r="J287" i="5"/>
  <c r="J271" i="5"/>
  <c r="J243" i="5"/>
  <c r="J211" i="5"/>
  <c r="J179" i="5"/>
  <c r="J147" i="5"/>
  <c r="J115" i="5"/>
  <c r="J83" i="5"/>
  <c r="J51" i="5"/>
  <c r="J640" i="5"/>
  <c r="J628" i="5"/>
  <c r="J616" i="5"/>
  <c r="J600" i="5"/>
  <c r="J584" i="5"/>
  <c r="J567" i="5"/>
  <c r="J543" i="5"/>
  <c r="J527" i="5"/>
  <c r="J503" i="5"/>
  <c r="J487" i="5"/>
  <c r="J463" i="5"/>
  <c r="J439" i="5"/>
  <c r="J415" i="5"/>
  <c r="J391" i="5"/>
  <c r="J367" i="5"/>
  <c r="J351" i="5"/>
  <c r="J311" i="5"/>
  <c r="J259" i="5"/>
  <c r="J195" i="5"/>
  <c r="J131" i="5"/>
  <c r="J627" i="5"/>
  <c r="J619" i="5"/>
  <c r="J611" i="5"/>
  <c r="J599" i="5"/>
  <c r="J591" i="5"/>
  <c r="J583" i="5"/>
  <c r="J4" i="5"/>
  <c r="J8" i="5"/>
  <c r="J12" i="5"/>
  <c r="J16" i="5"/>
  <c r="J20" i="5"/>
  <c r="J24" i="5"/>
  <c r="J28" i="5"/>
  <c r="J32" i="5"/>
  <c r="J36" i="5"/>
  <c r="J40" i="5"/>
  <c r="J44" i="5"/>
  <c r="J48" i="5"/>
  <c r="J52" i="5"/>
  <c r="J56" i="5"/>
  <c r="J60" i="5"/>
  <c r="J64" i="5"/>
  <c r="J68" i="5"/>
  <c r="J72" i="5"/>
  <c r="J76" i="5"/>
  <c r="J80" i="5"/>
  <c r="J84" i="5"/>
  <c r="J88" i="5"/>
  <c r="J92" i="5"/>
  <c r="J96" i="5"/>
  <c r="J100" i="5"/>
  <c r="J104" i="5"/>
  <c r="J108" i="5"/>
  <c r="J112" i="5"/>
  <c r="J116" i="5"/>
  <c r="J120" i="5"/>
  <c r="J124" i="5"/>
  <c r="J128" i="5"/>
  <c r="J132" i="5"/>
  <c r="J136" i="5"/>
  <c r="J140" i="5"/>
  <c r="J144" i="5"/>
  <c r="J148" i="5"/>
  <c r="J152" i="5"/>
  <c r="J156" i="5"/>
  <c r="J160" i="5"/>
  <c r="J164" i="5"/>
  <c r="J168" i="5"/>
  <c r="J172" i="5"/>
  <c r="J176" i="5"/>
  <c r="J180" i="5"/>
  <c r="J184" i="5"/>
  <c r="J188" i="5"/>
  <c r="J192" i="5"/>
  <c r="J196" i="5"/>
  <c r="J200" i="5"/>
  <c r="J204" i="5"/>
  <c r="J208" i="5"/>
  <c r="J212" i="5"/>
  <c r="J216" i="5"/>
  <c r="J220" i="5"/>
  <c r="J224" i="5"/>
  <c r="J228" i="5"/>
  <c r="J232" i="5"/>
  <c r="J236" i="5"/>
  <c r="J240" i="5"/>
  <c r="J244" i="5"/>
  <c r="J248" i="5"/>
  <c r="J252" i="5"/>
  <c r="J256" i="5"/>
  <c r="J260" i="5"/>
  <c r="J264" i="5"/>
  <c r="J268" i="5"/>
  <c r="J272" i="5"/>
  <c r="J276" i="5"/>
  <c r="J280" i="5"/>
  <c r="J284" i="5"/>
  <c r="J288" i="5"/>
  <c r="J292" i="5"/>
  <c r="J296" i="5"/>
  <c r="J300" i="5"/>
  <c r="J304" i="5"/>
  <c r="J308" i="5"/>
  <c r="J312" i="5"/>
  <c r="J316" i="5"/>
  <c r="J320" i="5"/>
  <c r="J324" i="5"/>
  <c r="J328" i="5"/>
  <c r="J332" i="5"/>
  <c r="J336" i="5"/>
  <c r="J340" i="5"/>
  <c r="J5" i="5"/>
  <c r="J9" i="5"/>
  <c r="J13" i="5"/>
  <c r="J17" i="5"/>
  <c r="J21" i="5"/>
  <c r="J25" i="5"/>
  <c r="J29" i="5"/>
  <c r="J33" i="5"/>
  <c r="J37" i="5"/>
  <c r="J41" i="5"/>
  <c r="J45" i="5"/>
  <c r="J49" i="5"/>
  <c r="J53" i="5"/>
  <c r="J57" i="5"/>
  <c r="J61" i="5"/>
  <c r="J65" i="5"/>
  <c r="J69" i="5"/>
  <c r="J73" i="5"/>
  <c r="J77" i="5"/>
  <c r="J81" i="5"/>
  <c r="J85" i="5"/>
  <c r="J89" i="5"/>
  <c r="J93" i="5"/>
  <c r="J97" i="5"/>
  <c r="J101" i="5"/>
  <c r="J105" i="5"/>
  <c r="J109" i="5"/>
  <c r="J113" i="5"/>
  <c r="J117" i="5"/>
  <c r="J121" i="5"/>
  <c r="J125" i="5"/>
  <c r="J129" i="5"/>
  <c r="J133" i="5"/>
  <c r="J137" i="5"/>
  <c r="J141" i="5"/>
  <c r="J145" i="5"/>
  <c r="J149" i="5"/>
  <c r="J153" i="5"/>
  <c r="J157" i="5"/>
  <c r="J161" i="5"/>
  <c r="J165" i="5"/>
  <c r="J169" i="5"/>
  <c r="J173" i="5"/>
  <c r="J177" i="5"/>
  <c r="J181" i="5"/>
  <c r="J185" i="5"/>
  <c r="J189" i="5"/>
  <c r="J193" i="5"/>
  <c r="J197" i="5"/>
  <c r="J201" i="5"/>
  <c r="J205" i="5"/>
  <c r="J209" i="5"/>
  <c r="J213" i="5"/>
  <c r="J217" i="5"/>
  <c r="J221" i="5"/>
  <c r="J225" i="5"/>
  <c r="J229" i="5"/>
  <c r="J233" i="5"/>
  <c r="J237" i="5"/>
  <c r="J241" i="5"/>
  <c r="J245" i="5"/>
  <c r="J249" i="5"/>
  <c r="J253" i="5"/>
  <c r="J257" i="5"/>
  <c r="J261" i="5"/>
  <c r="J265" i="5"/>
  <c r="J6" i="5"/>
  <c r="J10" i="5"/>
  <c r="J14" i="5"/>
  <c r="J18" i="5"/>
  <c r="J22" i="5"/>
  <c r="J26" i="5"/>
  <c r="J30" i="5"/>
  <c r="J34" i="5"/>
  <c r="J38" i="5"/>
  <c r="J42" i="5"/>
  <c r="J46" i="5"/>
  <c r="J50" i="5"/>
  <c r="J54" i="5"/>
  <c r="J58" i="5"/>
  <c r="J62" i="5"/>
  <c r="J66" i="5"/>
  <c r="J70" i="5"/>
  <c r="J74" i="5"/>
  <c r="J78" i="5"/>
  <c r="J82" i="5"/>
  <c r="J86" i="5"/>
  <c r="J90" i="5"/>
  <c r="J94" i="5"/>
  <c r="J98" i="5"/>
  <c r="J102" i="5"/>
  <c r="J106" i="5"/>
  <c r="J110" i="5"/>
  <c r="J114" i="5"/>
  <c r="J118" i="5"/>
  <c r="J122" i="5"/>
  <c r="J126" i="5"/>
  <c r="J130" i="5"/>
  <c r="J134" i="5"/>
  <c r="J138" i="5"/>
  <c r="J142" i="5"/>
  <c r="J146" i="5"/>
  <c r="J150" i="5"/>
  <c r="J154" i="5"/>
  <c r="J158" i="5"/>
  <c r="J162" i="5"/>
  <c r="J166" i="5"/>
  <c r="J170" i="5"/>
  <c r="J174" i="5"/>
  <c r="J178" i="5"/>
  <c r="J182" i="5"/>
  <c r="J186" i="5"/>
  <c r="J190" i="5"/>
  <c r="J194" i="5"/>
  <c r="J198" i="5"/>
  <c r="J202" i="5"/>
  <c r="J206" i="5"/>
  <c r="J210" i="5"/>
  <c r="J214" i="5"/>
  <c r="J218" i="5"/>
  <c r="J222" i="5"/>
  <c r="J226" i="5"/>
  <c r="J230" i="5"/>
  <c r="J234" i="5"/>
  <c r="J238" i="5"/>
  <c r="J242" i="5"/>
  <c r="J246" i="5"/>
  <c r="J250" i="5"/>
  <c r="J254" i="5"/>
  <c r="J258" i="5"/>
  <c r="J262" i="5"/>
  <c r="J266" i="5"/>
  <c r="J270" i="5"/>
  <c r="J274" i="5"/>
  <c r="J278" i="5"/>
  <c r="J282" i="5"/>
  <c r="J286" i="5"/>
  <c r="J290" i="5"/>
  <c r="J294" i="5"/>
  <c r="J298" i="5"/>
  <c r="J302" i="5"/>
  <c r="J306" i="5"/>
  <c r="J310" i="5"/>
  <c r="J314" i="5"/>
  <c r="J318" i="5"/>
  <c r="J322" i="5"/>
  <c r="J326" i="5"/>
  <c r="J330" i="5"/>
  <c r="J334" i="5"/>
  <c r="J338" i="5"/>
  <c r="J342" i="5"/>
  <c r="J7" i="5"/>
  <c r="J23" i="5"/>
  <c r="J39" i="5"/>
  <c r="J55" i="5"/>
  <c r="J71" i="5"/>
  <c r="J87" i="5"/>
  <c r="J103" i="5"/>
  <c r="J119" i="5"/>
  <c r="J135" i="5"/>
  <c r="J151" i="5"/>
  <c r="J167" i="5"/>
  <c r="J183" i="5"/>
  <c r="J199" i="5"/>
  <c r="J215" i="5"/>
  <c r="J231" i="5"/>
  <c r="J247" i="5"/>
  <c r="J263" i="5"/>
  <c r="J273" i="5"/>
  <c r="J281" i="5"/>
  <c r="J289" i="5"/>
  <c r="J297" i="5"/>
  <c r="J305" i="5"/>
  <c r="J313" i="5"/>
  <c r="J321" i="5"/>
  <c r="J329" i="5"/>
  <c r="J337" i="5"/>
  <c r="J344" i="5"/>
  <c r="J348" i="5"/>
  <c r="J352" i="5"/>
  <c r="J356" i="5"/>
  <c r="J360" i="5"/>
  <c r="J364" i="5"/>
  <c r="J368" i="5"/>
  <c r="J372" i="5"/>
  <c r="J376" i="5"/>
  <c r="J380" i="5"/>
  <c r="J384" i="5"/>
  <c r="J388" i="5"/>
  <c r="J392" i="5"/>
  <c r="J396" i="5"/>
  <c r="J400" i="5"/>
  <c r="J404" i="5"/>
  <c r="J408" i="5"/>
  <c r="J412" i="5"/>
  <c r="J416" i="5"/>
  <c r="J420" i="5"/>
  <c r="J424" i="5"/>
  <c r="J428" i="5"/>
  <c r="J432" i="5"/>
  <c r="J436" i="5"/>
  <c r="J440" i="5"/>
  <c r="J444" i="5"/>
  <c r="J448" i="5"/>
  <c r="J452" i="5"/>
  <c r="J456" i="5"/>
  <c r="J460" i="5"/>
  <c r="J464" i="5"/>
  <c r="J468" i="5"/>
  <c r="J472" i="5"/>
  <c r="J476" i="5"/>
  <c r="J480" i="5"/>
  <c r="J484" i="5"/>
  <c r="J488" i="5"/>
  <c r="J492" i="5"/>
  <c r="J496" i="5"/>
  <c r="J500" i="5"/>
  <c r="J504" i="5"/>
  <c r="J508" i="5"/>
  <c r="J512" i="5"/>
  <c r="J516" i="5"/>
  <c r="J520" i="5"/>
  <c r="J524" i="5"/>
  <c r="J528" i="5"/>
  <c r="J532" i="5"/>
  <c r="J536" i="5"/>
  <c r="J540" i="5"/>
  <c r="J544" i="5"/>
  <c r="J548" i="5"/>
  <c r="J552" i="5"/>
  <c r="J556" i="5"/>
  <c r="J560" i="5"/>
  <c r="J564" i="5"/>
  <c r="J568" i="5"/>
  <c r="J572" i="5"/>
  <c r="J11" i="5"/>
  <c r="J27" i="5"/>
  <c r="J43" i="5"/>
  <c r="J59" i="5"/>
  <c r="J75" i="5"/>
  <c r="J91" i="5"/>
  <c r="J107" i="5"/>
  <c r="J123" i="5"/>
  <c r="J139" i="5"/>
  <c r="J155" i="5"/>
  <c r="J171" i="5"/>
  <c r="J187" i="5"/>
  <c r="J203" i="5"/>
  <c r="J219" i="5"/>
  <c r="J235" i="5"/>
  <c r="J251" i="5"/>
  <c r="J267" i="5"/>
  <c r="J275" i="5"/>
  <c r="J283" i="5"/>
  <c r="J291" i="5"/>
  <c r="J299" i="5"/>
  <c r="J307" i="5"/>
  <c r="J315" i="5"/>
  <c r="J323" i="5"/>
  <c r="J331" i="5"/>
  <c r="J339" i="5"/>
  <c r="J345" i="5"/>
  <c r="J349" i="5"/>
  <c r="J353" i="5"/>
  <c r="J357" i="5"/>
  <c r="J361" i="5"/>
  <c r="J365" i="5"/>
  <c r="J369" i="5"/>
  <c r="J373" i="5"/>
  <c r="J377" i="5"/>
  <c r="J381" i="5"/>
  <c r="J385" i="5"/>
  <c r="J389" i="5"/>
  <c r="J393" i="5"/>
  <c r="J397" i="5"/>
  <c r="J401" i="5"/>
  <c r="J405" i="5"/>
  <c r="J409" i="5"/>
  <c r="J413" i="5"/>
  <c r="J417" i="5"/>
  <c r="J421" i="5"/>
  <c r="J425" i="5"/>
  <c r="J429" i="5"/>
  <c r="J433" i="5"/>
  <c r="J437" i="5"/>
  <c r="J441" i="5"/>
  <c r="J445" i="5"/>
  <c r="J449" i="5"/>
  <c r="J453" i="5"/>
  <c r="J457" i="5"/>
  <c r="J461" i="5"/>
  <c r="J465" i="5"/>
  <c r="J469" i="5"/>
  <c r="J473" i="5"/>
  <c r="J477" i="5"/>
  <c r="J481" i="5"/>
  <c r="J485" i="5"/>
  <c r="J489" i="5"/>
  <c r="J493" i="5"/>
  <c r="J497" i="5"/>
  <c r="J501" i="5"/>
  <c r="J505" i="5"/>
  <c r="J509" i="5"/>
  <c r="J513" i="5"/>
  <c r="J517" i="5"/>
  <c r="J521" i="5"/>
  <c r="J525" i="5"/>
  <c r="J529" i="5"/>
  <c r="J533" i="5"/>
  <c r="J537" i="5"/>
  <c r="J541" i="5"/>
  <c r="J545" i="5"/>
  <c r="J549" i="5"/>
  <c r="J553" i="5"/>
  <c r="J557" i="5"/>
  <c r="J561" i="5"/>
  <c r="J565" i="5"/>
  <c r="J569" i="5"/>
  <c r="J573" i="5"/>
  <c r="J577" i="5"/>
  <c r="J649" i="5"/>
  <c r="J645" i="5"/>
  <c r="J641" i="5"/>
  <c r="J637" i="5"/>
  <c r="J633" i="5"/>
  <c r="J629" i="5"/>
  <c r="J625" i="5"/>
  <c r="J621" i="5"/>
  <c r="J617" i="5"/>
  <c r="J613" i="5"/>
  <c r="J609" i="5"/>
  <c r="J605" i="5"/>
  <c r="J601" i="5"/>
  <c r="J597" i="5"/>
  <c r="J593" i="5"/>
  <c r="J589" i="5"/>
  <c r="J585" i="5"/>
  <c r="J581" i="5"/>
  <c r="J576" i="5"/>
  <c r="J570" i="5"/>
  <c r="J562" i="5"/>
  <c r="J554" i="5"/>
  <c r="J546" i="5"/>
  <c r="J538" i="5"/>
  <c r="J530" i="5"/>
  <c r="J522" i="5"/>
  <c r="J514" i="5"/>
  <c r="J506" i="5"/>
  <c r="J498" i="5"/>
  <c r="J490" i="5"/>
  <c r="J482" i="5"/>
  <c r="J474" i="5"/>
  <c r="J466" i="5"/>
  <c r="J458" i="5"/>
  <c r="J450" i="5"/>
  <c r="J442" i="5"/>
  <c r="J434" i="5"/>
  <c r="J426" i="5"/>
  <c r="J418" i="5"/>
  <c r="J410" i="5"/>
  <c r="J402" i="5"/>
  <c r="J394" i="5"/>
  <c r="J386" i="5"/>
  <c r="J378" i="5"/>
  <c r="J370" i="5"/>
  <c r="J362" i="5"/>
  <c r="J354" i="5"/>
  <c r="J346" i="5"/>
  <c r="J333" i="5"/>
  <c r="J317" i="5"/>
  <c r="J301" i="5"/>
  <c r="J285" i="5"/>
  <c r="J269" i="5"/>
  <c r="J239" i="5"/>
  <c r="J207" i="5"/>
  <c r="J175" i="5"/>
  <c r="J143" i="5"/>
  <c r="J111" i="5"/>
  <c r="J79" i="5"/>
  <c r="J47" i="5"/>
  <c r="J15" i="5"/>
  <c r="L3" i="5"/>
  <c r="F3" i="5" l="1"/>
  <c r="E4" i="5" l="1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I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I600" i="5"/>
  <c r="E601" i="5"/>
  <c r="F601" i="5"/>
  <c r="I601" i="5"/>
  <c r="E602" i="5"/>
  <c r="F602" i="5"/>
  <c r="I602" i="5"/>
  <c r="E603" i="5"/>
  <c r="F603" i="5"/>
  <c r="I603" i="5"/>
  <c r="E604" i="5"/>
  <c r="F604" i="5"/>
  <c r="I604" i="5"/>
  <c r="E605" i="5"/>
  <c r="F605" i="5"/>
  <c r="I605" i="5"/>
  <c r="E606" i="5"/>
  <c r="F606" i="5"/>
  <c r="I606" i="5"/>
  <c r="E607" i="5"/>
  <c r="F607" i="5"/>
  <c r="I607" i="5"/>
  <c r="E608" i="5"/>
  <c r="F608" i="5"/>
  <c r="I608" i="5"/>
  <c r="E609" i="5"/>
  <c r="F609" i="5"/>
  <c r="I609" i="5"/>
  <c r="E610" i="5"/>
  <c r="F610" i="5"/>
  <c r="I610" i="5"/>
  <c r="E611" i="5"/>
  <c r="F611" i="5"/>
  <c r="I611" i="5"/>
  <c r="E612" i="5"/>
  <c r="F612" i="5"/>
  <c r="I612" i="5"/>
  <c r="E613" i="5"/>
  <c r="F613" i="5"/>
  <c r="I613" i="5"/>
  <c r="E614" i="5"/>
  <c r="F614" i="5"/>
  <c r="I614" i="5"/>
  <c r="E615" i="5"/>
  <c r="F615" i="5"/>
  <c r="I615" i="5"/>
  <c r="E616" i="5"/>
  <c r="F616" i="5"/>
  <c r="I616" i="5"/>
  <c r="E617" i="5"/>
  <c r="F617" i="5"/>
  <c r="I617" i="5"/>
  <c r="E618" i="5"/>
  <c r="F618" i="5"/>
  <c r="I618" i="5"/>
  <c r="E619" i="5"/>
  <c r="F619" i="5"/>
  <c r="I619" i="5"/>
  <c r="E620" i="5"/>
  <c r="F620" i="5"/>
  <c r="I620" i="5"/>
  <c r="E621" i="5"/>
  <c r="F621" i="5"/>
  <c r="I621" i="5"/>
  <c r="E622" i="5"/>
  <c r="F622" i="5"/>
  <c r="I622" i="5"/>
  <c r="E623" i="5"/>
  <c r="F623" i="5"/>
  <c r="I623" i="5"/>
  <c r="E624" i="5"/>
  <c r="F624" i="5"/>
  <c r="I624" i="5"/>
  <c r="E625" i="5"/>
  <c r="F625" i="5"/>
  <c r="I625" i="5"/>
  <c r="E626" i="5"/>
  <c r="F626" i="5"/>
  <c r="I626" i="5"/>
  <c r="E627" i="5"/>
  <c r="F627" i="5"/>
  <c r="I627" i="5"/>
  <c r="E628" i="5"/>
  <c r="F628" i="5"/>
  <c r="I628" i="5"/>
  <c r="E629" i="5"/>
  <c r="F629" i="5"/>
  <c r="I629" i="5"/>
  <c r="E630" i="5"/>
  <c r="F630" i="5"/>
  <c r="I630" i="5"/>
  <c r="E631" i="5"/>
  <c r="F631" i="5"/>
  <c r="I631" i="5"/>
  <c r="E632" i="5"/>
  <c r="F632" i="5"/>
  <c r="I632" i="5"/>
  <c r="E633" i="5"/>
  <c r="F633" i="5"/>
  <c r="I633" i="5"/>
  <c r="E634" i="5"/>
  <c r="F634" i="5"/>
  <c r="I634" i="5"/>
  <c r="E635" i="5"/>
  <c r="F635" i="5"/>
  <c r="I635" i="5"/>
  <c r="E636" i="5"/>
  <c r="F636" i="5"/>
  <c r="I636" i="5"/>
  <c r="E637" i="5"/>
  <c r="F637" i="5"/>
  <c r="I637" i="5"/>
  <c r="E638" i="5"/>
  <c r="F638" i="5"/>
  <c r="I638" i="5"/>
  <c r="E639" i="5"/>
  <c r="F639" i="5"/>
  <c r="I639" i="5"/>
  <c r="E640" i="5"/>
  <c r="F640" i="5"/>
  <c r="I640" i="5"/>
  <c r="E641" i="5"/>
  <c r="F641" i="5"/>
  <c r="I641" i="5"/>
  <c r="E642" i="5"/>
  <c r="F642" i="5"/>
  <c r="I642" i="5"/>
  <c r="E643" i="5"/>
  <c r="F643" i="5"/>
  <c r="I643" i="5"/>
  <c r="E644" i="5"/>
  <c r="F644" i="5"/>
  <c r="I644" i="5"/>
  <c r="E645" i="5"/>
  <c r="F645" i="5"/>
  <c r="I645" i="5"/>
  <c r="E646" i="5"/>
  <c r="F646" i="5"/>
  <c r="I646" i="5"/>
  <c r="E647" i="5"/>
  <c r="F647" i="5"/>
  <c r="I647" i="5"/>
  <c r="E648" i="5"/>
  <c r="F648" i="5"/>
  <c r="I648" i="5"/>
  <c r="E649" i="5"/>
  <c r="F649" i="5"/>
  <c r="I649" i="5"/>
  <c r="E650" i="5"/>
  <c r="F650" i="5"/>
  <c r="I650" i="5"/>
  <c r="E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3" i="5"/>
  <c r="C4" i="5"/>
  <c r="G4" i="5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G453" i="5" s="1"/>
  <c r="C454" i="5"/>
  <c r="G454" i="5" s="1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G478" i="5" s="1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G513" i="5" s="1"/>
  <c r="C514" i="5"/>
  <c r="G514" i="5" s="1"/>
  <c r="C515" i="5"/>
  <c r="G515" i="5" s="1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G541" i="5" s="1"/>
  <c r="C542" i="5"/>
  <c r="G542" i="5" s="1"/>
  <c r="C543" i="5"/>
  <c r="G543" i="5" s="1"/>
  <c r="C544" i="5"/>
  <c r="G544" i="5" s="1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G574" i="5" s="1"/>
  <c r="C575" i="5"/>
  <c r="G575" i="5" s="1"/>
  <c r="C576" i="5"/>
  <c r="G576" i="5" s="1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G600" i="5" s="1"/>
  <c r="C601" i="5"/>
  <c r="G601" i="5" s="1"/>
  <c r="C602" i="5"/>
  <c r="G602" i="5" s="1"/>
  <c r="C603" i="5"/>
  <c r="G603" i="5" s="1"/>
  <c r="C604" i="5"/>
  <c r="G604" i="5" s="1"/>
  <c r="C605" i="5"/>
  <c r="G605" i="5" s="1"/>
  <c r="C606" i="5"/>
  <c r="G606" i="5" s="1"/>
  <c r="C607" i="5"/>
  <c r="G607" i="5" s="1"/>
  <c r="C608" i="5"/>
  <c r="G608" i="5" s="1"/>
  <c r="C609" i="5"/>
  <c r="G609" i="5" s="1"/>
  <c r="C610" i="5"/>
  <c r="G610" i="5" s="1"/>
  <c r="C611" i="5"/>
  <c r="G611" i="5" s="1"/>
  <c r="C612" i="5"/>
  <c r="G612" i="5" s="1"/>
  <c r="C613" i="5"/>
  <c r="G613" i="5" s="1"/>
  <c r="C614" i="5"/>
  <c r="G614" i="5" s="1"/>
  <c r="C615" i="5"/>
  <c r="G615" i="5" s="1"/>
  <c r="C616" i="5"/>
  <c r="G616" i="5" s="1"/>
  <c r="C617" i="5"/>
  <c r="G617" i="5" s="1"/>
  <c r="C618" i="5"/>
  <c r="G618" i="5" s="1"/>
  <c r="C619" i="5"/>
  <c r="G619" i="5" s="1"/>
  <c r="C620" i="5"/>
  <c r="G620" i="5" s="1"/>
  <c r="C621" i="5"/>
  <c r="G621" i="5" s="1"/>
  <c r="C622" i="5"/>
  <c r="G622" i="5" s="1"/>
  <c r="C623" i="5"/>
  <c r="G623" i="5" s="1"/>
  <c r="C624" i="5"/>
  <c r="G624" i="5" s="1"/>
  <c r="C625" i="5"/>
  <c r="G625" i="5" s="1"/>
  <c r="C626" i="5"/>
  <c r="G626" i="5" s="1"/>
  <c r="C627" i="5"/>
  <c r="G627" i="5" s="1"/>
  <c r="C628" i="5"/>
  <c r="G628" i="5" s="1"/>
  <c r="C629" i="5"/>
  <c r="G629" i="5" s="1"/>
  <c r="C630" i="5"/>
  <c r="G630" i="5" s="1"/>
  <c r="C631" i="5"/>
  <c r="G631" i="5" s="1"/>
  <c r="C632" i="5"/>
  <c r="G632" i="5" s="1"/>
  <c r="C633" i="5"/>
  <c r="G633" i="5" s="1"/>
  <c r="C634" i="5"/>
  <c r="G634" i="5" s="1"/>
  <c r="C635" i="5"/>
  <c r="G635" i="5" s="1"/>
  <c r="C636" i="5"/>
  <c r="G636" i="5" s="1"/>
  <c r="C637" i="5"/>
  <c r="G637" i="5" s="1"/>
  <c r="C638" i="5"/>
  <c r="G638" i="5" s="1"/>
  <c r="C639" i="5"/>
  <c r="G639" i="5" s="1"/>
  <c r="C640" i="5"/>
  <c r="G640" i="5" s="1"/>
  <c r="C641" i="5"/>
  <c r="G641" i="5" s="1"/>
  <c r="C642" i="5"/>
  <c r="G642" i="5" s="1"/>
  <c r="C643" i="5"/>
  <c r="G643" i="5" s="1"/>
  <c r="C644" i="5"/>
  <c r="G644" i="5" s="1"/>
  <c r="C645" i="5"/>
  <c r="G645" i="5" s="1"/>
  <c r="C646" i="5"/>
  <c r="G646" i="5" s="1"/>
  <c r="C647" i="5"/>
  <c r="G647" i="5" s="1"/>
  <c r="C648" i="5"/>
  <c r="G648" i="5" s="1"/>
  <c r="C649" i="5"/>
  <c r="G649" i="5" s="1"/>
  <c r="C650" i="5"/>
  <c r="G650" i="5" s="1"/>
  <c r="C3" i="5"/>
  <c r="G3" i="5" s="1"/>
  <c r="B650" i="5"/>
  <c r="L650" i="5" s="1"/>
  <c r="B6" i="5"/>
  <c r="L6" i="5" s="1"/>
  <c r="B7" i="5"/>
  <c r="L7" i="5" s="1"/>
  <c r="B8" i="5"/>
  <c r="L8" i="5" s="1"/>
  <c r="B9" i="5"/>
  <c r="L9" i="5" s="1"/>
  <c r="B10" i="5"/>
  <c r="L10" i="5" s="1"/>
  <c r="B11" i="5"/>
  <c r="L11" i="5" s="1"/>
  <c r="B12" i="5"/>
  <c r="L12" i="5" s="1"/>
  <c r="B13" i="5"/>
  <c r="L13" i="5" s="1"/>
  <c r="B14" i="5"/>
  <c r="L14" i="5" s="1"/>
  <c r="B15" i="5"/>
  <c r="L15" i="5" s="1"/>
  <c r="B16" i="5"/>
  <c r="L16" i="5" s="1"/>
  <c r="B17" i="5"/>
  <c r="L17" i="5" s="1"/>
  <c r="B18" i="5"/>
  <c r="L18" i="5" s="1"/>
  <c r="B19" i="5"/>
  <c r="L19" i="5" s="1"/>
  <c r="B20" i="5"/>
  <c r="L20" i="5" s="1"/>
  <c r="B21" i="5"/>
  <c r="L21" i="5" s="1"/>
  <c r="B22" i="5"/>
  <c r="L22" i="5" s="1"/>
  <c r="B23" i="5"/>
  <c r="L23" i="5" s="1"/>
  <c r="B24" i="5"/>
  <c r="L24" i="5" s="1"/>
  <c r="B25" i="5"/>
  <c r="L25" i="5" s="1"/>
  <c r="B26" i="5"/>
  <c r="L26" i="5" s="1"/>
  <c r="B27" i="5"/>
  <c r="L27" i="5" s="1"/>
  <c r="B28" i="5"/>
  <c r="L28" i="5" s="1"/>
  <c r="B29" i="5"/>
  <c r="L29" i="5" s="1"/>
  <c r="B30" i="5"/>
  <c r="L30" i="5" s="1"/>
  <c r="B31" i="5"/>
  <c r="L31" i="5" s="1"/>
  <c r="B32" i="5"/>
  <c r="L32" i="5" s="1"/>
  <c r="B33" i="5"/>
  <c r="L33" i="5" s="1"/>
  <c r="B34" i="5"/>
  <c r="L34" i="5" s="1"/>
  <c r="B35" i="5"/>
  <c r="L35" i="5" s="1"/>
  <c r="B36" i="5"/>
  <c r="L36" i="5" s="1"/>
  <c r="B37" i="5"/>
  <c r="L37" i="5" s="1"/>
  <c r="B38" i="5"/>
  <c r="L38" i="5" s="1"/>
  <c r="B39" i="5"/>
  <c r="L39" i="5" s="1"/>
  <c r="B40" i="5"/>
  <c r="L40" i="5" s="1"/>
  <c r="B41" i="5"/>
  <c r="L41" i="5" s="1"/>
  <c r="B42" i="5"/>
  <c r="L42" i="5" s="1"/>
  <c r="B43" i="5"/>
  <c r="L43" i="5" s="1"/>
  <c r="B44" i="5"/>
  <c r="L44" i="5" s="1"/>
  <c r="B45" i="5"/>
  <c r="L45" i="5" s="1"/>
  <c r="B46" i="5"/>
  <c r="L46" i="5" s="1"/>
  <c r="B47" i="5"/>
  <c r="L47" i="5" s="1"/>
  <c r="B48" i="5"/>
  <c r="L48" i="5" s="1"/>
  <c r="B49" i="5"/>
  <c r="L49" i="5" s="1"/>
  <c r="B50" i="5"/>
  <c r="L50" i="5" s="1"/>
  <c r="B51" i="5"/>
  <c r="L51" i="5" s="1"/>
  <c r="B52" i="5"/>
  <c r="L52" i="5" s="1"/>
  <c r="B53" i="5"/>
  <c r="L53" i="5" s="1"/>
  <c r="B54" i="5"/>
  <c r="L54" i="5" s="1"/>
  <c r="B55" i="5"/>
  <c r="L55" i="5" s="1"/>
  <c r="B56" i="5"/>
  <c r="L56" i="5" s="1"/>
  <c r="B57" i="5"/>
  <c r="L57" i="5" s="1"/>
  <c r="B58" i="5"/>
  <c r="L58" i="5" s="1"/>
  <c r="B59" i="5"/>
  <c r="L59" i="5" s="1"/>
  <c r="B60" i="5"/>
  <c r="L60" i="5" s="1"/>
  <c r="B61" i="5"/>
  <c r="L61" i="5" s="1"/>
  <c r="B62" i="5"/>
  <c r="L62" i="5" s="1"/>
  <c r="B63" i="5"/>
  <c r="L63" i="5" s="1"/>
  <c r="B64" i="5"/>
  <c r="L64" i="5" s="1"/>
  <c r="B65" i="5"/>
  <c r="L65" i="5" s="1"/>
  <c r="B66" i="5"/>
  <c r="L66" i="5" s="1"/>
  <c r="B67" i="5"/>
  <c r="L67" i="5" s="1"/>
  <c r="B68" i="5"/>
  <c r="L68" i="5" s="1"/>
  <c r="B69" i="5"/>
  <c r="L69" i="5" s="1"/>
  <c r="B70" i="5"/>
  <c r="L70" i="5" s="1"/>
  <c r="B71" i="5"/>
  <c r="L71" i="5" s="1"/>
  <c r="B72" i="5"/>
  <c r="L72" i="5" s="1"/>
  <c r="B73" i="5"/>
  <c r="L73" i="5" s="1"/>
  <c r="B74" i="5"/>
  <c r="L74" i="5" s="1"/>
  <c r="B75" i="5"/>
  <c r="L75" i="5" s="1"/>
  <c r="B76" i="5"/>
  <c r="L76" i="5" s="1"/>
  <c r="B77" i="5"/>
  <c r="L77" i="5" s="1"/>
  <c r="B78" i="5"/>
  <c r="L78" i="5" s="1"/>
  <c r="B79" i="5"/>
  <c r="L79" i="5" s="1"/>
  <c r="B80" i="5"/>
  <c r="L80" i="5" s="1"/>
  <c r="B81" i="5"/>
  <c r="L81" i="5" s="1"/>
  <c r="B82" i="5"/>
  <c r="L82" i="5" s="1"/>
  <c r="B83" i="5"/>
  <c r="L83" i="5" s="1"/>
  <c r="B84" i="5"/>
  <c r="L84" i="5" s="1"/>
  <c r="B85" i="5"/>
  <c r="L85" i="5" s="1"/>
  <c r="B86" i="5"/>
  <c r="L86" i="5" s="1"/>
  <c r="B87" i="5"/>
  <c r="L87" i="5" s="1"/>
  <c r="B88" i="5"/>
  <c r="L88" i="5" s="1"/>
  <c r="B89" i="5"/>
  <c r="L89" i="5" s="1"/>
  <c r="B90" i="5"/>
  <c r="L90" i="5" s="1"/>
  <c r="B91" i="5"/>
  <c r="L91" i="5" s="1"/>
  <c r="B92" i="5"/>
  <c r="L92" i="5" s="1"/>
  <c r="B93" i="5"/>
  <c r="L93" i="5" s="1"/>
  <c r="B94" i="5"/>
  <c r="L94" i="5" s="1"/>
  <c r="B95" i="5"/>
  <c r="L95" i="5" s="1"/>
  <c r="B96" i="5"/>
  <c r="L96" i="5" s="1"/>
  <c r="B97" i="5"/>
  <c r="L97" i="5" s="1"/>
  <c r="B98" i="5"/>
  <c r="L98" i="5" s="1"/>
  <c r="B99" i="5"/>
  <c r="L99" i="5" s="1"/>
  <c r="B100" i="5"/>
  <c r="L100" i="5" s="1"/>
  <c r="B101" i="5"/>
  <c r="L101" i="5" s="1"/>
  <c r="B102" i="5"/>
  <c r="L102" i="5" s="1"/>
  <c r="B103" i="5"/>
  <c r="L103" i="5" s="1"/>
  <c r="B104" i="5"/>
  <c r="L104" i="5" s="1"/>
  <c r="B105" i="5"/>
  <c r="L105" i="5" s="1"/>
  <c r="B106" i="5"/>
  <c r="L106" i="5" s="1"/>
  <c r="B107" i="5"/>
  <c r="L107" i="5" s="1"/>
  <c r="B108" i="5"/>
  <c r="L108" i="5" s="1"/>
  <c r="B109" i="5"/>
  <c r="L109" i="5" s="1"/>
  <c r="B110" i="5"/>
  <c r="L110" i="5" s="1"/>
  <c r="B111" i="5"/>
  <c r="L111" i="5" s="1"/>
  <c r="B112" i="5"/>
  <c r="L112" i="5" s="1"/>
  <c r="B113" i="5"/>
  <c r="L113" i="5" s="1"/>
  <c r="B114" i="5"/>
  <c r="L114" i="5" s="1"/>
  <c r="B115" i="5"/>
  <c r="L115" i="5" s="1"/>
  <c r="B116" i="5"/>
  <c r="L116" i="5" s="1"/>
  <c r="B117" i="5"/>
  <c r="L117" i="5" s="1"/>
  <c r="B118" i="5"/>
  <c r="L118" i="5" s="1"/>
  <c r="B119" i="5"/>
  <c r="L119" i="5" s="1"/>
  <c r="B120" i="5"/>
  <c r="L120" i="5" s="1"/>
  <c r="B121" i="5"/>
  <c r="L121" i="5" s="1"/>
  <c r="B122" i="5"/>
  <c r="L122" i="5" s="1"/>
  <c r="B123" i="5"/>
  <c r="L123" i="5" s="1"/>
  <c r="B124" i="5"/>
  <c r="L124" i="5" s="1"/>
  <c r="B125" i="5"/>
  <c r="L125" i="5" s="1"/>
  <c r="B126" i="5"/>
  <c r="L126" i="5" s="1"/>
  <c r="B127" i="5"/>
  <c r="L127" i="5" s="1"/>
  <c r="B128" i="5"/>
  <c r="L128" i="5" s="1"/>
  <c r="B129" i="5"/>
  <c r="L129" i="5" s="1"/>
  <c r="B130" i="5"/>
  <c r="L130" i="5" s="1"/>
  <c r="B131" i="5"/>
  <c r="L131" i="5" s="1"/>
  <c r="B132" i="5"/>
  <c r="L132" i="5" s="1"/>
  <c r="B133" i="5"/>
  <c r="L133" i="5" s="1"/>
  <c r="B134" i="5"/>
  <c r="L134" i="5" s="1"/>
  <c r="B135" i="5"/>
  <c r="L135" i="5" s="1"/>
  <c r="B136" i="5"/>
  <c r="L136" i="5" s="1"/>
  <c r="B137" i="5"/>
  <c r="L137" i="5" s="1"/>
  <c r="B138" i="5"/>
  <c r="L138" i="5" s="1"/>
  <c r="B139" i="5"/>
  <c r="L139" i="5" s="1"/>
  <c r="B140" i="5"/>
  <c r="L140" i="5" s="1"/>
  <c r="B141" i="5"/>
  <c r="L141" i="5" s="1"/>
  <c r="B142" i="5"/>
  <c r="L142" i="5" s="1"/>
  <c r="B143" i="5"/>
  <c r="L143" i="5" s="1"/>
  <c r="B144" i="5"/>
  <c r="L144" i="5" s="1"/>
  <c r="B145" i="5"/>
  <c r="L145" i="5" s="1"/>
  <c r="B146" i="5"/>
  <c r="L146" i="5" s="1"/>
  <c r="B147" i="5"/>
  <c r="L147" i="5" s="1"/>
  <c r="B148" i="5"/>
  <c r="L148" i="5" s="1"/>
  <c r="B149" i="5"/>
  <c r="L149" i="5" s="1"/>
  <c r="B150" i="5"/>
  <c r="L150" i="5" s="1"/>
  <c r="B151" i="5"/>
  <c r="L151" i="5" s="1"/>
  <c r="B152" i="5"/>
  <c r="L152" i="5" s="1"/>
  <c r="B153" i="5"/>
  <c r="L153" i="5" s="1"/>
  <c r="B154" i="5"/>
  <c r="L154" i="5" s="1"/>
  <c r="B155" i="5"/>
  <c r="L155" i="5" s="1"/>
  <c r="B156" i="5"/>
  <c r="L156" i="5" s="1"/>
  <c r="B157" i="5"/>
  <c r="L157" i="5" s="1"/>
  <c r="B158" i="5"/>
  <c r="L158" i="5" s="1"/>
  <c r="B159" i="5"/>
  <c r="L159" i="5" s="1"/>
  <c r="B160" i="5"/>
  <c r="L160" i="5" s="1"/>
  <c r="B161" i="5"/>
  <c r="L161" i="5" s="1"/>
  <c r="B162" i="5"/>
  <c r="L162" i="5" s="1"/>
  <c r="B163" i="5"/>
  <c r="L163" i="5" s="1"/>
  <c r="B164" i="5"/>
  <c r="L164" i="5" s="1"/>
  <c r="B165" i="5"/>
  <c r="L165" i="5" s="1"/>
  <c r="B166" i="5"/>
  <c r="L166" i="5" s="1"/>
  <c r="B167" i="5"/>
  <c r="L167" i="5" s="1"/>
  <c r="B168" i="5"/>
  <c r="L168" i="5" s="1"/>
  <c r="B169" i="5"/>
  <c r="L169" i="5" s="1"/>
  <c r="B170" i="5"/>
  <c r="L170" i="5" s="1"/>
  <c r="B171" i="5"/>
  <c r="L171" i="5" s="1"/>
  <c r="B172" i="5"/>
  <c r="L172" i="5" s="1"/>
  <c r="B173" i="5"/>
  <c r="L173" i="5" s="1"/>
  <c r="B174" i="5"/>
  <c r="L174" i="5" s="1"/>
  <c r="B175" i="5"/>
  <c r="L175" i="5" s="1"/>
  <c r="B176" i="5"/>
  <c r="L176" i="5" s="1"/>
  <c r="B177" i="5"/>
  <c r="L177" i="5" s="1"/>
  <c r="B178" i="5"/>
  <c r="L178" i="5" s="1"/>
  <c r="B179" i="5"/>
  <c r="L179" i="5" s="1"/>
  <c r="B180" i="5"/>
  <c r="L180" i="5" s="1"/>
  <c r="B181" i="5"/>
  <c r="L181" i="5" s="1"/>
  <c r="B182" i="5"/>
  <c r="L182" i="5" s="1"/>
  <c r="B183" i="5"/>
  <c r="L183" i="5" s="1"/>
  <c r="B184" i="5"/>
  <c r="L184" i="5" s="1"/>
  <c r="B185" i="5"/>
  <c r="L185" i="5" s="1"/>
  <c r="B186" i="5"/>
  <c r="L186" i="5" s="1"/>
  <c r="B187" i="5"/>
  <c r="L187" i="5" s="1"/>
  <c r="B188" i="5"/>
  <c r="L188" i="5" s="1"/>
  <c r="B189" i="5"/>
  <c r="L189" i="5" s="1"/>
  <c r="B190" i="5"/>
  <c r="L190" i="5" s="1"/>
  <c r="B191" i="5"/>
  <c r="L191" i="5" s="1"/>
  <c r="B192" i="5"/>
  <c r="L192" i="5" s="1"/>
  <c r="B193" i="5"/>
  <c r="L193" i="5" s="1"/>
  <c r="B194" i="5"/>
  <c r="L194" i="5" s="1"/>
  <c r="B195" i="5"/>
  <c r="L195" i="5" s="1"/>
  <c r="B196" i="5"/>
  <c r="L196" i="5" s="1"/>
  <c r="B197" i="5"/>
  <c r="L197" i="5" s="1"/>
  <c r="B198" i="5"/>
  <c r="L198" i="5" s="1"/>
  <c r="B199" i="5"/>
  <c r="L199" i="5" s="1"/>
  <c r="B200" i="5"/>
  <c r="L200" i="5" s="1"/>
  <c r="B201" i="5"/>
  <c r="L201" i="5" s="1"/>
  <c r="B202" i="5"/>
  <c r="L202" i="5" s="1"/>
  <c r="B203" i="5"/>
  <c r="L203" i="5" s="1"/>
  <c r="B204" i="5"/>
  <c r="L204" i="5" s="1"/>
  <c r="B205" i="5"/>
  <c r="L205" i="5" s="1"/>
  <c r="B206" i="5"/>
  <c r="L206" i="5" s="1"/>
  <c r="B207" i="5"/>
  <c r="L207" i="5" s="1"/>
  <c r="B208" i="5"/>
  <c r="L208" i="5" s="1"/>
  <c r="B209" i="5"/>
  <c r="L209" i="5" s="1"/>
  <c r="B210" i="5"/>
  <c r="L210" i="5" s="1"/>
  <c r="B211" i="5"/>
  <c r="L211" i="5" s="1"/>
  <c r="B212" i="5"/>
  <c r="L212" i="5" s="1"/>
  <c r="B213" i="5"/>
  <c r="L213" i="5" s="1"/>
  <c r="B214" i="5"/>
  <c r="L214" i="5" s="1"/>
  <c r="B215" i="5"/>
  <c r="L215" i="5" s="1"/>
  <c r="B216" i="5"/>
  <c r="L216" i="5" s="1"/>
  <c r="B217" i="5"/>
  <c r="L217" i="5" s="1"/>
  <c r="B218" i="5"/>
  <c r="L218" i="5" s="1"/>
  <c r="B219" i="5"/>
  <c r="L219" i="5" s="1"/>
  <c r="B220" i="5"/>
  <c r="L220" i="5" s="1"/>
  <c r="B221" i="5"/>
  <c r="L221" i="5" s="1"/>
  <c r="B222" i="5"/>
  <c r="L222" i="5" s="1"/>
  <c r="B223" i="5"/>
  <c r="L223" i="5" s="1"/>
  <c r="B224" i="5"/>
  <c r="L224" i="5" s="1"/>
  <c r="B225" i="5"/>
  <c r="L225" i="5" s="1"/>
  <c r="B226" i="5"/>
  <c r="L226" i="5" s="1"/>
  <c r="B227" i="5"/>
  <c r="L227" i="5" s="1"/>
  <c r="B228" i="5"/>
  <c r="L228" i="5" s="1"/>
  <c r="B229" i="5"/>
  <c r="L229" i="5" s="1"/>
  <c r="B230" i="5"/>
  <c r="L230" i="5" s="1"/>
  <c r="B231" i="5"/>
  <c r="L231" i="5" s="1"/>
  <c r="B232" i="5"/>
  <c r="L232" i="5" s="1"/>
  <c r="B233" i="5"/>
  <c r="L233" i="5" s="1"/>
  <c r="B234" i="5"/>
  <c r="L234" i="5" s="1"/>
  <c r="B235" i="5"/>
  <c r="L235" i="5" s="1"/>
  <c r="B236" i="5"/>
  <c r="L236" i="5" s="1"/>
  <c r="B237" i="5"/>
  <c r="L237" i="5" s="1"/>
  <c r="B238" i="5"/>
  <c r="L238" i="5" s="1"/>
  <c r="B239" i="5"/>
  <c r="L239" i="5" s="1"/>
  <c r="B240" i="5"/>
  <c r="L240" i="5" s="1"/>
  <c r="B241" i="5"/>
  <c r="L241" i="5" s="1"/>
  <c r="B242" i="5"/>
  <c r="L242" i="5" s="1"/>
  <c r="B243" i="5"/>
  <c r="L243" i="5" s="1"/>
  <c r="B244" i="5"/>
  <c r="L244" i="5" s="1"/>
  <c r="B245" i="5"/>
  <c r="L245" i="5" s="1"/>
  <c r="B246" i="5"/>
  <c r="L246" i="5" s="1"/>
  <c r="B247" i="5"/>
  <c r="L247" i="5" s="1"/>
  <c r="B248" i="5"/>
  <c r="L248" i="5" s="1"/>
  <c r="B249" i="5"/>
  <c r="L249" i="5" s="1"/>
  <c r="B250" i="5"/>
  <c r="L250" i="5" s="1"/>
  <c r="B251" i="5"/>
  <c r="L251" i="5" s="1"/>
  <c r="B252" i="5"/>
  <c r="L252" i="5" s="1"/>
  <c r="B253" i="5"/>
  <c r="L253" i="5" s="1"/>
  <c r="B254" i="5"/>
  <c r="L254" i="5" s="1"/>
  <c r="B255" i="5"/>
  <c r="L255" i="5" s="1"/>
  <c r="B256" i="5"/>
  <c r="L256" i="5" s="1"/>
  <c r="B257" i="5"/>
  <c r="L257" i="5" s="1"/>
  <c r="B258" i="5"/>
  <c r="L258" i="5" s="1"/>
  <c r="B259" i="5"/>
  <c r="L259" i="5" s="1"/>
  <c r="B260" i="5"/>
  <c r="L260" i="5" s="1"/>
  <c r="B261" i="5"/>
  <c r="L261" i="5" s="1"/>
  <c r="B262" i="5"/>
  <c r="L262" i="5" s="1"/>
  <c r="B263" i="5"/>
  <c r="L263" i="5" s="1"/>
  <c r="B264" i="5"/>
  <c r="L264" i="5" s="1"/>
  <c r="B265" i="5"/>
  <c r="L265" i="5" s="1"/>
  <c r="B266" i="5"/>
  <c r="L266" i="5" s="1"/>
  <c r="B267" i="5"/>
  <c r="L267" i="5" s="1"/>
  <c r="B268" i="5"/>
  <c r="L268" i="5" s="1"/>
  <c r="B269" i="5"/>
  <c r="L269" i="5" s="1"/>
  <c r="B270" i="5"/>
  <c r="L270" i="5" s="1"/>
  <c r="B271" i="5"/>
  <c r="L271" i="5" s="1"/>
  <c r="B272" i="5"/>
  <c r="L272" i="5" s="1"/>
  <c r="B273" i="5"/>
  <c r="L273" i="5" s="1"/>
  <c r="B274" i="5"/>
  <c r="L274" i="5" s="1"/>
  <c r="B275" i="5"/>
  <c r="L275" i="5" s="1"/>
  <c r="B276" i="5"/>
  <c r="L276" i="5" s="1"/>
  <c r="B277" i="5"/>
  <c r="L277" i="5" s="1"/>
  <c r="B278" i="5"/>
  <c r="L278" i="5" s="1"/>
  <c r="B279" i="5"/>
  <c r="L279" i="5" s="1"/>
  <c r="B280" i="5"/>
  <c r="L280" i="5" s="1"/>
  <c r="B281" i="5"/>
  <c r="L281" i="5" s="1"/>
  <c r="B282" i="5"/>
  <c r="L282" i="5" s="1"/>
  <c r="B283" i="5"/>
  <c r="L283" i="5" s="1"/>
  <c r="B284" i="5"/>
  <c r="L284" i="5" s="1"/>
  <c r="B285" i="5"/>
  <c r="L285" i="5" s="1"/>
  <c r="B286" i="5"/>
  <c r="L286" i="5" s="1"/>
  <c r="B287" i="5"/>
  <c r="L287" i="5" s="1"/>
  <c r="B288" i="5"/>
  <c r="L288" i="5" s="1"/>
  <c r="B289" i="5"/>
  <c r="L289" i="5" s="1"/>
  <c r="B290" i="5"/>
  <c r="L290" i="5" s="1"/>
  <c r="B291" i="5"/>
  <c r="L291" i="5" s="1"/>
  <c r="B292" i="5"/>
  <c r="L292" i="5" s="1"/>
  <c r="B293" i="5"/>
  <c r="L293" i="5" s="1"/>
  <c r="B294" i="5"/>
  <c r="L294" i="5" s="1"/>
  <c r="B295" i="5"/>
  <c r="L295" i="5" s="1"/>
  <c r="B296" i="5"/>
  <c r="L296" i="5" s="1"/>
  <c r="B297" i="5"/>
  <c r="L297" i="5" s="1"/>
  <c r="B298" i="5"/>
  <c r="L298" i="5" s="1"/>
  <c r="B299" i="5"/>
  <c r="L299" i="5" s="1"/>
  <c r="B300" i="5"/>
  <c r="L300" i="5" s="1"/>
  <c r="B301" i="5"/>
  <c r="L301" i="5" s="1"/>
  <c r="B302" i="5"/>
  <c r="L302" i="5" s="1"/>
  <c r="B303" i="5"/>
  <c r="L303" i="5" s="1"/>
  <c r="B304" i="5"/>
  <c r="L304" i="5" s="1"/>
  <c r="B305" i="5"/>
  <c r="L305" i="5" s="1"/>
  <c r="B306" i="5"/>
  <c r="L306" i="5" s="1"/>
  <c r="B307" i="5"/>
  <c r="L307" i="5" s="1"/>
  <c r="B308" i="5"/>
  <c r="L308" i="5" s="1"/>
  <c r="B309" i="5"/>
  <c r="L309" i="5" s="1"/>
  <c r="B310" i="5"/>
  <c r="L310" i="5" s="1"/>
  <c r="B311" i="5"/>
  <c r="L311" i="5" s="1"/>
  <c r="B312" i="5"/>
  <c r="L312" i="5" s="1"/>
  <c r="B313" i="5"/>
  <c r="L313" i="5" s="1"/>
  <c r="B314" i="5"/>
  <c r="L314" i="5" s="1"/>
  <c r="B315" i="5"/>
  <c r="L315" i="5" s="1"/>
  <c r="B316" i="5"/>
  <c r="L316" i="5" s="1"/>
  <c r="B317" i="5"/>
  <c r="L317" i="5" s="1"/>
  <c r="B318" i="5"/>
  <c r="L318" i="5" s="1"/>
  <c r="B319" i="5"/>
  <c r="L319" i="5" s="1"/>
  <c r="B320" i="5"/>
  <c r="L320" i="5" s="1"/>
  <c r="B321" i="5"/>
  <c r="L321" i="5" s="1"/>
  <c r="B322" i="5"/>
  <c r="L322" i="5" s="1"/>
  <c r="B323" i="5"/>
  <c r="L323" i="5" s="1"/>
  <c r="B324" i="5"/>
  <c r="L324" i="5" s="1"/>
  <c r="B325" i="5"/>
  <c r="L325" i="5" s="1"/>
  <c r="B326" i="5"/>
  <c r="L326" i="5" s="1"/>
  <c r="B327" i="5"/>
  <c r="L327" i="5" s="1"/>
  <c r="B328" i="5"/>
  <c r="L328" i="5" s="1"/>
  <c r="B329" i="5"/>
  <c r="L329" i="5" s="1"/>
  <c r="B330" i="5"/>
  <c r="L330" i="5" s="1"/>
  <c r="B331" i="5"/>
  <c r="L331" i="5" s="1"/>
  <c r="B332" i="5"/>
  <c r="L332" i="5" s="1"/>
  <c r="B333" i="5"/>
  <c r="L333" i="5" s="1"/>
  <c r="B334" i="5"/>
  <c r="L334" i="5" s="1"/>
  <c r="B335" i="5"/>
  <c r="L335" i="5" s="1"/>
  <c r="B336" i="5"/>
  <c r="L336" i="5" s="1"/>
  <c r="B337" i="5"/>
  <c r="L337" i="5" s="1"/>
  <c r="B338" i="5"/>
  <c r="L338" i="5" s="1"/>
  <c r="B339" i="5"/>
  <c r="L339" i="5" s="1"/>
  <c r="B340" i="5"/>
  <c r="L340" i="5" s="1"/>
  <c r="B341" i="5"/>
  <c r="L341" i="5" s="1"/>
  <c r="B342" i="5"/>
  <c r="L342" i="5" s="1"/>
  <c r="B343" i="5"/>
  <c r="L343" i="5" s="1"/>
  <c r="B344" i="5"/>
  <c r="L344" i="5" s="1"/>
  <c r="B345" i="5"/>
  <c r="L345" i="5" s="1"/>
  <c r="B346" i="5"/>
  <c r="L346" i="5" s="1"/>
  <c r="B347" i="5"/>
  <c r="L347" i="5" s="1"/>
  <c r="B348" i="5"/>
  <c r="L348" i="5" s="1"/>
  <c r="B349" i="5"/>
  <c r="L349" i="5" s="1"/>
  <c r="B350" i="5"/>
  <c r="L350" i="5" s="1"/>
  <c r="B351" i="5"/>
  <c r="L351" i="5" s="1"/>
  <c r="B352" i="5"/>
  <c r="L352" i="5" s="1"/>
  <c r="B353" i="5"/>
  <c r="L353" i="5" s="1"/>
  <c r="B354" i="5"/>
  <c r="L354" i="5" s="1"/>
  <c r="B355" i="5"/>
  <c r="L355" i="5" s="1"/>
  <c r="B356" i="5"/>
  <c r="L356" i="5" s="1"/>
  <c r="B357" i="5"/>
  <c r="L357" i="5" s="1"/>
  <c r="B358" i="5"/>
  <c r="L358" i="5" s="1"/>
  <c r="B359" i="5"/>
  <c r="L359" i="5" s="1"/>
  <c r="B360" i="5"/>
  <c r="L360" i="5" s="1"/>
  <c r="B361" i="5"/>
  <c r="L361" i="5" s="1"/>
  <c r="B362" i="5"/>
  <c r="L362" i="5" s="1"/>
  <c r="B363" i="5"/>
  <c r="L363" i="5" s="1"/>
  <c r="B364" i="5"/>
  <c r="L364" i="5" s="1"/>
  <c r="B365" i="5"/>
  <c r="L365" i="5" s="1"/>
  <c r="B366" i="5"/>
  <c r="L366" i="5" s="1"/>
  <c r="B367" i="5"/>
  <c r="L367" i="5" s="1"/>
  <c r="B368" i="5"/>
  <c r="L368" i="5" s="1"/>
  <c r="B369" i="5"/>
  <c r="L369" i="5" s="1"/>
  <c r="B370" i="5"/>
  <c r="L370" i="5" s="1"/>
  <c r="B371" i="5"/>
  <c r="L371" i="5" s="1"/>
  <c r="B372" i="5"/>
  <c r="L372" i="5" s="1"/>
  <c r="B373" i="5"/>
  <c r="L373" i="5" s="1"/>
  <c r="B374" i="5"/>
  <c r="L374" i="5" s="1"/>
  <c r="B375" i="5"/>
  <c r="L375" i="5" s="1"/>
  <c r="B376" i="5"/>
  <c r="L376" i="5" s="1"/>
  <c r="B377" i="5"/>
  <c r="L377" i="5" s="1"/>
  <c r="B378" i="5"/>
  <c r="L378" i="5" s="1"/>
  <c r="B379" i="5"/>
  <c r="L379" i="5" s="1"/>
  <c r="B380" i="5"/>
  <c r="L380" i="5" s="1"/>
  <c r="B381" i="5"/>
  <c r="L381" i="5" s="1"/>
  <c r="B382" i="5"/>
  <c r="L382" i="5" s="1"/>
  <c r="B383" i="5"/>
  <c r="L383" i="5" s="1"/>
  <c r="B384" i="5"/>
  <c r="L384" i="5" s="1"/>
  <c r="B385" i="5"/>
  <c r="L385" i="5" s="1"/>
  <c r="B386" i="5"/>
  <c r="L386" i="5" s="1"/>
  <c r="B387" i="5"/>
  <c r="L387" i="5" s="1"/>
  <c r="B388" i="5"/>
  <c r="L388" i="5" s="1"/>
  <c r="B389" i="5"/>
  <c r="L389" i="5" s="1"/>
  <c r="B390" i="5"/>
  <c r="L390" i="5" s="1"/>
  <c r="B391" i="5"/>
  <c r="L391" i="5" s="1"/>
  <c r="B392" i="5"/>
  <c r="L392" i="5" s="1"/>
  <c r="B393" i="5"/>
  <c r="L393" i="5" s="1"/>
  <c r="B394" i="5"/>
  <c r="L394" i="5" s="1"/>
  <c r="B395" i="5"/>
  <c r="L395" i="5" s="1"/>
  <c r="B396" i="5"/>
  <c r="L396" i="5" s="1"/>
  <c r="B397" i="5"/>
  <c r="L397" i="5" s="1"/>
  <c r="B398" i="5"/>
  <c r="L398" i="5" s="1"/>
  <c r="B399" i="5"/>
  <c r="L399" i="5" s="1"/>
  <c r="B400" i="5"/>
  <c r="L400" i="5" s="1"/>
  <c r="B401" i="5"/>
  <c r="L401" i="5" s="1"/>
  <c r="B402" i="5"/>
  <c r="L402" i="5" s="1"/>
  <c r="B403" i="5"/>
  <c r="L403" i="5" s="1"/>
  <c r="B404" i="5"/>
  <c r="L404" i="5" s="1"/>
  <c r="B405" i="5"/>
  <c r="L405" i="5" s="1"/>
  <c r="B406" i="5"/>
  <c r="L406" i="5" s="1"/>
  <c r="B407" i="5"/>
  <c r="L407" i="5" s="1"/>
  <c r="B408" i="5"/>
  <c r="L408" i="5" s="1"/>
  <c r="B409" i="5"/>
  <c r="L409" i="5" s="1"/>
  <c r="B410" i="5"/>
  <c r="L410" i="5" s="1"/>
  <c r="B411" i="5"/>
  <c r="L411" i="5" s="1"/>
  <c r="B412" i="5"/>
  <c r="L412" i="5" s="1"/>
  <c r="B413" i="5"/>
  <c r="L413" i="5" s="1"/>
  <c r="B414" i="5"/>
  <c r="L414" i="5" s="1"/>
  <c r="B415" i="5"/>
  <c r="L415" i="5" s="1"/>
  <c r="B416" i="5"/>
  <c r="L416" i="5" s="1"/>
  <c r="B417" i="5"/>
  <c r="L417" i="5" s="1"/>
  <c r="B418" i="5"/>
  <c r="L418" i="5" s="1"/>
  <c r="B419" i="5"/>
  <c r="L419" i="5" s="1"/>
  <c r="B420" i="5"/>
  <c r="L420" i="5" s="1"/>
  <c r="B421" i="5"/>
  <c r="L421" i="5" s="1"/>
  <c r="B422" i="5"/>
  <c r="L422" i="5" s="1"/>
  <c r="B423" i="5"/>
  <c r="L423" i="5" s="1"/>
  <c r="B424" i="5"/>
  <c r="L424" i="5" s="1"/>
  <c r="B425" i="5"/>
  <c r="L425" i="5" s="1"/>
  <c r="B426" i="5"/>
  <c r="L426" i="5" s="1"/>
  <c r="B427" i="5"/>
  <c r="L427" i="5" s="1"/>
  <c r="B428" i="5"/>
  <c r="L428" i="5" s="1"/>
  <c r="B429" i="5"/>
  <c r="L429" i="5" s="1"/>
  <c r="B430" i="5"/>
  <c r="L430" i="5" s="1"/>
  <c r="B431" i="5"/>
  <c r="L431" i="5" s="1"/>
  <c r="B432" i="5"/>
  <c r="L432" i="5" s="1"/>
  <c r="B433" i="5"/>
  <c r="L433" i="5" s="1"/>
  <c r="B434" i="5"/>
  <c r="L434" i="5" s="1"/>
  <c r="B435" i="5"/>
  <c r="L435" i="5" s="1"/>
  <c r="B436" i="5"/>
  <c r="L436" i="5" s="1"/>
  <c r="B437" i="5"/>
  <c r="L437" i="5" s="1"/>
  <c r="B438" i="5"/>
  <c r="L438" i="5" s="1"/>
  <c r="B439" i="5"/>
  <c r="L439" i="5" s="1"/>
  <c r="B440" i="5"/>
  <c r="L440" i="5" s="1"/>
  <c r="B441" i="5"/>
  <c r="L441" i="5" s="1"/>
  <c r="B442" i="5"/>
  <c r="L442" i="5" s="1"/>
  <c r="B443" i="5"/>
  <c r="L443" i="5" s="1"/>
  <c r="B444" i="5"/>
  <c r="L444" i="5" s="1"/>
  <c r="B445" i="5"/>
  <c r="L445" i="5" s="1"/>
  <c r="B446" i="5"/>
  <c r="L446" i="5" s="1"/>
  <c r="B447" i="5"/>
  <c r="L447" i="5" s="1"/>
  <c r="B448" i="5"/>
  <c r="L448" i="5" s="1"/>
  <c r="B449" i="5"/>
  <c r="L449" i="5" s="1"/>
  <c r="B450" i="5"/>
  <c r="L450" i="5" s="1"/>
  <c r="B451" i="5"/>
  <c r="L451" i="5" s="1"/>
  <c r="B452" i="5"/>
  <c r="L452" i="5" s="1"/>
  <c r="B453" i="5"/>
  <c r="L453" i="5" s="1"/>
  <c r="B454" i="5"/>
  <c r="L454" i="5" s="1"/>
  <c r="B455" i="5"/>
  <c r="L455" i="5" s="1"/>
  <c r="B456" i="5"/>
  <c r="L456" i="5" s="1"/>
  <c r="B457" i="5"/>
  <c r="L457" i="5" s="1"/>
  <c r="B458" i="5"/>
  <c r="L458" i="5" s="1"/>
  <c r="B459" i="5"/>
  <c r="L459" i="5" s="1"/>
  <c r="B460" i="5"/>
  <c r="L460" i="5" s="1"/>
  <c r="B461" i="5"/>
  <c r="L461" i="5" s="1"/>
  <c r="B462" i="5"/>
  <c r="L462" i="5" s="1"/>
  <c r="B463" i="5"/>
  <c r="L463" i="5" s="1"/>
  <c r="B464" i="5"/>
  <c r="L464" i="5" s="1"/>
  <c r="B465" i="5"/>
  <c r="L465" i="5" s="1"/>
  <c r="B466" i="5"/>
  <c r="L466" i="5" s="1"/>
  <c r="B467" i="5"/>
  <c r="L467" i="5" s="1"/>
  <c r="B468" i="5"/>
  <c r="L468" i="5" s="1"/>
  <c r="B469" i="5"/>
  <c r="L469" i="5" s="1"/>
  <c r="B470" i="5"/>
  <c r="L470" i="5" s="1"/>
  <c r="B471" i="5"/>
  <c r="L471" i="5" s="1"/>
  <c r="B472" i="5"/>
  <c r="L472" i="5" s="1"/>
  <c r="B473" i="5"/>
  <c r="L473" i="5" s="1"/>
  <c r="B474" i="5"/>
  <c r="L474" i="5" s="1"/>
  <c r="B475" i="5"/>
  <c r="L475" i="5" s="1"/>
  <c r="B476" i="5"/>
  <c r="L476" i="5" s="1"/>
  <c r="B477" i="5"/>
  <c r="L477" i="5" s="1"/>
  <c r="B478" i="5"/>
  <c r="L478" i="5" s="1"/>
  <c r="B479" i="5"/>
  <c r="L479" i="5" s="1"/>
  <c r="B480" i="5"/>
  <c r="L480" i="5" s="1"/>
  <c r="B481" i="5"/>
  <c r="L481" i="5" s="1"/>
  <c r="B482" i="5"/>
  <c r="L482" i="5" s="1"/>
  <c r="B483" i="5"/>
  <c r="L483" i="5" s="1"/>
  <c r="B484" i="5"/>
  <c r="L484" i="5" s="1"/>
  <c r="B485" i="5"/>
  <c r="L485" i="5" s="1"/>
  <c r="B486" i="5"/>
  <c r="L486" i="5" s="1"/>
  <c r="B487" i="5"/>
  <c r="L487" i="5" s="1"/>
  <c r="B488" i="5"/>
  <c r="L488" i="5" s="1"/>
  <c r="B489" i="5"/>
  <c r="L489" i="5" s="1"/>
  <c r="B490" i="5"/>
  <c r="L490" i="5" s="1"/>
  <c r="B491" i="5"/>
  <c r="L491" i="5" s="1"/>
  <c r="B492" i="5"/>
  <c r="L492" i="5" s="1"/>
  <c r="B493" i="5"/>
  <c r="L493" i="5" s="1"/>
  <c r="B494" i="5"/>
  <c r="L494" i="5" s="1"/>
  <c r="B495" i="5"/>
  <c r="L495" i="5" s="1"/>
  <c r="B496" i="5"/>
  <c r="L496" i="5" s="1"/>
  <c r="B497" i="5"/>
  <c r="L497" i="5" s="1"/>
  <c r="B498" i="5"/>
  <c r="L498" i="5" s="1"/>
  <c r="B499" i="5"/>
  <c r="L499" i="5" s="1"/>
  <c r="B500" i="5"/>
  <c r="L500" i="5" s="1"/>
  <c r="B501" i="5"/>
  <c r="L501" i="5" s="1"/>
  <c r="B502" i="5"/>
  <c r="L502" i="5" s="1"/>
  <c r="B503" i="5"/>
  <c r="L503" i="5" s="1"/>
  <c r="B504" i="5"/>
  <c r="L504" i="5" s="1"/>
  <c r="B505" i="5"/>
  <c r="L505" i="5" s="1"/>
  <c r="B506" i="5"/>
  <c r="L506" i="5" s="1"/>
  <c r="B507" i="5"/>
  <c r="L507" i="5" s="1"/>
  <c r="B508" i="5"/>
  <c r="L508" i="5" s="1"/>
  <c r="B509" i="5"/>
  <c r="L509" i="5" s="1"/>
  <c r="B510" i="5"/>
  <c r="L510" i="5" s="1"/>
  <c r="B511" i="5"/>
  <c r="L511" i="5" s="1"/>
  <c r="B512" i="5"/>
  <c r="L512" i="5" s="1"/>
  <c r="B513" i="5"/>
  <c r="L513" i="5" s="1"/>
  <c r="B514" i="5"/>
  <c r="L514" i="5" s="1"/>
  <c r="B515" i="5"/>
  <c r="L515" i="5" s="1"/>
  <c r="B516" i="5"/>
  <c r="L516" i="5" s="1"/>
  <c r="B517" i="5"/>
  <c r="L517" i="5" s="1"/>
  <c r="B518" i="5"/>
  <c r="L518" i="5" s="1"/>
  <c r="B519" i="5"/>
  <c r="L519" i="5" s="1"/>
  <c r="B520" i="5"/>
  <c r="L520" i="5" s="1"/>
  <c r="B521" i="5"/>
  <c r="L521" i="5" s="1"/>
  <c r="B522" i="5"/>
  <c r="L522" i="5" s="1"/>
  <c r="B523" i="5"/>
  <c r="L523" i="5" s="1"/>
  <c r="B524" i="5"/>
  <c r="L524" i="5" s="1"/>
  <c r="B525" i="5"/>
  <c r="L525" i="5" s="1"/>
  <c r="B526" i="5"/>
  <c r="L526" i="5" s="1"/>
  <c r="B527" i="5"/>
  <c r="L527" i="5" s="1"/>
  <c r="B528" i="5"/>
  <c r="L528" i="5" s="1"/>
  <c r="B529" i="5"/>
  <c r="L529" i="5" s="1"/>
  <c r="B530" i="5"/>
  <c r="L530" i="5" s="1"/>
  <c r="B531" i="5"/>
  <c r="L531" i="5" s="1"/>
  <c r="B532" i="5"/>
  <c r="L532" i="5" s="1"/>
  <c r="B533" i="5"/>
  <c r="L533" i="5" s="1"/>
  <c r="B534" i="5"/>
  <c r="L534" i="5" s="1"/>
  <c r="B535" i="5"/>
  <c r="L535" i="5" s="1"/>
  <c r="B536" i="5"/>
  <c r="L536" i="5" s="1"/>
  <c r="B537" i="5"/>
  <c r="L537" i="5" s="1"/>
  <c r="B538" i="5"/>
  <c r="L538" i="5" s="1"/>
  <c r="B539" i="5"/>
  <c r="L539" i="5" s="1"/>
  <c r="B540" i="5"/>
  <c r="L540" i="5" s="1"/>
  <c r="B541" i="5"/>
  <c r="L541" i="5" s="1"/>
  <c r="B542" i="5"/>
  <c r="L542" i="5" s="1"/>
  <c r="B543" i="5"/>
  <c r="L543" i="5" s="1"/>
  <c r="B544" i="5"/>
  <c r="L544" i="5" s="1"/>
  <c r="B545" i="5"/>
  <c r="L545" i="5" s="1"/>
  <c r="B546" i="5"/>
  <c r="L546" i="5" s="1"/>
  <c r="B547" i="5"/>
  <c r="L547" i="5" s="1"/>
  <c r="B548" i="5"/>
  <c r="L548" i="5" s="1"/>
  <c r="B549" i="5"/>
  <c r="L549" i="5" s="1"/>
  <c r="B550" i="5"/>
  <c r="L550" i="5" s="1"/>
  <c r="B551" i="5"/>
  <c r="L551" i="5" s="1"/>
  <c r="B552" i="5"/>
  <c r="L552" i="5" s="1"/>
  <c r="B553" i="5"/>
  <c r="L553" i="5" s="1"/>
  <c r="B554" i="5"/>
  <c r="L554" i="5" s="1"/>
  <c r="B555" i="5"/>
  <c r="L555" i="5" s="1"/>
  <c r="B556" i="5"/>
  <c r="L556" i="5" s="1"/>
  <c r="B557" i="5"/>
  <c r="L557" i="5" s="1"/>
  <c r="B558" i="5"/>
  <c r="L558" i="5" s="1"/>
  <c r="B559" i="5"/>
  <c r="L559" i="5" s="1"/>
  <c r="B560" i="5"/>
  <c r="L560" i="5" s="1"/>
  <c r="B561" i="5"/>
  <c r="L561" i="5" s="1"/>
  <c r="B562" i="5"/>
  <c r="L562" i="5" s="1"/>
  <c r="B563" i="5"/>
  <c r="L563" i="5" s="1"/>
  <c r="B564" i="5"/>
  <c r="L564" i="5" s="1"/>
  <c r="B565" i="5"/>
  <c r="L565" i="5" s="1"/>
  <c r="B566" i="5"/>
  <c r="L566" i="5" s="1"/>
  <c r="B567" i="5"/>
  <c r="L567" i="5" s="1"/>
  <c r="B568" i="5"/>
  <c r="L568" i="5" s="1"/>
  <c r="B569" i="5"/>
  <c r="L569" i="5" s="1"/>
  <c r="B570" i="5"/>
  <c r="L570" i="5" s="1"/>
  <c r="B571" i="5"/>
  <c r="L571" i="5" s="1"/>
  <c r="B572" i="5"/>
  <c r="L572" i="5" s="1"/>
  <c r="B573" i="5"/>
  <c r="L573" i="5" s="1"/>
  <c r="B574" i="5"/>
  <c r="L574" i="5" s="1"/>
  <c r="B575" i="5"/>
  <c r="L575" i="5" s="1"/>
  <c r="B576" i="5"/>
  <c r="L576" i="5" s="1"/>
  <c r="B577" i="5"/>
  <c r="L577" i="5" s="1"/>
  <c r="B578" i="5"/>
  <c r="L578" i="5" s="1"/>
  <c r="B579" i="5"/>
  <c r="L579" i="5" s="1"/>
  <c r="B580" i="5"/>
  <c r="L580" i="5" s="1"/>
  <c r="B581" i="5"/>
  <c r="L581" i="5" s="1"/>
  <c r="B582" i="5"/>
  <c r="L582" i="5" s="1"/>
  <c r="B583" i="5"/>
  <c r="L583" i="5" s="1"/>
  <c r="B584" i="5"/>
  <c r="L584" i="5" s="1"/>
  <c r="B585" i="5"/>
  <c r="L585" i="5" s="1"/>
  <c r="B586" i="5"/>
  <c r="L586" i="5" s="1"/>
  <c r="B587" i="5"/>
  <c r="L587" i="5" s="1"/>
  <c r="B588" i="5"/>
  <c r="L588" i="5" s="1"/>
  <c r="B589" i="5"/>
  <c r="L589" i="5" s="1"/>
  <c r="B590" i="5"/>
  <c r="L590" i="5" s="1"/>
  <c r="B591" i="5"/>
  <c r="L591" i="5" s="1"/>
  <c r="B592" i="5"/>
  <c r="L592" i="5" s="1"/>
  <c r="B593" i="5"/>
  <c r="L593" i="5" s="1"/>
  <c r="B594" i="5"/>
  <c r="L594" i="5" s="1"/>
  <c r="B595" i="5"/>
  <c r="L595" i="5" s="1"/>
  <c r="B596" i="5"/>
  <c r="L596" i="5" s="1"/>
  <c r="B597" i="5"/>
  <c r="L597" i="5" s="1"/>
  <c r="B598" i="5"/>
  <c r="L598" i="5" s="1"/>
  <c r="B599" i="5"/>
  <c r="L599" i="5" s="1"/>
  <c r="B600" i="5"/>
  <c r="L600" i="5" s="1"/>
  <c r="B601" i="5"/>
  <c r="L601" i="5" s="1"/>
  <c r="B602" i="5"/>
  <c r="L602" i="5" s="1"/>
  <c r="B603" i="5"/>
  <c r="L603" i="5" s="1"/>
  <c r="B604" i="5"/>
  <c r="L604" i="5" s="1"/>
  <c r="B605" i="5"/>
  <c r="L605" i="5" s="1"/>
  <c r="B606" i="5"/>
  <c r="L606" i="5" s="1"/>
  <c r="B607" i="5"/>
  <c r="L607" i="5" s="1"/>
  <c r="B608" i="5"/>
  <c r="L608" i="5" s="1"/>
  <c r="B609" i="5"/>
  <c r="L609" i="5" s="1"/>
  <c r="B610" i="5"/>
  <c r="L610" i="5" s="1"/>
  <c r="B611" i="5"/>
  <c r="L611" i="5" s="1"/>
  <c r="B612" i="5"/>
  <c r="L612" i="5" s="1"/>
  <c r="B613" i="5"/>
  <c r="L613" i="5" s="1"/>
  <c r="B614" i="5"/>
  <c r="L614" i="5" s="1"/>
  <c r="B615" i="5"/>
  <c r="L615" i="5" s="1"/>
  <c r="B616" i="5"/>
  <c r="L616" i="5" s="1"/>
  <c r="B617" i="5"/>
  <c r="L617" i="5" s="1"/>
  <c r="B618" i="5"/>
  <c r="L618" i="5" s="1"/>
  <c r="B619" i="5"/>
  <c r="L619" i="5" s="1"/>
  <c r="B620" i="5"/>
  <c r="L620" i="5" s="1"/>
  <c r="B621" i="5"/>
  <c r="L621" i="5" s="1"/>
  <c r="B622" i="5"/>
  <c r="L622" i="5" s="1"/>
  <c r="B623" i="5"/>
  <c r="L623" i="5" s="1"/>
  <c r="B624" i="5"/>
  <c r="L624" i="5" s="1"/>
  <c r="B625" i="5"/>
  <c r="L625" i="5" s="1"/>
  <c r="B626" i="5"/>
  <c r="L626" i="5" s="1"/>
  <c r="B627" i="5"/>
  <c r="L627" i="5" s="1"/>
  <c r="B628" i="5"/>
  <c r="L628" i="5" s="1"/>
  <c r="B629" i="5"/>
  <c r="L629" i="5" s="1"/>
  <c r="B630" i="5"/>
  <c r="L630" i="5" s="1"/>
  <c r="B631" i="5"/>
  <c r="L631" i="5" s="1"/>
  <c r="B632" i="5"/>
  <c r="L632" i="5" s="1"/>
  <c r="B633" i="5"/>
  <c r="L633" i="5" s="1"/>
  <c r="B634" i="5"/>
  <c r="L634" i="5" s="1"/>
  <c r="B635" i="5"/>
  <c r="L635" i="5" s="1"/>
  <c r="B636" i="5"/>
  <c r="L636" i="5" s="1"/>
  <c r="B637" i="5"/>
  <c r="L637" i="5" s="1"/>
  <c r="B638" i="5"/>
  <c r="L638" i="5" s="1"/>
  <c r="B639" i="5"/>
  <c r="L639" i="5" s="1"/>
  <c r="B640" i="5"/>
  <c r="L640" i="5" s="1"/>
  <c r="B641" i="5"/>
  <c r="L641" i="5" s="1"/>
  <c r="B642" i="5"/>
  <c r="L642" i="5" s="1"/>
  <c r="B643" i="5"/>
  <c r="L643" i="5" s="1"/>
  <c r="B644" i="5"/>
  <c r="L644" i="5" s="1"/>
  <c r="B645" i="5"/>
  <c r="L645" i="5" s="1"/>
  <c r="B646" i="5"/>
  <c r="L646" i="5" s="1"/>
  <c r="B647" i="5"/>
  <c r="L647" i="5" s="1"/>
  <c r="B648" i="5"/>
  <c r="L648" i="5" s="1"/>
  <c r="B649" i="5"/>
  <c r="L649" i="5" s="1"/>
  <c r="B4" i="5"/>
  <c r="B5" i="5"/>
  <c r="L5" i="5" s="1"/>
  <c r="I32" i="2"/>
  <c r="I25" i="2"/>
  <c r="K25" i="2" s="1"/>
  <c r="I24" i="2"/>
  <c r="K24" i="2" s="1"/>
  <c r="J20" i="2"/>
  <c r="I23" i="2"/>
  <c r="K23" i="2" s="1"/>
  <c r="J21" i="2"/>
  <c r="I13" i="2"/>
  <c r="K13" i="2" s="1"/>
  <c r="I12" i="2"/>
  <c r="J4" i="2"/>
  <c r="J7" i="2"/>
  <c r="J5" i="2"/>
  <c r="I4" i="2" s="1"/>
  <c r="J9" i="2"/>
  <c r="F592" i="4" l="1"/>
  <c r="F597" i="4"/>
  <c r="F595" i="4"/>
  <c r="F596" i="4"/>
  <c r="F591" i="4"/>
  <c r="F598" i="4"/>
  <c r="F599" i="4"/>
  <c r="F594" i="4"/>
  <c r="F593" i="4"/>
  <c r="F588" i="4"/>
  <c r="F590" i="4"/>
  <c r="F589" i="4"/>
  <c r="F587" i="4"/>
  <c r="H646" i="5"/>
  <c r="H638" i="5"/>
  <c r="H574" i="5"/>
  <c r="F575" i="4"/>
  <c r="F581" i="4"/>
  <c r="F580" i="4"/>
  <c r="F585" i="4"/>
  <c r="F584" i="4"/>
  <c r="F582" i="4"/>
  <c r="F576" i="4"/>
  <c r="F577" i="4"/>
  <c r="F586" i="4"/>
  <c r="F574" i="4"/>
  <c r="F578" i="4"/>
  <c r="F583" i="4"/>
  <c r="F579" i="4"/>
  <c r="H648" i="5"/>
  <c r="H640" i="5"/>
  <c r="H632" i="5"/>
  <c r="H643" i="5"/>
  <c r="H635" i="5"/>
  <c r="H645" i="5"/>
  <c r="H637" i="5"/>
  <c r="H650" i="5"/>
  <c r="H642" i="5"/>
  <c r="H634" i="5"/>
  <c r="H647" i="5"/>
  <c r="H639" i="5"/>
  <c r="H644" i="5"/>
  <c r="H636" i="5"/>
  <c r="H649" i="5"/>
  <c r="H641" i="5"/>
  <c r="H633" i="5"/>
  <c r="H630" i="5"/>
  <c r="H622" i="5"/>
  <c r="H614" i="5"/>
  <c r="H606" i="5"/>
  <c r="H627" i="5"/>
  <c r="H619" i="5"/>
  <c r="H611" i="5"/>
  <c r="H624" i="5"/>
  <c r="H616" i="5"/>
  <c r="H608" i="5"/>
  <c r="H629" i="5"/>
  <c r="H621" i="5"/>
  <c r="H613" i="5"/>
  <c r="H605" i="5"/>
  <c r="H626" i="5"/>
  <c r="H618" i="5"/>
  <c r="H610" i="5"/>
  <c r="H631" i="5"/>
  <c r="H623" i="5"/>
  <c r="H615" i="5"/>
  <c r="H607" i="5"/>
  <c r="H628" i="5"/>
  <c r="H620" i="5"/>
  <c r="H612" i="5"/>
  <c r="H604" i="5"/>
  <c r="H625" i="5"/>
  <c r="H617" i="5"/>
  <c r="H609" i="5"/>
  <c r="H603" i="5"/>
  <c r="H600" i="5"/>
  <c r="H576" i="5"/>
  <c r="H602" i="5"/>
  <c r="H575" i="5"/>
  <c r="H601" i="5"/>
  <c r="H3" i="5"/>
  <c r="Q4" i="5"/>
  <c r="Q5" i="5"/>
  <c r="Q3" i="5"/>
  <c r="Q2" i="5"/>
  <c r="L4" i="5"/>
  <c r="F351" i="4"/>
  <c r="F551" i="4"/>
  <c r="F9" i="4"/>
  <c r="F367" i="4"/>
  <c r="F47" i="4"/>
  <c r="F223" i="4"/>
  <c r="F535" i="4"/>
  <c r="F23" i="4"/>
  <c r="F103" i="4"/>
  <c r="F95" i="4"/>
  <c r="F479" i="4"/>
  <c r="F431" i="4"/>
  <c r="F279" i="4"/>
  <c r="F31" i="4"/>
  <c r="F87" i="4"/>
  <c r="F335" i="4"/>
  <c r="F519" i="4"/>
  <c r="F7" i="4"/>
  <c r="F63" i="4"/>
  <c r="F375" i="4"/>
  <c r="F552" i="4"/>
  <c r="F488" i="4"/>
  <c r="F424" i="4"/>
  <c r="F360" i="4"/>
  <c r="F296" i="4"/>
  <c r="F232" i="4"/>
  <c r="F168" i="4"/>
  <c r="F104" i="4"/>
  <c r="F40" i="4"/>
  <c r="F550" i="4"/>
  <c r="F486" i="4"/>
  <c r="F422" i="4"/>
  <c r="F358" i="4"/>
  <c r="F294" i="4"/>
  <c r="F230" i="4"/>
  <c r="F166" i="4"/>
  <c r="F102" i="4"/>
  <c r="F38" i="4"/>
  <c r="F549" i="4"/>
  <c r="F485" i="4"/>
  <c r="F421" i="4"/>
  <c r="F357" i="4"/>
  <c r="F293" i="4"/>
  <c r="F229" i="4"/>
  <c r="F165" i="4"/>
  <c r="F101" i="4"/>
  <c r="F37" i="4"/>
  <c r="F548" i="4"/>
  <c r="F484" i="4"/>
  <c r="F420" i="4"/>
  <c r="F356" i="4"/>
  <c r="F292" i="4"/>
  <c r="F228" i="4"/>
  <c r="F164" i="4"/>
  <c r="F100" i="4"/>
  <c r="F36" i="4"/>
  <c r="F547" i="4"/>
  <c r="F483" i="4"/>
  <c r="F419" i="4"/>
  <c r="F355" i="4"/>
  <c r="F291" i="4"/>
  <c r="F227" i="4"/>
  <c r="F163" i="4"/>
  <c r="F99" i="4"/>
  <c r="F35" i="4"/>
  <c r="F546" i="4"/>
  <c r="F482" i="4"/>
  <c r="F418" i="4"/>
  <c r="F354" i="4"/>
  <c r="F290" i="4"/>
  <c r="F226" i="4"/>
  <c r="F162" i="4"/>
  <c r="F98" i="4"/>
  <c r="F34" i="4"/>
  <c r="F537" i="4"/>
  <c r="F473" i="4"/>
  <c r="F409" i="4"/>
  <c r="F345" i="4"/>
  <c r="F281" i="4"/>
  <c r="F217" i="4"/>
  <c r="F153" i="4"/>
  <c r="F89" i="4"/>
  <c r="F25" i="4"/>
  <c r="F465" i="4"/>
  <c r="F273" i="4"/>
  <c r="F145" i="4"/>
  <c r="F17" i="4"/>
  <c r="F322" i="4"/>
  <c r="F569" i="4"/>
  <c r="F249" i="4"/>
  <c r="F554" i="4"/>
  <c r="F42" i="4"/>
  <c r="F111" i="4"/>
  <c r="F495" i="4"/>
  <c r="F271" i="4"/>
  <c r="F455" i="4"/>
  <c r="F511" i="4"/>
  <c r="F559" i="4"/>
  <c r="F311" i="4"/>
  <c r="F544" i="4"/>
  <c r="F480" i="4"/>
  <c r="F416" i="4"/>
  <c r="F352" i="4"/>
  <c r="F288" i="4"/>
  <c r="F224" i="4"/>
  <c r="F160" i="4"/>
  <c r="F96" i="4"/>
  <c r="F32" i="4"/>
  <c r="F542" i="4"/>
  <c r="F478" i="4"/>
  <c r="F414" i="4"/>
  <c r="F350" i="4"/>
  <c r="F286" i="4"/>
  <c r="F222" i="4"/>
  <c r="F158" i="4"/>
  <c r="F94" i="4"/>
  <c r="F30" i="4"/>
  <c r="F541" i="4"/>
  <c r="F477" i="4"/>
  <c r="F413" i="4"/>
  <c r="F349" i="4"/>
  <c r="F285" i="4"/>
  <c r="F221" i="4"/>
  <c r="F157" i="4"/>
  <c r="F93" i="4"/>
  <c r="F29" i="4"/>
  <c r="F540" i="4"/>
  <c r="F476" i="4"/>
  <c r="F412" i="4"/>
  <c r="F348" i="4"/>
  <c r="F284" i="4"/>
  <c r="F220" i="4"/>
  <c r="F156" i="4"/>
  <c r="F92" i="4"/>
  <c r="F28" i="4"/>
  <c r="F539" i="4"/>
  <c r="F475" i="4"/>
  <c r="F411" i="4"/>
  <c r="F347" i="4"/>
  <c r="F283" i="4"/>
  <c r="F219" i="4"/>
  <c r="F155" i="4"/>
  <c r="F91" i="4"/>
  <c r="F27" i="4"/>
  <c r="F538" i="4"/>
  <c r="F474" i="4"/>
  <c r="F410" i="4"/>
  <c r="F346" i="4"/>
  <c r="F282" i="4"/>
  <c r="F218" i="4"/>
  <c r="F154" i="4"/>
  <c r="F90" i="4"/>
  <c r="F26" i="4"/>
  <c r="F529" i="4"/>
  <c r="F401" i="4"/>
  <c r="F337" i="4"/>
  <c r="F209" i="4"/>
  <c r="F81" i="4"/>
  <c r="F450" i="4"/>
  <c r="F258" i="4"/>
  <c r="F505" i="4"/>
  <c r="F313" i="4"/>
  <c r="F57" i="4"/>
  <c r="F426" i="4"/>
  <c r="F545" i="4"/>
  <c r="F231" i="4"/>
  <c r="F239" i="4"/>
  <c r="F207" i="4"/>
  <c r="F391" i="4"/>
  <c r="F447" i="4"/>
  <c r="F175" i="4"/>
  <c r="F247" i="4"/>
  <c r="F536" i="4"/>
  <c r="F472" i="4"/>
  <c r="F408" i="4"/>
  <c r="F344" i="4"/>
  <c r="F280" i="4"/>
  <c r="F216" i="4"/>
  <c r="F152" i="4"/>
  <c r="F88" i="4"/>
  <c r="F24" i="4"/>
  <c r="F534" i="4"/>
  <c r="F470" i="4"/>
  <c r="F406" i="4"/>
  <c r="F342" i="4"/>
  <c r="F278" i="4"/>
  <c r="F214" i="4"/>
  <c r="F150" i="4"/>
  <c r="F86" i="4"/>
  <c r="F22" i="4"/>
  <c r="F533" i="4"/>
  <c r="F469" i="4"/>
  <c r="F405" i="4"/>
  <c r="F341" i="4"/>
  <c r="F277" i="4"/>
  <c r="F213" i="4"/>
  <c r="F149" i="4"/>
  <c r="F85" i="4"/>
  <c r="F21" i="4"/>
  <c r="F532" i="4"/>
  <c r="F468" i="4"/>
  <c r="F404" i="4"/>
  <c r="F340" i="4"/>
  <c r="F276" i="4"/>
  <c r="F212" i="4"/>
  <c r="F148" i="4"/>
  <c r="F84" i="4"/>
  <c r="F20" i="4"/>
  <c r="F531" i="4"/>
  <c r="F467" i="4"/>
  <c r="F403" i="4"/>
  <c r="F339" i="4"/>
  <c r="F275" i="4"/>
  <c r="F211" i="4"/>
  <c r="F147" i="4"/>
  <c r="F83" i="4"/>
  <c r="F19" i="4"/>
  <c r="F530" i="4"/>
  <c r="F466" i="4"/>
  <c r="F402" i="4"/>
  <c r="F338" i="4"/>
  <c r="F274" i="4"/>
  <c r="F210" i="4"/>
  <c r="F146" i="4"/>
  <c r="F82" i="4"/>
  <c r="F18" i="4"/>
  <c r="F521" i="4"/>
  <c r="F457" i="4"/>
  <c r="F393" i="4"/>
  <c r="F329" i="4"/>
  <c r="F265" i="4"/>
  <c r="F201" i="4"/>
  <c r="F137" i="4"/>
  <c r="F73" i="4"/>
  <c r="F449" i="4"/>
  <c r="F321" i="4"/>
  <c r="F193" i="4"/>
  <c r="F65" i="4"/>
  <c r="F386" i="4"/>
  <c r="F130" i="4"/>
  <c r="F377" i="4"/>
  <c r="F177" i="4"/>
  <c r="F234" i="4"/>
  <c r="F487" i="4"/>
  <c r="F471" i="4"/>
  <c r="F359" i="4"/>
  <c r="F143" i="4"/>
  <c r="F327" i="4"/>
  <c r="F383" i="4"/>
  <c r="F423" i="4"/>
  <c r="F183" i="4"/>
  <c r="F528" i="4"/>
  <c r="F464" i="4"/>
  <c r="F400" i="4"/>
  <c r="F336" i="4"/>
  <c r="F272" i="4"/>
  <c r="F208" i="4"/>
  <c r="F144" i="4"/>
  <c r="F80" i="4"/>
  <c r="F16" i="4"/>
  <c r="F526" i="4"/>
  <c r="F462" i="4"/>
  <c r="F398" i="4"/>
  <c r="F334" i="4"/>
  <c r="F270" i="4"/>
  <c r="F206" i="4"/>
  <c r="F142" i="4"/>
  <c r="F78" i="4"/>
  <c r="F14" i="4"/>
  <c r="F525" i="4"/>
  <c r="F461" i="4"/>
  <c r="F397" i="4"/>
  <c r="F333" i="4"/>
  <c r="F269" i="4"/>
  <c r="F205" i="4"/>
  <c r="F141" i="4"/>
  <c r="F77" i="4"/>
  <c r="F13" i="4"/>
  <c r="F524" i="4"/>
  <c r="F460" i="4"/>
  <c r="F396" i="4"/>
  <c r="F332" i="4"/>
  <c r="F268" i="4"/>
  <c r="F204" i="4"/>
  <c r="F140" i="4"/>
  <c r="F76" i="4"/>
  <c r="F12" i="4"/>
  <c r="F523" i="4"/>
  <c r="F459" i="4"/>
  <c r="F395" i="4"/>
  <c r="F331" i="4"/>
  <c r="F267" i="4"/>
  <c r="F203" i="4"/>
  <c r="F139" i="4"/>
  <c r="F75" i="4"/>
  <c r="F11" i="4"/>
  <c r="F522" i="4"/>
  <c r="F458" i="4"/>
  <c r="F394" i="4"/>
  <c r="F330" i="4"/>
  <c r="F266" i="4"/>
  <c r="F202" i="4"/>
  <c r="F138" i="4"/>
  <c r="F74" i="4"/>
  <c r="F10" i="4"/>
  <c r="F513" i="4"/>
  <c r="F385" i="4"/>
  <c r="F257" i="4"/>
  <c r="F129" i="4"/>
  <c r="F514" i="4"/>
  <c r="F194" i="4"/>
  <c r="F441" i="4"/>
  <c r="F185" i="4"/>
  <c r="F490" i="4"/>
  <c r="F543" i="4"/>
  <c r="F407" i="4"/>
  <c r="F39" i="4"/>
  <c r="F79" i="4"/>
  <c r="F263" i="4"/>
  <c r="F319" i="4"/>
  <c r="F167" i="4"/>
  <c r="F119" i="4"/>
  <c r="F520" i="4"/>
  <c r="F456" i="4"/>
  <c r="F392" i="4"/>
  <c r="F328" i="4"/>
  <c r="F264" i="4"/>
  <c r="F200" i="4"/>
  <c r="F136" i="4"/>
  <c r="F72" i="4"/>
  <c r="F8" i="4"/>
  <c r="F518" i="4"/>
  <c r="F454" i="4"/>
  <c r="F390" i="4"/>
  <c r="F326" i="4"/>
  <c r="F262" i="4"/>
  <c r="F198" i="4"/>
  <c r="F134" i="4"/>
  <c r="F70" i="4"/>
  <c r="F6" i="4"/>
  <c r="F517" i="4"/>
  <c r="F453" i="4"/>
  <c r="F389" i="4"/>
  <c r="F325" i="4"/>
  <c r="F261" i="4"/>
  <c r="F197" i="4"/>
  <c r="F133" i="4"/>
  <c r="F69" i="4"/>
  <c r="F5" i="4"/>
  <c r="F516" i="4"/>
  <c r="F452" i="4"/>
  <c r="F388" i="4"/>
  <c r="F324" i="4"/>
  <c r="F260" i="4"/>
  <c r="F196" i="4"/>
  <c r="F132" i="4"/>
  <c r="F68" i="4"/>
  <c r="F4" i="4"/>
  <c r="F515" i="4"/>
  <c r="F451" i="4"/>
  <c r="F387" i="4"/>
  <c r="F323" i="4"/>
  <c r="F259" i="4"/>
  <c r="F195" i="4"/>
  <c r="F131" i="4"/>
  <c r="F67" i="4"/>
  <c r="F66" i="4"/>
  <c r="F121" i="4"/>
  <c r="F49" i="4"/>
  <c r="F106" i="4"/>
  <c r="F415" i="4"/>
  <c r="F343" i="4"/>
  <c r="F527" i="4"/>
  <c r="F15" i="4"/>
  <c r="F199" i="4"/>
  <c r="F255" i="4"/>
  <c r="F567" i="4"/>
  <c r="F55" i="4"/>
  <c r="F512" i="4"/>
  <c r="F448" i="4"/>
  <c r="F384" i="4"/>
  <c r="F320" i="4"/>
  <c r="F256" i="4"/>
  <c r="F192" i="4"/>
  <c r="F128" i="4"/>
  <c r="F64" i="4"/>
  <c r="F3" i="4"/>
  <c r="F510" i="4"/>
  <c r="F446" i="4"/>
  <c r="F382" i="4"/>
  <c r="F318" i="4"/>
  <c r="F254" i="4"/>
  <c r="F190" i="4"/>
  <c r="F126" i="4"/>
  <c r="F62" i="4"/>
  <c r="F573" i="4"/>
  <c r="F509" i="4"/>
  <c r="F445" i="4"/>
  <c r="F381" i="4"/>
  <c r="F317" i="4"/>
  <c r="F253" i="4"/>
  <c r="F189" i="4"/>
  <c r="F125" i="4"/>
  <c r="F61" i="4"/>
  <c r="F572" i="4"/>
  <c r="F508" i="4"/>
  <c r="F444" i="4"/>
  <c r="F380" i="4"/>
  <c r="F316" i="4"/>
  <c r="F252" i="4"/>
  <c r="F188" i="4"/>
  <c r="F124" i="4"/>
  <c r="F60" i="4"/>
  <c r="F571" i="4"/>
  <c r="F507" i="4"/>
  <c r="F443" i="4"/>
  <c r="F379" i="4"/>
  <c r="F315" i="4"/>
  <c r="F251" i="4"/>
  <c r="F187" i="4"/>
  <c r="F123" i="4"/>
  <c r="F59" i="4"/>
  <c r="F570" i="4"/>
  <c r="F506" i="4"/>
  <c r="F442" i="4"/>
  <c r="F378" i="4"/>
  <c r="F314" i="4"/>
  <c r="F250" i="4"/>
  <c r="F186" i="4"/>
  <c r="F122" i="4"/>
  <c r="F58" i="4"/>
  <c r="F561" i="4"/>
  <c r="F497" i="4"/>
  <c r="F433" i="4"/>
  <c r="F369" i="4"/>
  <c r="F305" i="4"/>
  <c r="F241" i="4"/>
  <c r="F113" i="4"/>
  <c r="F170" i="4"/>
  <c r="F287" i="4"/>
  <c r="F215" i="4"/>
  <c r="F463" i="4"/>
  <c r="F303" i="4"/>
  <c r="F135" i="4"/>
  <c r="F191" i="4"/>
  <c r="F503" i="4"/>
  <c r="F568" i="4"/>
  <c r="F504" i="4"/>
  <c r="F440" i="4"/>
  <c r="F376" i="4"/>
  <c r="F312" i="4"/>
  <c r="F248" i="4"/>
  <c r="F184" i="4"/>
  <c r="F120" i="4"/>
  <c r="F56" i="4"/>
  <c r="F566" i="4"/>
  <c r="F502" i="4"/>
  <c r="F438" i="4"/>
  <c r="F374" i="4"/>
  <c r="F310" i="4"/>
  <c r="F246" i="4"/>
  <c r="F182" i="4"/>
  <c r="F118" i="4"/>
  <c r="F54" i="4"/>
  <c r="F565" i="4"/>
  <c r="F501" i="4"/>
  <c r="F437" i="4"/>
  <c r="F373" i="4"/>
  <c r="F309" i="4"/>
  <c r="F245" i="4"/>
  <c r="F181" i="4"/>
  <c r="F117" i="4"/>
  <c r="F53" i="4"/>
  <c r="F564" i="4"/>
  <c r="F500" i="4"/>
  <c r="F436" i="4"/>
  <c r="F372" i="4"/>
  <c r="F308" i="4"/>
  <c r="F244" i="4"/>
  <c r="F180" i="4"/>
  <c r="F116" i="4"/>
  <c r="F52" i="4"/>
  <c r="F563" i="4"/>
  <c r="F499" i="4"/>
  <c r="F435" i="4"/>
  <c r="F371" i="4"/>
  <c r="F307" i="4"/>
  <c r="F243" i="4"/>
  <c r="F179" i="4"/>
  <c r="F115" i="4"/>
  <c r="F51" i="4"/>
  <c r="F562" i="4"/>
  <c r="F498" i="4"/>
  <c r="F434" i="4"/>
  <c r="F370" i="4"/>
  <c r="F306" i="4"/>
  <c r="F242" i="4"/>
  <c r="F178" i="4"/>
  <c r="F114" i="4"/>
  <c r="F50" i="4"/>
  <c r="F553" i="4"/>
  <c r="F489" i="4"/>
  <c r="F425" i="4"/>
  <c r="F361" i="4"/>
  <c r="F297" i="4"/>
  <c r="F233" i="4"/>
  <c r="F169" i="4"/>
  <c r="F105" i="4"/>
  <c r="F41" i="4"/>
  <c r="F44" i="4"/>
  <c r="F363" i="4"/>
  <c r="F235" i="4"/>
  <c r="F107" i="4"/>
  <c r="F362" i="4"/>
  <c r="F159" i="4"/>
  <c r="F151" i="4"/>
  <c r="F399" i="4"/>
  <c r="F295" i="4"/>
  <c r="F71" i="4"/>
  <c r="F127" i="4"/>
  <c r="F439" i="4"/>
  <c r="F560" i="4"/>
  <c r="F496" i="4"/>
  <c r="F432" i="4"/>
  <c r="F368" i="4"/>
  <c r="F304" i="4"/>
  <c r="F240" i="4"/>
  <c r="F176" i="4"/>
  <c r="F112" i="4"/>
  <c r="F48" i="4"/>
  <c r="F558" i="4"/>
  <c r="F494" i="4"/>
  <c r="F430" i="4"/>
  <c r="F366" i="4"/>
  <c r="F302" i="4"/>
  <c r="F238" i="4"/>
  <c r="F174" i="4"/>
  <c r="F110" i="4"/>
  <c r="F46" i="4"/>
  <c r="F557" i="4"/>
  <c r="F493" i="4"/>
  <c r="F429" i="4"/>
  <c r="F365" i="4"/>
  <c r="F301" i="4"/>
  <c r="F237" i="4"/>
  <c r="F173" i="4"/>
  <c r="F109" i="4"/>
  <c r="F45" i="4"/>
  <c r="F556" i="4"/>
  <c r="F492" i="4"/>
  <c r="F428" i="4"/>
  <c r="F364" i="4"/>
  <c r="F300" i="4"/>
  <c r="F236" i="4"/>
  <c r="F172" i="4"/>
  <c r="F108" i="4"/>
  <c r="F555" i="4"/>
  <c r="F491" i="4"/>
  <c r="F427" i="4"/>
  <c r="F299" i="4"/>
  <c r="F171" i="4"/>
  <c r="F43" i="4"/>
  <c r="F298" i="4"/>
  <c r="F33" i="4"/>
  <c r="F353" i="4"/>
  <c r="F481" i="4"/>
  <c r="F417" i="4"/>
  <c r="F289" i="4"/>
  <c r="F97" i="4"/>
  <c r="F225" i="4"/>
  <c r="F161" i="4"/>
  <c r="H453" i="5"/>
  <c r="H4" i="5"/>
  <c r="H478" i="5"/>
  <c r="K4" i="2"/>
  <c r="I20" i="2"/>
  <c r="K20" i="2" s="1"/>
  <c r="I8" i="2"/>
  <c r="I19" i="2"/>
  <c r="I3" i="2"/>
  <c r="K3" i="2" s="1"/>
  <c r="J18" i="2"/>
  <c r="J27" i="2"/>
  <c r="J29" i="2"/>
  <c r="J31" i="2"/>
  <c r="I22" i="2"/>
  <c r="J11" i="2"/>
  <c r="J16" i="2"/>
  <c r="J10" i="2"/>
  <c r="J22" i="2"/>
  <c r="J6" i="2"/>
  <c r="J12" i="2"/>
  <c r="K12" i="2" s="1"/>
  <c r="I6" i="2"/>
  <c r="J8" i="2"/>
  <c r="J15" i="2"/>
  <c r="J17" i="2"/>
  <c r="J19" i="2"/>
  <c r="J28" i="2"/>
  <c r="J30" i="2"/>
  <c r="J32" i="2"/>
  <c r="K32" i="2" s="1"/>
  <c r="G32" i="5" l="1"/>
  <c r="H32" i="5" s="1"/>
  <c r="G335" i="5"/>
  <c r="G452" i="5"/>
  <c r="H452" i="5" s="1"/>
  <c r="G182" i="5"/>
  <c r="G181" i="5"/>
  <c r="G596" i="5"/>
  <c r="H596" i="5" s="1"/>
  <c r="G539" i="5"/>
  <c r="G178" i="5"/>
  <c r="G536" i="5"/>
  <c r="G571" i="5"/>
  <c r="H571" i="5" s="1"/>
  <c r="G570" i="5"/>
  <c r="H570" i="5" s="1"/>
  <c r="G569" i="5"/>
  <c r="H569" i="5" s="1"/>
  <c r="G28" i="5"/>
  <c r="G476" i="5"/>
  <c r="G507" i="5"/>
  <c r="H507" i="5" s="1"/>
  <c r="G597" i="5"/>
  <c r="H597" i="5" s="1"/>
  <c r="K6" i="2"/>
  <c r="K19" i="2"/>
  <c r="G392" i="5" s="1"/>
  <c r="K8" i="2"/>
  <c r="K22" i="2"/>
  <c r="I16" i="2"/>
  <c r="K16" i="2" s="1"/>
  <c r="I14" i="2"/>
  <c r="K14" i="2" s="1"/>
  <c r="I10" i="2"/>
  <c r="K10" i="2" s="1"/>
  <c r="I7" i="2"/>
  <c r="K7" i="2" s="1"/>
  <c r="I11" i="2"/>
  <c r="K11" i="2" s="1"/>
  <c r="G425" i="5" s="1"/>
  <c r="I29" i="2"/>
  <c r="K29" i="2" s="1"/>
  <c r="I5" i="2"/>
  <c r="K5" i="2" s="1"/>
  <c r="I28" i="2"/>
  <c r="K28" i="2" s="1"/>
  <c r="I31" i="2"/>
  <c r="K31" i="2" s="1"/>
  <c r="I27" i="2"/>
  <c r="K27" i="2" s="1"/>
  <c r="I21" i="2"/>
  <c r="K21" i="2" s="1"/>
  <c r="G329" i="5" s="1"/>
  <c r="I26" i="2"/>
  <c r="K26" i="2" s="1"/>
  <c r="I15" i="2"/>
  <c r="K15" i="2" s="1"/>
  <c r="I30" i="2"/>
  <c r="K30" i="2" s="1"/>
  <c r="G33" i="5" s="1"/>
  <c r="H33" i="5" s="1"/>
  <c r="I18" i="2"/>
  <c r="K18" i="2" s="1"/>
  <c r="I9" i="2"/>
  <c r="K9" i="2" s="1"/>
  <c r="I17" i="2"/>
  <c r="K17" i="2" s="1"/>
  <c r="G166" i="5" l="1"/>
  <c r="H166" i="5" s="1"/>
  <c r="G30" i="5"/>
  <c r="G127" i="5"/>
  <c r="G93" i="5"/>
  <c r="H93" i="5" s="1"/>
  <c r="G91" i="5"/>
  <c r="H91" i="5" s="1"/>
  <c r="G399" i="5"/>
  <c r="H399" i="5" s="1"/>
  <c r="G398" i="5"/>
  <c r="H398" i="5" s="1"/>
  <c r="G94" i="5"/>
  <c r="H94" i="5" s="1"/>
  <c r="G218" i="5"/>
  <c r="G304" i="5"/>
  <c r="G303" i="5"/>
  <c r="G220" i="5"/>
  <c r="G272" i="5"/>
  <c r="H272" i="5" s="1"/>
  <c r="G271" i="5"/>
  <c r="H271" i="5" s="1"/>
  <c r="G302" i="5"/>
  <c r="H302" i="5" s="1"/>
  <c r="G397" i="5"/>
  <c r="H397" i="5" s="1"/>
  <c r="G92" i="5"/>
  <c r="H92" i="5" s="1"/>
  <c r="G270" i="5"/>
  <c r="G273" i="5"/>
  <c r="G246" i="5"/>
  <c r="G219" i="5"/>
  <c r="H219" i="5" s="1"/>
  <c r="G63" i="5"/>
  <c r="H63" i="5" s="1"/>
  <c r="G245" i="5"/>
  <c r="H245" i="5" s="1"/>
  <c r="G89" i="5"/>
  <c r="H89" i="5" s="1"/>
  <c r="G426" i="5"/>
  <c r="G186" i="5"/>
  <c r="G333" i="5"/>
  <c r="G121" i="5"/>
  <c r="G241" i="5"/>
  <c r="G213" i="5"/>
  <c r="H213" i="5" s="1"/>
  <c r="G336" i="5"/>
  <c r="H336" i="5" s="1"/>
  <c r="G185" i="5"/>
  <c r="H185" i="5" s="1"/>
  <c r="G217" i="5"/>
  <c r="G179" i="5"/>
  <c r="G183" i="5"/>
  <c r="G59" i="5"/>
  <c r="G90" i="5"/>
  <c r="H90" i="5" s="1"/>
  <c r="G366" i="5"/>
  <c r="H366" i="5" s="1"/>
  <c r="G159" i="5"/>
  <c r="H159" i="5" s="1"/>
  <c r="G158" i="5"/>
  <c r="H158" i="5" s="1"/>
  <c r="G298" i="5"/>
  <c r="G208" i="5"/>
  <c r="G56" i="5"/>
  <c r="G479" i="5"/>
  <c r="H479" i="5" s="1"/>
  <c r="G62" i="5"/>
  <c r="H62" i="5" s="1"/>
  <c r="G365" i="5"/>
  <c r="H365" i="5" s="1"/>
  <c r="G187" i="5"/>
  <c r="G266" i="5"/>
  <c r="H266" i="5" s="1"/>
  <c r="G160" i="5"/>
  <c r="G212" i="5"/>
  <c r="G31" i="5"/>
  <c r="H31" i="5" s="1"/>
  <c r="G364" i="5"/>
  <c r="G363" i="5"/>
  <c r="H363" i="5" s="1"/>
  <c r="G480" i="5"/>
  <c r="H480" i="5" s="1"/>
  <c r="G60" i="5"/>
  <c r="H60" i="5" s="1"/>
  <c r="G449" i="5"/>
  <c r="H449" i="5" s="1"/>
  <c r="G475" i="5"/>
  <c r="G446" i="5"/>
  <c r="G424" i="5"/>
  <c r="G334" i="5"/>
  <c r="G128" i="5"/>
  <c r="H128" i="5" s="1"/>
  <c r="G126" i="5"/>
  <c r="H126" i="5" s="1"/>
  <c r="G195" i="5"/>
  <c r="H195" i="5" s="1"/>
  <c r="G133" i="5"/>
  <c r="H133" i="5" s="1"/>
  <c r="G375" i="5"/>
  <c r="H375" i="5" s="1"/>
  <c r="G546" i="5"/>
  <c r="H546" i="5" s="1"/>
  <c r="G189" i="5"/>
  <c r="G199" i="5"/>
  <c r="G481" i="5"/>
  <c r="H481" i="5" s="1"/>
  <c r="G464" i="5"/>
  <c r="H464" i="5" s="1"/>
  <c r="G39" i="5"/>
  <c r="H39" i="5" s="1"/>
  <c r="G280" i="5"/>
  <c r="H280" i="5" s="1"/>
  <c r="G482" i="5"/>
  <c r="G13" i="5"/>
  <c r="H13" i="5" s="1"/>
  <c r="G248" i="5"/>
  <c r="G65" i="5"/>
  <c r="G450" i="5"/>
  <c r="H450" i="5" s="1"/>
  <c r="G390" i="5"/>
  <c r="H390" i="5" s="1"/>
  <c r="G510" i="5"/>
  <c r="G444" i="5"/>
  <c r="H444" i="5" s="1"/>
  <c r="G244" i="5"/>
  <c r="G537" i="5"/>
  <c r="H537" i="5" s="1"/>
  <c r="G395" i="5"/>
  <c r="G360" i="5"/>
  <c r="G572" i="5"/>
  <c r="H572" i="5" s="1"/>
  <c r="G265" i="5"/>
  <c r="H265" i="5" s="1"/>
  <c r="G214" i="5"/>
  <c r="H214" i="5" s="1"/>
  <c r="G151" i="5"/>
  <c r="H151" i="5" s="1"/>
  <c r="G88" i="5"/>
  <c r="H88" i="5" s="1"/>
  <c r="G264" i="5"/>
  <c r="H264" i="5" s="1"/>
  <c r="G538" i="5"/>
  <c r="G328" i="5"/>
  <c r="G247" i="5"/>
  <c r="G8" i="5"/>
  <c r="H8" i="5" s="1"/>
  <c r="G308" i="5"/>
  <c r="H308" i="5" s="1"/>
  <c r="G405" i="5"/>
  <c r="H405" i="5" s="1"/>
  <c r="G581" i="5"/>
  <c r="H581" i="5" s="1"/>
  <c r="G582" i="5"/>
  <c r="H582" i="5" s="1"/>
  <c r="G547" i="5"/>
  <c r="G460" i="5"/>
  <c r="G37" i="5"/>
  <c r="H37" i="5" s="1"/>
  <c r="G221" i="5"/>
  <c r="H221" i="5" s="1"/>
  <c r="G190" i="5"/>
  <c r="H190" i="5" s="1"/>
  <c r="G374" i="5"/>
  <c r="H374" i="5" s="1"/>
  <c r="G251" i="5"/>
  <c r="H251" i="5" s="1"/>
  <c r="G64" i="5"/>
  <c r="H64" i="5" s="1"/>
  <c r="G224" i="5"/>
  <c r="G337" i="5"/>
  <c r="H337" i="5" s="1"/>
  <c r="G517" i="5"/>
  <c r="G550" i="5"/>
  <c r="H550" i="5" s="1"/>
  <c r="G340" i="5"/>
  <c r="H340" i="5" s="1"/>
  <c r="G484" i="5"/>
  <c r="H484" i="5" s="1"/>
  <c r="G41" i="5"/>
  <c r="G66" i="5"/>
  <c r="H66" i="5" s="1"/>
  <c r="G250" i="5"/>
  <c r="G95" i="5"/>
  <c r="G311" i="5"/>
  <c r="H311" i="5" s="1"/>
  <c r="G104" i="5"/>
  <c r="H104" i="5" s="1"/>
  <c r="G305" i="5"/>
  <c r="H305" i="5" s="1"/>
  <c r="G521" i="5"/>
  <c r="H521" i="5" s="1"/>
  <c r="G518" i="5"/>
  <c r="H518" i="5" s="1"/>
  <c r="G483" i="5"/>
  <c r="H483" i="5" s="1"/>
  <c r="G488" i="5"/>
  <c r="G97" i="5"/>
  <c r="G229" i="5"/>
  <c r="H229" i="5" s="1"/>
  <c r="G70" i="5"/>
  <c r="H70" i="5" s="1"/>
  <c r="G310" i="5"/>
  <c r="H310" i="5" s="1"/>
  <c r="G191" i="5"/>
  <c r="H191" i="5" s="1"/>
  <c r="G40" i="5"/>
  <c r="G284" i="5"/>
  <c r="H284" i="5" s="1"/>
  <c r="G457" i="5"/>
  <c r="G577" i="5"/>
  <c r="H577" i="5" s="1"/>
  <c r="G578" i="5"/>
  <c r="H578" i="5" s="1"/>
  <c r="G579" i="5"/>
  <c r="H579" i="5" s="1"/>
  <c r="G492" i="5"/>
  <c r="H492" i="5" s="1"/>
  <c r="G130" i="5"/>
  <c r="H130" i="5" s="1"/>
  <c r="G155" i="5"/>
  <c r="H155" i="5" s="1"/>
  <c r="G38" i="5"/>
  <c r="H38" i="5" s="1"/>
  <c r="G67" i="5"/>
  <c r="G549" i="5"/>
  <c r="G404" i="5"/>
  <c r="H404" i="5" s="1"/>
  <c r="G134" i="5"/>
  <c r="H134" i="5" s="1"/>
  <c r="G12" i="5"/>
  <c r="H12" i="5" s="1"/>
  <c r="G188" i="5"/>
  <c r="H188" i="5" s="1"/>
  <c r="G458" i="5"/>
  <c r="G9" i="5"/>
  <c r="H9" i="5" s="1"/>
  <c r="G10" i="5"/>
  <c r="G275" i="5"/>
  <c r="G485" i="5"/>
  <c r="H485" i="5" s="1"/>
  <c r="G432" i="5"/>
  <c r="H432" i="5" s="1"/>
  <c r="G197" i="5"/>
  <c r="H197" i="5" s="1"/>
  <c r="G135" i="5"/>
  <c r="H135" i="5" s="1"/>
  <c r="G401" i="5"/>
  <c r="G522" i="5"/>
  <c r="H522" i="5" s="1"/>
  <c r="G456" i="5"/>
  <c r="G278" i="5"/>
  <c r="H278" i="5" s="1"/>
  <c r="G184" i="5"/>
  <c r="H184" i="5" s="1"/>
  <c r="G599" i="5"/>
  <c r="H599" i="5" s="1"/>
  <c r="G512" i="5"/>
  <c r="G215" i="5"/>
  <c r="H215" i="5" s="1"/>
  <c r="G511" i="5"/>
  <c r="H511" i="5" s="1"/>
  <c r="G125" i="5"/>
  <c r="H125" i="5" s="1"/>
  <c r="G327" i="5"/>
  <c r="G560" i="5"/>
  <c r="H560" i="5" s="1"/>
  <c r="G472" i="5"/>
  <c r="H472" i="5" s="1"/>
  <c r="G436" i="5"/>
  <c r="H436" i="5" s="1"/>
  <c r="G416" i="5"/>
  <c r="H416" i="5" s="1"/>
  <c r="G384" i="5"/>
  <c r="H384" i="5" s="1"/>
  <c r="G348" i="5"/>
  <c r="G595" i="5"/>
  <c r="H595" i="5" s="1"/>
  <c r="G559" i="5"/>
  <c r="H559" i="5" s="1"/>
  <c r="G503" i="5"/>
  <c r="G467" i="5"/>
  <c r="H467" i="5" s="1"/>
  <c r="G435" i="5"/>
  <c r="H435" i="5" s="1"/>
  <c r="G594" i="5"/>
  <c r="H594" i="5" s="1"/>
  <c r="G558" i="5"/>
  <c r="H558" i="5" s="1"/>
  <c r="G502" i="5"/>
  <c r="G466" i="5"/>
  <c r="G410" i="5"/>
  <c r="G593" i="5"/>
  <c r="H593" i="5" s="1"/>
  <c r="G561" i="5"/>
  <c r="H561" i="5" s="1"/>
  <c r="G505" i="5"/>
  <c r="H505" i="5" s="1"/>
  <c r="G473" i="5"/>
  <c r="H473" i="5" s="1"/>
  <c r="G437" i="5"/>
  <c r="H437" i="5" s="1"/>
  <c r="G417" i="5"/>
  <c r="H417" i="5" s="1"/>
  <c r="G381" i="5"/>
  <c r="H381" i="5" s="1"/>
  <c r="G345" i="5"/>
  <c r="G325" i="5"/>
  <c r="G293" i="5"/>
  <c r="H293" i="5" s="1"/>
  <c r="G232" i="5"/>
  <c r="H232" i="5" s="1"/>
  <c r="G144" i="5"/>
  <c r="H144" i="5" s="1"/>
  <c r="G108" i="5"/>
  <c r="H108" i="5" s="1"/>
  <c r="G72" i="5"/>
  <c r="H72" i="5" s="1"/>
  <c r="G20" i="5"/>
  <c r="H20" i="5" s="1"/>
  <c r="G387" i="5"/>
  <c r="G351" i="5"/>
  <c r="G315" i="5"/>
  <c r="G295" i="5"/>
  <c r="H295" i="5" s="1"/>
  <c r="G259" i="5"/>
  <c r="H259" i="5" s="1"/>
  <c r="G207" i="5"/>
  <c r="H207" i="5" s="1"/>
  <c r="G171" i="5"/>
  <c r="H171" i="5" s="1"/>
  <c r="G115" i="5"/>
  <c r="H115" i="5" s="1"/>
  <c r="G79" i="5"/>
  <c r="G43" i="5"/>
  <c r="G23" i="5"/>
  <c r="H23" i="5" s="1"/>
  <c r="G382" i="5"/>
  <c r="H382" i="5" s="1"/>
  <c r="G346" i="5"/>
  <c r="H346" i="5" s="1"/>
  <c r="G290" i="5"/>
  <c r="H290" i="5" s="1"/>
  <c r="G254" i="5"/>
  <c r="H254" i="5" s="1"/>
  <c r="G234" i="5"/>
  <c r="H234" i="5" s="1"/>
  <c r="G142" i="5"/>
  <c r="H142" i="5" s="1"/>
  <c r="G106" i="5"/>
  <c r="G50" i="5"/>
  <c r="H50" i="5" s="1"/>
  <c r="G177" i="5"/>
  <c r="H177" i="5" s="1"/>
  <c r="G145" i="5"/>
  <c r="H145" i="5" s="1"/>
  <c r="G113" i="5"/>
  <c r="H113" i="5" s="1"/>
  <c r="G77" i="5"/>
  <c r="G45" i="5"/>
  <c r="H45" i="5" s="1"/>
  <c r="G592" i="5"/>
  <c r="H592" i="5" s="1"/>
  <c r="G504" i="5"/>
  <c r="G468" i="5"/>
  <c r="H468" i="5" s="1"/>
  <c r="G412" i="5"/>
  <c r="H412" i="5" s="1"/>
  <c r="G380" i="5"/>
  <c r="H380" i="5" s="1"/>
  <c r="G344" i="5"/>
  <c r="H344" i="5" s="1"/>
  <c r="G324" i="5"/>
  <c r="G591" i="5"/>
  <c r="H591" i="5" s="1"/>
  <c r="G499" i="5"/>
  <c r="G415" i="5"/>
  <c r="G590" i="5"/>
  <c r="H590" i="5" s="1"/>
  <c r="G534" i="5"/>
  <c r="H534" i="5" s="1"/>
  <c r="G498" i="5"/>
  <c r="H498" i="5" s="1"/>
  <c r="G442" i="5"/>
  <c r="H442" i="5" s="1"/>
  <c r="G589" i="5"/>
  <c r="H589" i="5" s="1"/>
  <c r="G557" i="5"/>
  <c r="H557" i="5" s="1"/>
  <c r="G501" i="5"/>
  <c r="H501" i="5" s="1"/>
  <c r="G469" i="5"/>
  <c r="G413" i="5"/>
  <c r="H413" i="5" s="1"/>
  <c r="G377" i="5"/>
  <c r="H377" i="5" s="1"/>
  <c r="G321" i="5"/>
  <c r="H321" i="5" s="1"/>
  <c r="G289" i="5"/>
  <c r="H289" i="5" s="1"/>
  <c r="G316" i="5"/>
  <c r="G296" i="5"/>
  <c r="H296" i="5" s="1"/>
  <c r="G260" i="5"/>
  <c r="G176" i="5"/>
  <c r="G140" i="5"/>
  <c r="H140" i="5" s="1"/>
  <c r="G120" i="5"/>
  <c r="H120" i="5" s="1"/>
  <c r="G52" i="5"/>
  <c r="H52" i="5" s="1"/>
  <c r="G16" i="5"/>
  <c r="H16" i="5" s="1"/>
  <c r="G383" i="5"/>
  <c r="H383" i="5" s="1"/>
  <c r="G347" i="5"/>
  <c r="H347" i="5" s="1"/>
  <c r="G291" i="5"/>
  <c r="G255" i="5"/>
  <c r="G239" i="5"/>
  <c r="H239" i="5" s="1"/>
  <c r="G203" i="5"/>
  <c r="H203" i="5" s="1"/>
  <c r="G167" i="5"/>
  <c r="H167" i="5" s="1"/>
  <c r="G147" i="5"/>
  <c r="H147" i="5" s="1"/>
  <c r="G111" i="5"/>
  <c r="H111" i="5" s="1"/>
  <c r="G75" i="5"/>
  <c r="H75" i="5" s="1"/>
  <c r="G19" i="5"/>
  <c r="G378" i="5"/>
  <c r="G322" i="5"/>
  <c r="H322" i="5" s="1"/>
  <c r="G286" i="5"/>
  <c r="H286" i="5" s="1"/>
  <c r="G174" i="5"/>
  <c r="H174" i="5" s="1"/>
  <c r="G138" i="5"/>
  <c r="H138" i="5" s="1"/>
  <c r="G118" i="5"/>
  <c r="H118" i="5" s="1"/>
  <c r="G82" i="5"/>
  <c r="H82" i="5" s="1"/>
  <c r="G46" i="5"/>
  <c r="G261" i="5"/>
  <c r="G173" i="5"/>
  <c r="H173" i="5" s="1"/>
  <c r="G141" i="5"/>
  <c r="H141" i="5" s="1"/>
  <c r="G109" i="5"/>
  <c r="H109" i="5" s="1"/>
  <c r="G73" i="5"/>
  <c r="H73" i="5" s="1"/>
  <c r="G25" i="5"/>
  <c r="H25" i="5" s="1"/>
  <c r="G588" i="5"/>
  <c r="H588" i="5" s="1"/>
  <c r="G532" i="5"/>
  <c r="H532" i="5" s="1"/>
  <c r="G500" i="5"/>
  <c r="G408" i="5"/>
  <c r="H408" i="5" s="1"/>
  <c r="G320" i="5"/>
  <c r="H320" i="5" s="1"/>
  <c r="G587" i="5"/>
  <c r="H587" i="5" s="1"/>
  <c r="G531" i="5"/>
  <c r="H531" i="5" s="1"/>
  <c r="G495" i="5"/>
  <c r="H495" i="5" s="1"/>
  <c r="G443" i="5"/>
  <c r="H443" i="5" s="1"/>
  <c r="G411" i="5"/>
  <c r="G586" i="5"/>
  <c r="H586" i="5" s="1"/>
  <c r="G530" i="5"/>
  <c r="H530" i="5" s="1"/>
  <c r="G494" i="5"/>
  <c r="H494" i="5" s="1"/>
  <c r="G474" i="5"/>
  <c r="H474" i="5" s="1"/>
  <c r="G438" i="5"/>
  <c r="H438" i="5" s="1"/>
  <c r="G418" i="5"/>
  <c r="H418" i="5" s="1"/>
  <c r="G585" i="5"/>
  <c r="H585" i="5" s="1"/>
  <c r="G533" i="5"/>
  <c r="H533" i="5" s="1"/>
  <c r="G497" i="5"/>
  <c r="G465" i="5"/>
  <c r="H465" i="5" s="1"/>
  <c r="G409" i="5"/>
  <c r="H409" i="5" s="1"/>
  <c r="G389" i="5"/>
  <c r="H389" i="5" s="1"/>
  <c r="G353" i="5"/>
  <c r="H353" i="5" s="1"/>
  <c r="G317" i="5"/>
  <c r="G292" i="5"/>
  <c r="H292" i="5" s="1"/>
  <c r="G256" i="5"/>
  <c r="G240" i="5"/>
  <c r="G204" i="5"/>
  <c r="H204" i="5" s="1"/>
  <c r="G172" i="5"/>
  <c r="H172" i="5" s="1"/>
  <c r="G116" i="5"/>
  <c r="H116" i="5" s="1"/>
  <c r="G80" i="5"/>
  <c r="H80" i="5" s="1"/>
  <c r="G48" i="5"/>
  <c r="G379" i="5"/>
  <c r="H379" i="5" s="1"/>
  <c r="G323" i="5"/>
  <c r="G287" i="5"/>
  <c r="G235" i="5"/>
  <c r="H235" i="5" s="1"/>
  <c r="G143" i="5"/>
  <c r="H143" i="5" s="1"/>
  <c r="G107" i="5"/>
  <c r="H107" i="5" s="1"/>
  <c r="G71" i="5"/>
  <c r="H71" i="5" s="1"/>
  <c r="G51" i="5"/>
  <c r="G15" i="5"/>
  <c r="H15" i="5" s="1"/>
  <c r="G354" i="5"/>
  <c r="G318" i="5"/>
  <c r="G262" i="5"/>
  <c r="H262" i="5" s="1"/>
  <c r="G206" i="5"/>
  <c r="H206" i="5" s="1"/>
  <c r="G170" i="5"/>
  <c r="H170" i="5" s="1"/>
  <c r="G150" i="5"/>
  <c r="H150" i="5" s="1"/>
  <c r="G114" i="5"/>
  <c r="G78" i="5"/>
  <c r="H78" i="5" s="1"/>
  <c r="G42" i="5"/>
  <c r="G22" i="5"/>
  <c r="G257" i="5"/>
  <c r="H257" i="5" s="1"/>
  <c r="G237" i="5"/>
  <c r="H237" i="5" s="1"/>
  <c r="G205" i="5"/>
  <c r="H205" i="5" s="1"/>
  <c r="G169" i="5"/>
  <c r="H169" i="5" s="1"/>
  <c r="G105" i="5"/>
  <c r="H105" i="5" s="1"/>
  <c r="G21" i="5"/>
  <c r="H21" i="5" s="1"/>
  <c r="G564" i="5"/>
  <c r="H564" i="5" s="1"/>
  <c r="G528" i="5"/>
  <c r="G496" i="5"/>
  <c r="H496" i="5" s="1"/>
  <c r="G440" i="5"/>
  <c r="H440" i="5" s="1"/>
  <c r="G388" i="5"/>
  <c r="H388" i="5" s="1"/>
  <c r="G352" i="5"/>
  <c r="H352" i="5" s="1"/>
  <c r="G563" i="5"/>
  <c r="H563" i="5" s="1"/>
  <c r="G527" i="5"/>
  <c r="H527" i="5" s="1"/>
  <c r="G471" i="5"/>
  <c r="G439" i="5"/>
  <c r="G562" i="5"/>
  <c r="H562" i="5" s="1"/>
  <c r="G526" i="5"/>
  <c r="H526" i="5" s="1"/>
  <c r="G506" i="5"/>
  <c r="H506" i="5" s="1"/>
  <c r="G470" i="5"/>
  <c r="H470" i="5" s="1"/>
  <c r="G414" i="5"/>
  <c r="H414" i="5" s="1"/>
  <c r="G565" i="5"/>
  <c r="H565" i="5" s="1"/>
  <c r="G529" i="5"/>
  <c r="G441" i="5"/>
  <c r="G385" i="5"/>
  <c r="H385" i="5" s="1"/>
  <c r="G349" i="5"/>
  <c r="H349" i="5" s="1"/>
  <c r="G297" i="5"/>
  <c r="H297" i="5" s="1"/>
  <c r="G288" i="5"/>
  <c r="H288" i="5" s="1"/>
  <c r="G236" i="5"/>
  <c r="H236" i="5" s="1"/>
  <c r="G200" i="5"/>
  <c r="H200" i="5" s="1"/>
  <c r="G168" i="5"/>
  <c r="H168" i="5" s="1"/>
  <c r="G148" i="5"/>
  <c r="H148" i="5" s="1"/>
  <c r="G112" i="5"/>
  <c r="G76" i="5"/>
  <c r="H76" i="5" s="1"/>
  <c r="G44" i="5"/>
  <c r="H44" i="5" s="1"/>
  <c r="G24" i="5"/>
  <c r="H24" i="5" s="1"/>
  <c r="G355" i="5"/>
  <c r="H355" i="5" s="1"/>
  <c r="G319" i="5"/>
  <c r="H319" i="5" s="1"/>
  <c r="G263" i="5"/>
  <c r="G231" i="5"/>
  <c r="G119" i="5"/>
  <c r="H119" i="5" s="1"/>
  <c r="G47" i="5"/>
  <c r="H47" i="5" s="1"/>
  <c r="G294" i="5"/>
  <c r="H294" i="5" s="1"/>
  <c r="G146" i="5"/>
  <c r="H146" i="5" s="1"/>
  <c r="G74" i="5"/>
  <c r="H74" i="5" s="1"/>
  <c r="G201" i="5"/>
  <c r="H201" i="5" s="1"/>
  <c r="G175" i="5"/>
  <c r="H175" i="5" s="1"/>
  <c r="G350" i="5"/>
  <c r="H350" i="5" s="1"/>
  <c r="G202" i="5"/>
  <c r="H202" i="5" s="1"/>
  <c r="G117" i="5"/>
  <c r="H117" i="5" s="1"/>
  <c r="G49" i="5"/>
  <c r="H49" i="5" s="1"/>
  <c r="G83" i="5"/>
  <c r="H83" i="5" s="1"/>
  <c r="G258" i="5"/>
  <c r="H258" i="5" s="1"/>
  <c r="G110" i="5"/>
  <c r="H110" i="5" s="1"/>
  <c r="G233" i="5"/>
  <c r="G139" i="5"/>
  <c r="H139" i="5" s="1"/>
  <c r="G386" i="5"/>
  <c r="H386" i="5" s="1"/>
  <c r="G238" i="5"/>
  <c r="H238" i="5" s="1"/>
  <c r="G18" i="5"/>
  <c r="H18" i="5" s="1"/>
  <c r="G149" i="5"/>
  <c r="H149" i="5" s="1"/>
  <c r="G81" i="5"/>
  <c r="H81" i="5" s="1"/>
  <c r="G17" i="5"/>
  <c r="H17" i="5" s="1"/>
  <c r="G211" i="5"/>
  <c r="G216" i="5"/>
  <c r="G477" i="5"/>
  <c r="H477" i="5" s="1"/>
  <c r="G598" i="5"/>
  <c r="H598" i="5" s="1"/>
  <c r="G332" i="5"/>
  <c r="H332" i="5" s="1"/>
  <c r="G53" i="5"/>
  <c r="H53" i="5" s="1"/>
  <c r="G58" i="5"/>
  <c r="H58" i="5" s="1"/>
  <c r="G87" i="5"/>
  <c r="H87" i="5" s="1"/>
  <c r="G267" i="5"/>
  <c r="G301" i="5"/>
  <c r="G566" i="5"/>
  <c r="H566" i="5" s="1"/>
  <c r="G567" i="5"/>
  <c r="H567" i="5" s="1"/>
  <c r="G568" i="5"/>
  <c r="H568" i="5" s="1"/>
  <c r="G157" i="5"/>
  <c r="H157" i="5" s="1"/>
  <c r="G154" i="5"/>
  <c r="H154" i="5" s="1"/>
  <c r="G394" i="5"/>
  <c r="H394" i="5" s="1"/>
  <c r="G84" i="5"/>
  <c r="G357" i="5"/>
  <c r="H357" i="5" s="1"/>
  <c r="G573" i="5"/>
  <c r="H573" i="5" s="1"/>
  <c r="G447" i="5"/>
  <c r="H447" i="5" s="1"/>
  <c r="G396" i="5"/>
  <c r="H396" i="5" s="1"/>
  <c r="G29" i="5"/>
  <c r="H29" i="5" s="1"/>
  <c r="G86" i="5"/>
  <c r="G326" i="5"/>
  <c r="H326" i="5" s="1"/>
  <c r="G243" i="5"/>
  <c r="G124" i="5"/>
  <c r="G300" i="5"/>
  <c r="H300" i="5" s="1"/>
  <c r="G419" i="5"/>
  <c r="H419" i="5" s="1"/>
  <c r="G508" i="5"/>
  <c r="G283" i="5"/>
  <c r="H283" i="5" s="1"/>
  <c r="G96" i="5"/>
  <c r="G281" i="5"/>
  <c r="H281" i="5" s="1"/>
  <c r="G461" i="5"/>
  <c r="G434" i="5"/>
  <c r="H434" i="5" s="1"/>
  <c r="G407" i="5"/>
  <c r="H407" i="5" s="1"/>
  <c r="G583" i="5"/>
  <c r="H583" i="5" s="1"/>
  <c r="G548" i="5"/>
  <c r="G69" i="5"/>
  <c r="H69" i="5" s="1"/>
  <c r="G6" i="5"/>
  <c r="G226" i="5"/>
  <c r="H226" i="5" s="1"/>
  <c r="G35" i="5"/>
  <c r="H35" i="5" s="1"/>
  <c r="G307" i="5"/>
  <c r="G100" i="5"/>
  <c r="H100" i="5" s="1"/>
  <c r="G276" i="5"/>
  <c r="H276" i="5" s="1"/>
  <c r="G373" i="5"/>
  <c r="H373" i="5" s="1"/>
  <c r="G553" i="5"/>
  <c r="G427" i="5"/>
  <c r="H427" i="5" s="1"/>
  <c r="G376" i="5"/>
  <c r="H376" i="5" s="1"/>
  <c r="G516" i="5"/>
  <c r="G193" i="5"/>
  <c r="G102" i="5"/>
  <c r="H102" i="5" s="1"/>
  <c r="G306" i="5"/>
  <c r="H306" i="5" s="1"/>
  <c r="G131" i="5"/>
  <c r="H131" i="5" s="1"/>
  <c r="G367" i="5"/>
  <c r="H367" i="5" s="1"/>
  <c r="G192" i="5"/>
  <c r="H192" i="5" s="1"/>
  <c r="G341" i="5"/>
  <c r="H341" i="5" s="1"/>
  <c r="G406" i="5"/>
  <c r="G554" i="5"/>
  <c r="G519" i="5"/>
  <c r="G520" i="5"/>
  <c r="H520" i="5" s="1"/>
  <c r="G129" i="5"/>
  <c r="H129" i="5" s="1"/>
  <c r="G249" i="5"/>
  <c r="H249" i="5" s="1"/>
  <c r="G162" i="5"/>
  <c r="G7" i="5"/>
  <c r="H7" i="5" s="1"/>
  <c r="G227" i="5"/>
  <c r="G164" i="5"/>
  <c r="H164" i="5" s="1"/>
  <c r="G277" i="5"/>
  <c r="H277" i="5" s="1"/>
  <c r="G489" i="5"/>
  <c r="H489" i="5" s="1"/>
  <c r="G430" i="5"/>
  <c r="H430" i="5" s="1"/>
  <c r="G403" i="5"/>
  <c r="H403" i="5" s="1"/>
  <c r="G368" i="5"/>
  <c r="H368" i="5" s="1"/>
  <c r="G524" i="5"/>
  <c r="H524" i="5" s="1"/>
  <c r="G54" i="5"/>
  <c r="G11" i="5"/>
  <c r="G165" i="5"/>
  <c r="H165" i="5" s="1"/>
  <c r="G314" i="5"/>
  <c r="H314" i="5" s="1"/>
  <c r="G103" i="5"/>
  <c r="H103" i="5" s="1"/>
  <c r="G252" i="5"/>
  <c r="H252" i="5" s="1"/>
  <c r="G369" i="5"/>
  <c r="H369" i="5" s="1"/>
  <c r="G491" i="5"/>
  <c r="H491" i="5" s="1"/>
  <c r="G5" i="5"/>
  <c r="H5" i="5" s="1"/>
  <c r="G338" i="5"/>
  <c r="H338" i="5" s="1"/>
  <c r="G285" i="5"/>
  <c r="H285" i="5" s="1"/>
  <c r="G551" i="5"/>
  <c r="H551" i="5" s="1"/>
  <c r="G230" i="5"/>
  <c r="H230" i="5" s="1"/>
  <c r="G68" i="5"/>
  <c r="H68" i="5" s="1"/>
  <c r="G463" i="5"/>
  <c r="H463" i="5" s="1"/>
  <c r="G34" i="5"/>
  <c r="H34" i="5" s="1"/>
  <c r="G274" i="5"/>
  <c r="G371" i="5"/>
  <c r="H371" i="5" s="1"/>
  <c r="G545" i="5"/>
  <c r="G523" i="5"/>
  <c r="H523" i="5" s="1"/>
  <c r="G370" i="5"/>
  <c r="H370" i="5" s="1"/>
  <c r="G421" i="5"/>
  <c r="H421" i="5" s="1"/>
  <c r="G153" i="5"/>
  <c r="G152" i="5"/>
  <c r="H152" i="5" s="1"/>
  <c r="G26" i="5"/>
  <c r="H26" i="5" s="1"/>
  <c r="G358" i="5"/>
  <c r="H358" i="5" s="1"/>
  <c r="G222" i="5"/>
  <c r="H222" i="5" s="1"/>
  <c r="G269" i="5"/>
  <c r="H269" i="5" s="1"/>
  <c r="G299" i="5"/>
  <c r="H299" i="5" s="1"/>
  <c r="G268" i="5"/>
  <c r="H268" i="5" s="1"/>
  <c r="G509" i="5"/>
  <c r="G423" i="5"/>
  <c r="H423" i="5" s="1"/>
  <c r="G420" i="5"/>
  <c r="H420" i="5" s="1"/>
  <c r="G85" i="5"/>
  <c r="H85" i="5" s="1"/>
  <c r="G242" i="5"/>
  <c r="H242" i="5" s="1"/>
  <c r="G123" i="5"/>
  <c r="H123" i="5" s="1"/>
  <c r="G359" i="5"/>
  <c r="H359" i="5" s="1"/>
  <c r="G445" i="5"/>
  <c r="H445" i="5" s="1"/>
  <c r="G391" i="5"/>
  <c r="H391" i="5" s="1"/>
  <c r="G356" i="5"/>
  <c r="H356" i="5" s="1"/>
  <c r="G57" i="5"/>
  <c r="H57" i="5" s="1"/>
  <c r="G209" i="5"/>
  <c r="H209" i="5" s="1"/>
  <c r="G210" i="5"/>
  <c r="H210" i="5" s="1"/>
  <c r="G55" i="5"/>
  <c r="H55" i="5" s="1"/>
  <c r="G156" i="5"/>
  <c r="H156" i="5" s="1"/>
  <c r="G393" i="5"/>
  <c r="H393" i="5" s="1"/>
  <c r="G422" i="5"/>
  <c r="H422" i="5" s="1"/>
  <c r="G535" i="5"/>
  <c r="H535" i="5" s="1"/>
  <c r="G448" i="5"/>
  <c r="G61" i="5"/>
  <c r="H61" i="5" s="1"/>
  <c r="G122" i="5"/>
  <c r="H122" i="5" s="1"/>
  <c r="G362" i="5"/>
  <c r="H362" i="5" s="1"/>
  <c r="G331" i="5"/>
  <c r="H331" i="5" s="1"/>
  <c r="G180" i="5"/>
  <c r="H180" i="5" s="1"/>
  <c r="G361" i="5"/>
  <c r="H361" i="5" s="1"/>
  <c r="G451" i="5"/>
  <c r="H451" i="5" s="1"/>
  <c r="G540" i="5"/>
  <c r="H540" i="5" s="1"/>
  <c r="G339" i="5"/>
  <c r="H339" i="5" s="1"/>
  <c r="G132" i="5"/>
  <c r="H132" i="5" s="1"/>
  <c r="G313" i="5"/>
  <c r="H313" i="5" s="1"/>
  <c r="G493" i="5"/>
  <c r="H493" i="5" s="1"/>
  <c r="G490" i="5"/>
  <c r="H490" i="5" s="1"/>
  <c r="G455" i="5"/>
  <c r="H455" i="5" s="1"/>
  <c r="G372" i="5"/>
  <c r="H372" i="5" s="1"/>
  <c r="G584" i="5"/>
  <c r="H584" i="5" s="1"/>
  <c r="G137" i="5"/>
  <c r="H137" i="5" s="1"/>
  <c r="G98" i="5"/>
  <c r="H98" i="5" s="1"/>
  <c r="G282" i="5"/>
  <c r="H282" i="5" s="1"/>
  <c r="G163" i="5"/>
  <c r="H163" i="5" s="1"/>
  <c r="G343" i="5"/>
  <c r="H343" i="5" s="1"/>
  <c r="G136" i="5"/>
  <c r="H136" i="5" s="1"/>
  <c r="G312" i="5"/>
  <c r="H312" i="5" s="1"/>
  <c r="G429" i="5"/>
  <c r="G402" i="5"/>
  <c r="H402" i="5" s="1"/>
  <c r="G459" i="5"/>
  <c r="H459" i="5" s="1"/>
  <c r="G428" i="5"/>
  <c r="H428" i="5" s="1"/>
  <c r="G552" i="5"/>
  <c r="H552" i="5" s="1"/>
  <c r="G225" i="5"/>
  <c r="H225" i="5" s="1"/>
  <c r="G194" i="5"/>
  <c r="H194" i="5" s="1"/>
  <c r="G342" i="5"/>
  <c r="H342" i="5" s="1"/>
  <c r="G223" i="5"/>
  <c r="H223" i="5" s="1"/>
  <c r="G36" i="5"/>
  <c r="H36" i="5" s="1"/>
  <c r="G228" i="5"/>
  <c r="H228" i="5" s="1"/>
  <c r="G433" i="5"/>
  <c r="H433" i="5" s="1"/>
  <c r="G462" i="5"/>
  <c r="G431" i="5"/>
  <c r="H431" i="5" s="1"/>
  <c r="G555" i="5"/>
  <c r="H555" i="5" s="1"/>
  <c r="G556" i="5"/>
  <c r="H556" i="5" s="1"/>
  <c r="G161" i="5"/>
  <c r="H161" i="5" s="1"/>
  <c r="G14" i="5"/>
  <c r="H14" i="5" s="1"/>
  <c r="G198" i="5"/>
  <c r="H198" i="5" s="1"/>
  <c r="G99" i="5"/>
  <c r="H99" i="5" s="1"/>
  <c r="G279" i="5"/>
  <c r="H279" i="5" s="1"/>
  <c r="G196" i="5"/>
  <c r="H196" i="5" s="1"/>
  <c r="G309" i="5"/>
  <c r="H309" i="5" s="1"/>
  <c r="G525" i="5"/>
  <c r="H525" i="5" s="1"/>
  <c r="G486" i="5"/>
  <c r="H486" i="5" s="1"/>
  <c r="G487" i="5"/>
  <c r="H487" i="5" s="1"/>
  <c r="G400" i="5"/>
  <c r="H400" i="5" s="1"/>
  <c r="G580" i="5"/>
  <c r="H580" i="5" s="1"/>
  <c r="G253" i="5"/>
  <c r="H253" i="5" s="1"/>
  <c r="G330" i="5"/>
  <c r="H330" i="5" s="1"/>
  <c r="G101" i="5"/>
  <c r="H101" i="5" s="1"/>
  <c r="G27" i="5"/>
  <c r="H27" i="5" s="1"/>
  <c r="H333" i="5"/>
  <c r="H500" i="5"/>
  <c r="H220" i="5"/>
  <c r="H499" i="5"/>
  <c r="H275" i="5"/>
  <c r="H59" i="5"/>
  <c r="H329" i="5"/>
  <c r="H360" i="5"/>
  <c r="H335" i="5"/>
  <c r="H502" i="5"/>
  <c r="H6" i="5"/>
  <c r="H457" i="5"/>
  <c r="H233" i="5"/>
  <c r="H10" i="5"/>
  <c r="H454" i="5"/>
  <c r="H475" i="5"/>
  <c r="H554" i="5"/>
  <c r="H553" i="5"/>
  <c r="H304" i="5"/>
  <c r="H56" i="5"/>
  <c r="H303" i="5"/>
  <c r="H446" i="5"/>
  <c r="H86" i="5"/>
  <c r="H461" i="5"/>
  <c r="H364" i="5"/>
  <c r="H538" i="5"/>
  <c r="H425" i="5"/>
  <c r="H536" i="5"/>
  <c r="H287" i="5"/>
  <c r="H95" i="5"/>
  <c r="H227" i="5"/>
  <c r="H274" i="5"/>
  <c r="H529" i="5"/>
  <c r="H273" i="5"/>
  <c r="H528" i="5"/>
  <c r="H247" i="5"/>
  <c r="H54" i="5"/>
  <c r="H429" i="5"/>
  <c r="H516" i="5"/>
  <c r="H124" i="5"/>
  <c r="H395" i="5"/>
  <c r="H514" i="5"/>
  <c r="H512" i="5"/>
  <c r="H96" i="5"/>
  <c r="H411" i="5"/>
  <c r="H250" i="5"/>
  <c r="H504" i="5"/>
  <c r="H248" i="5"/>
  <c r="H503" i="5"/>
  <c r="H30" i="5"/>
  <c r="H508" i="5"/>
  <c r="H316" i="5"/>
  <c r="H482" i="5"/>
  <c r="H42" i="5"/>
  <c r="H456" i="5"/>
  <c r="H255" i="5"/>
  <c r="H187" i="5"/>
  <c r="H224" i="5"/>
  <c r="H11" i="5"/>
  <c r="H458" i="5"/>
  <c r="H345" i="5"/>
  <c r="H121" i="5"/>
  <c r="H256" i="5"/>
  <c r="H40" i="5"/>
  <c r="H231" i="5"/>
  <c r="H46" i="5"/>
  <c r="H182" i="5"/>
  <c r="H246" i="5"/>
  <c r="H270" i="5"/>
  <c r="H318" i="5"/>
  <c r="H406" i="5"/>
  <c r="H462" i="5"/>
  <c r="H79" i="5"/>
  <c r="H127" i="5"/>
  <c r="H183" i="5"/>
  <c r="H263" i="5"/>
  <c r="H327" i="5"/>
  <c r="H351" i="5"/>
  <c r="H439" i="5"/>
  <c r="H471" i="5"/>
  <c r="H519" i="5"/>
  <c r="H543" i="5"/>
  <c r="H48" i="5"/>
  <c r="H160" i="5"/>
  <c r="H208" i="5"/>
  <c r="H216" i="5"/>
  <c r="H240" i="5"/>
  <c r="H328" i="5"/>
  <c r="H488" i="5"/>
  <c r="H544" i="5"/>
  <c r="H153" i="5"/>
  <c r="H217" i="5"/>
  <c r="H241" i="5"/>
  <c r="H401" i="5"/>
  <c r="H441" i="5"/>
  <c r="H497" i="5"/>
  <c r="H545" i="5"/>
  <c r="H22" i="5"/>
  <c r="H106" i="5"/>
  <c r="H162" i="5"/>
  <c r="H178" i="5"/>
  <c r="H186" i="5"/>
  <c r="H218" i="5"/>
  <c r="H298" i="5"/>
  <c r="H354" i="5"/>
  <c r="H378" i="5"/>
  <c r="H410" i="5"/>
  <c r="H466" i="5"/>
  <c r="H51" i="5"/>
  <c r="H179" i="5"/>
  <c r="H211" i="5"/>
  <c r="H243" i="5"/>
  <c r="H267" i="5"/>
  <c r="H291" i="5"/>
  <c r="H323" i="5"/>
  <c r="H547" i="5"/>
  <c r="H84" i="5"/>
  <c r="H212" i="5"/>
  <c r="H244" i="5"/>
  <c r="H324" i="5"/>
  <c r="H348" i="5"/>
  <c r="H548" i="5"/>
  <c r="H19" i="5"/>
  <c r="H77" i="5"/>
  <c r="H181" i="5"/>
  <c r="H261" i="5"/>
  <c r="H301" i="5"/>
  <c r="H325" i="5"/>
  <c r="H469" i="5"/>
  <c r="H517" i="5"/>
  <c r="H549" i="5"/>
  <c r="H476" i="5"/>
  <c r="H387" i="5"/>
  <c r="H189" i="5"/>
  <c r="H28" i="5"/>
  <c r="H193" i="5"/>
  <c r="H448" i="5"/>
  <c r="H415" i="5"/>
  <c r="H334" i="5"/>
  <c r="H460" i="5"/>
  <c r="H260" i="5"/>
  <c r="H539" i="5"/>
  <c r="H315" i="5"/>
  <c r="H426" i="5"/>
  <c r="H97" i="5"/>
  <c r="H424" i="5"/>
  <c r="H199" i="5"/>
  <c r="H542" i="5"/>
  <c r="H541" i="5"/>
  <c r="H515" i="5"/>
  <c r="H67" i="5"/>
  <c r="H513" i="5"/>
  <c r="H65" i="5"/>
  <c r="H510" i="5"/>
  <c r="H307" i="5"/>
  <c r="H114" i="5"/>
  <c r="H112" i="5"/>
  <c r="H509" i="5"/>
  <c r="H317" i="5"/>
  <c r="H43" i="5"/>
  <c r="H41" i="5"/>
  <c r="H392" i="5"/>
  <c r="H176" i="5"/>
  <c r="G41" i="2" l="1"/>
  <c r="K41" i="5"/>
  <c r="M41" i="5" s="1"/>
  <c r="K257" i="5"/>
  <c r="M257" i="5" s="1"/>
  <c r="K286" i="5"/>
  <c r="M286" i="5" s="1"/>
  <c r="K151" i="5"/>
  <c r="M151" i="5" s="1"/>
  <c r="K343" i="5"/>
  <c r="M343" i="5" s="1"/>
  <c r="K511" i="5"/>
  <c r="M511" i="5" s="1"/>
  <c r="K176" i="5"/>
  <c r="M176" i="5" s="1"/>
  <c r="K486" i="5"/>
  <c r="M486" i="5" s="1"/>
  <c r="K481" i="5"/>
  <c r="M481" i="5" s="1"/>
  <c r="K37" i="5"/>
  <c r="M37" i="5" s="1"/>
  <c r="K113" i="5"/>
  <c r="M113" i="5" s="1"/>
  <c r="K133" i="5"/>
  <c r="M133" i="5" s="1"/>
  <c r="K400" i="5"/>
  <c r="M400" i="5" s="1"/>
  <c r="K515" i="5"/>
  <c r="M515" i="5" s="1"/>
  <c r="K383" i="5"/>
  <c r="M383" i="5" s="1"/>
  <c r="K331" i="5"/>
  <c r="M331" i="5" s="1"/>
  <c r="K391" i="5"/>
  <c r="M391" i="5" s="1"/>
  <c r="K426" i="5"/>
  <c r="M426" i="5" s="1"/>
  <c r="K12" i="5"/>
  <c r="M12" i="5" s="1"/>
  <c r="K194" i="5"/>
  <c r="M194" i="5" s="1"/>
  <c r="K412" i="5"/>
  <c r="M412" i="5" s="1"/>
  <c r="K437" i="5"/>
  <c r="M437" i="5" s="1"/>
  <c r="K261" i="5"/>
  <c r="M261" i="5" s="1"/>
  <c r="K77" i="5"/>
  <c r="M77" i="5" s="1"/>
  <c r="K524" i="5"/>
  <c r="M524" i="5" s="1"/>
  <c r="K324" i="5"/>
  <c r="M324" i="5" s="1"/>
  <c r="K108" i="5"/>
  <c r="M108" i="5" s="1"/>
  <c r="K24" i="5"/>
  <c r="M24" i="5" s="1"/>
  <c r="K403" i="5"/>
  <c r="M403" i="5" s="1"/>
  <c r="K211" i="5"/>
  <c r="M211" i="5" s="1"/>
  <c r="K546" i="5"/>
  <c r="M546" i="5" s="1"/>
  <c r="K378" i="5"/>
  <c r="M378" i="5" s="1"/>
  <c r="K218" i="5"/>
  <c r="M218" i="5" s="1"/>
  <c r="K82" i="5"/>
  <c r="M82" i="5" s="1"/>
  <c r="K465" i="5"/>
  <c r="M465" i="5" s="1"/>
  <c r="K297" i="5"/>
  <c r="M297" i="5" s="1"/>
  <c r="K161" i="5"/>
  <c r="M161" i="5" s="1"/>
  <c r="K552" i="5"/>
  <c r="M552" i="5" s="1"/>
  <c r="K376" i="5"/>
  <c r="M376" i="5" s="1"/>
  <c r="K216" i="5"/>
  <c r="M216" i="5" s="1"/>
  <c r="K72" i="5"/>
  <c r="M72" i="5" s="1"/>
  <c r="K463" i="5"/>
  <c r="M463" i="5" s="1"/>
  <c r="K271" i="5"/>
  <c r="M271" i="5" s="1"/>
  <c r="K111" i="5"/>
  <c r="M111" i="5" s="1"/>
  <c r="K494" i="5"/>
  <c r="M494" i="5" s="1"/>
  <c r="K302" i="5"/>
  <c r="M302" i="5" s="1"/>
  <c r="K182" i="5"/>
  <c r="M182" i="5" s="1"/>
  <c r="K8" i="5"/>
  <c r="M8" i="5" s="1"/>
  <c r="K432" i="5"/>
  <c r="M432" i="5" s="1"/>
  <c r="K36" i="5"/>
  <c r="M36" i="5" s="1"/>
  <c r="K447" i="5"/>
  <c r="M447" i="5" s="1"/>
  <c r="K132" i="5"/>
  <c r="M132" i="5" s="1"/>
  <c r="K280" i="5"/>
  <c r="M280" i="5" s="1"/>
  <c r="K371" i="5"/>
  <c r="M371" i="5" s="1"/>
  <c r="K223" i="5"/>
  <c r="M223" i="5" s="1"/>
  <c r="K219" i="5"/>
  <c r="M219" i="5" s="1"/>
  <c r="K96" i="5"/>
  <c r="M96" i="5" s="1"/>
  <c r="K171" i="5"/>
  <c r="M171" i="5" s="1"/>
  <c r="K414" i="5"/>
  <c r="M414" i="5" s="1"/>
  <c r="K530" i="5"/>
  <c r="M530" i="5" s="1"/>
  <c r="K120" i="5"/>
  <c r="M120" i="5" s="1"/>
  <c r="K203" i="5"/>
  <c r="M203" i="5" s="1"/>
  <c r="K446" i="5"/>
  <c r="M446" i="5" s="1"/>
  <c r="K554" i="5"/>
  <c r="M554" i="5" s="1"/>
  <c r="K4" i="5"/>
  <c r="M4" i="5" s="1"/>
  <c r="K487" i="5"/>
  <c r="M487" i="5" s="1"/>
  <c r="K35" i="5"/>
  <c r="M35" i="5" s="1"/>
  <c r="K134" i="5"/>
  <c r="M134" i="5" s="1"/>
  <c r="K330" i="5"/>
  <c r="M330" i="5" s="1"/>
  <c r="K38" i="5"/>
  <c r="M38" i="5" s="1"/>
  <c r="K146" i="5"/>
  <c r="M146" i="5" s="1"/>
  <c r="K317" i="5"/>
  <c r="M317" i="5" s="1"/>
  <c r="K361" i="5"/>
  <c r="M361" i="5" s="1"/>
  <c r="K94" i="5"/>
  <c r="M94" i="5" s="1"/>
  <c r="K65" i="5"/>
  <c r="M65" i="5" s="1"/>
  <c r="K236" i="5"/>
  <c r="M236" i="5" s="1"/>
  <c r="K136" i="5"/>
  <c r="M136" i="5" s="1"/>
  <c r="K27" i="5"/>
  <c r="M27" i="5" s="1"/>
  <c r="K9" i="5"/>
  <c r="M9" i="5" s="1"/>
  <c r="K99" i="5"/>
  <c r="M99" i="5" s="1"/>
  <c r="K334" i="5"/>
  <c r="M334" i="5" s="1"/>
  <c r="K450" i="5"/>
  <c r="M450" i="5" s="1"/>
  <c r="K20" i="5"/>
  <c r="M20" i="5" s="1"/>
  <c r="K405" i="5"/>
  <c r="M405" i="5" s="1"/>
  <c r="K245" i="5"/>
  <c r="M245" i="5" s="1"/>
  <c r="K53" i="5"/>
  <c r="M53" i="5" s="1"/>
  <c r="K492" i="5"/>
  <c r="M492" i="5" s="1"/>
  <c r="K300" i="5"/>
  <c r="M300" i="5" s="1"/>
  <c r="K100" i="5"/>
  <c r="M100" i="5" s="1"/>
  <c r="K15" i="5"/>
  <c r="M15" i="5" s="1"/>
  <c r="K379" i="5"/>
  <c r="M379" i="5" s="1"/>
  <c r="K179" i="5"/>
  <c r="M179" i="5" s="1"/>
  <c r="K522" i="5"/>
  <c r="M522" i="5" s="1"/>
  <c r="K354" i="5"/>
  <c r="M354" i="5" s="1"/>
  <c r="K210" i="5"/>
  <c r="M210" i="5" s="1"/>
  <c r="K74" i="5"/>
  <c r="M74" i="5" s="1"/>
  <c r="K441" i="5"/>
  <c r="M441" i="5" s="1"/>
  <c r="K289" i="5"/>
  <c r="M289" i="5" s="1"/>
  <c r="K153" i="5"/>
  <c r="M153" i="5" s="1"/>
  <c r="K544" i="5"/>
  <c r="M544" i="5" s="1"/>
  <c r="K352" i="5"/>
  <c r="M352" i="5" s="1"/>
  <c r="K208" i="5"/>
  <c r="M208" i="5" s="1"/>
  <c r="K48" i="5"/>
  <c r="M48" i="5" s="1"/>
  <c r="K439" i="5"/>
  <c r="M439" i="5" s="1"/>
  <c r="K263" i="5"/>
  <c r="M263" i="5" s="1"/>
  <c r="K103" i="5"/>
  <c r="M103" i="5" s="1"/>
  <c r="K470" i="5"/>
  <c r="M470" i="5" s="1"/>
  <c r="K294" i="5"/>
  <c r="M294" i="5" s="1"/>
  <c r="K158" i="5"/>
  <c r="M158" i="5" s="1"/>
  <c r="K150" i="5"/>
  <c r="M150" i="5" s="1"/>
  <c r="K121" i="5"/>
  <c r="M121" i="5" s="1"/>
  <c r="K284" i="5"/>
  <c r="M284" i="5" s="1"/>
  <c r="K224" i="5"/>
  <c r="M224" i="5" s="1"/>
  <c r="K221" i="5"/>
  <c r="M221" i="5" s="1"/>
  <c r="K456" i="5"/>
  <c r="M456" i="5" s="1"/>
  <c r="K68" i="5"/>
  <c r="M68" i="5" s="1"/>
  <c r="K503" i="5"/>
  <c r="M503" i="5" s="1"/>
  <c r="K411" i="5"/>
  <c r="M411" i="5" s="1"/>
  <c r="K312" i="5"/>
  <c r="M312" i="5" s="1"/>
  <c r="K395" i="5"/>
  <c r="M395" i="5" s="1"/>
  <c r="K247" i="5"/>
  <c r="M247" i="5" s="1"/>
  <c r="K227" i="5"/>
  <c r="M227" i="5" s="1"/>
  <c r="K344" i="5"/>
  <c r="M344" i="5" s="1"/>
  <c r="K427" i="5"/>
  <c r="M427" i="5" s="1"/>
  <c r="K303" i="5"/>
  <c r="M303" i="5" s="1"/>
  <c r="K251" i="5"/>
  <c r="M251" i="5" s="1"/>
  <c r="K144" i="5"/>
  <c r="M144" i="5" s="1"/>
  <c r="K235" i="5"/>
  <c r="M235" i="5" s="1"/>
  <c r="K502" i="5"/>
  <c r="M502" i="5" s="1"/>
  <c r="K59" i="5"/>
  <c r="M59" i="5" s="1"/>
  <c r="K29" i="5"/>
  <c r="M29" i="5" s="1"/>
  <c r="K370" i="5"/>
  <c r="M370" i="5" s="1"/>
  <c r="K509" i="5"/>
  <c r="M509" i="5" s="1"/>
  <c r="K114" i="5"/>
  <c r="M114" i="5" s="1"/>
  <c r="K342" i="5"/>
  <c r="M342" i="5" s="1"/>
  <c r="K281" i="5"/>
  <c r="M281" i="5" s="1"/>
  <c r="K428" i="5"/>
  <c r="M428" i="5" s="1"/>
  <c r="K416" i="5"/>
  <c r="M416" i="5" s="1"/>
  <c r="K332" i="5"/>
  <c r="M332" i="5" s="1"/>
  <c r="K232" i="5"/>
  <c r="M232" i="5" s="1"/>
  <c r="K315" i="5"/>
  <c r="M315" i="5" s="1"/>
  <c r="K135" i="5"/>
  <c r="M135" i="5" s="1"/>
  <c r="K163" i="5"/>
  <c r="M163" i="5" s="1"/>
  <c r="K476" i="5"/>
  <c r="M476" i="5" s="1"/>
  <c r="K381" i="5"/>
  <c r="M381" i="5" s="1"/>
  <c r="K213" i="5"/>
  <c r="M213" i="5" s="1"/>
  <c r="K45" i="5"/>
  <c r="M45" i="5" s="1"/>
  <c r="K468" i="5"/>
  <c r="M468" i="5" s="1"/>
  <c r="K292" i="5"/>
  <c r="M292" i="5" s="1"/>
  <c r="K84" i="5"/>
  <c r="M84" i="5" s="1"/>
  <c r="K547" i="5"/>
  <c r="M547" i="5" s="1"/>
  <c r="K347" i="5"/>
  <c r="M347" i="5" s="1"/>
  <c r="K155" i="5"/>
  <c r="M155" i="5" s="1"/>
  <c r="K490" i="5"/>
  <c r="M490" i="5" s="1"/>
  <c r="K346" i="5"/>
  <c r="M346" i="5" s="1"/>
  <c r="K186" i="5"/>
  <c r="M186" i="5" s="1"/>
  <c r="K50" i="5"/>
  <c r="M50" i="5" s="1"/>
  <c r="K433" i="5"/>
  <c r="M433" i="5" s="1"/>
  <c r="K265" i="5"/>
  <c r="M265" i="5" s="1"/>
  <c r="K129" i="5"/>
  <c r="M129" i="5" s="1"/>
  <c r="K520" i="5"/>
  <c r="M520" i="5" s="1"/>
  <c r="K328" i="5"/>
  <c r="M328" i="5" s="1"/>
  <c r="K184" i="5"/>
  <c r="M184" i="5" s="1"/>
  <c r="K14" i="5"/>
  <c r="M14" i="5" s="1"/>
  <c r="K407" i="5"/>
  <c r="M407" i="5" s="1"/>
  <c r="K239" i="5"/>
  <c r="M239" i="5" s="1"/>
  <c r="K79" i="5"/>
  <c r="M79" i="5" s="1"/>
  <c r="K462" i="5"/>
  <c r="M462" i="5" s="1"/>
  <c r="K270" i="5"/>
  <c r="M270" i="5" s="1"/>
  <c r="K126" i="5"/>
  <c r="M126" i="5" s="1"/>
  <c r="K374" i="5"/>
  <c r="M374" i="5" s="1"/>
  <c r="K345" i="5"/>
  <c r="M345" i="5" s="1"/>
  <c r="K484" i="5"/>
  <c r="M484" i="5" s="1"/>
  <c r="K472" i="5"/>
  <c r="M472" i="5" s="1"/>
  <c r="K174" i="5"/>
  <c r="M174" i="5" s="1"/>
  <c r="K145" i="5"/>
  <c r="M145" i="5" s="1"/>
  <c r="K316" i="5"/>
  <c r="M316" i="5" s="1"/>
  <c r="K248" i="5"/>
  <c r="M248" i="5" s="1"/>
  <c r="K140" i="5"/>
  <c r="M140" i="5" s="1"/>
  <c r="K512" i="5"/>
  <c r="M512" i="5" s="1"/>
  <c r="K124" i="5"/>
  <c r="M124" i="5" s="1"/>
  <c r="K527" i="5"/>
  <c r="M527" i="5" s="1"/>
  <c r="K419" i="5"/>
  <c r="M419" i="5" s="1"/>
  <c r="K536" i="5"/>
  <c r="M536" i="5" s="1"/>
  <c r="K148" i="5"/>
  <c r="M148" i="5" s="1"/>
  <c r="K56" i="5"/>
  <c r="M56" i="5" s="1"/>
  <c r="K475" i="5"/>
  <c r="M475" i="5" s="1"/>
  <c r="K368" i="5"/>
  <c r="M368" i="5" s="1"/>
  <c r="K459" i="5"/>
  <c r="M459" i="5" s="1"/>
  <c r="K335" i="5"/>
  <c r="M335" i="5" s="1"/>
  <c r="K275" i="5"/>
  <c r="M275" i="5" s="1"/>
  <c r="K357" i="5"/>
  <c r="M357" i="5" s="1"/>
  <c r="K43" i="5"/>
  <c r="M43" i="5" s="1"/>
  <c r="K190" i="5"/>
  <c r="M190" i="5" s="1"/>
  <c r="K386" i="5"/>
  <c r="M386" i="5" s="1"/>
  <c r="K510" i="5"/>
  <c r="M510" i="5" s="1"/>
  <c r="K513" i="5"/>
  <c r="M513" i="5" s="1"/>
  <c r="K69" i="5"/>
  <c r="M69" i="5" s="1"/>
  <c r="K137" i="5"/>
  <c r="M137" i="5" s="1"/>
  <c r="K165" i="5"/>
  <c r="M165" i="5" s="1"/>
  <c r="K424" i="5"/>
  <c r="M424" i="5" s="1"/>
  <c r="K539" i="5"/>
  <c r="M539" i="5" s="1"/>
  <c r="K415" i="5"/>
  <c r="M415" i="5" s="1"/>
  <c r="K355" i="5"/>
  <c r="M355" i="5" s="1"/>
  <c r="K549" i="5"/>
  <c r="M549" i="5" s="1"/>
  <c r="K349" i="5"/>
  <c r="M349" i="5" s="1"/>
  <c r="K181" i="5"/>
  <c r="M181" i="5" s="1"/>
  <c r="K19" i="5"/>
  <c r="M19" i="5" s="1"/>
  <c r="K444" i="5"/>
  <c r="M444" i="5" s="1"/>
  <c r="K268" i="5"/>
  <c r="M268" i="5" s="1"/>
  <c r="K76" i="5"/>
  <c r="M76" i="5" s="1"/>
  <c r="K523" i="5"/>
  <c r="M523" i="5" s="1"/>
  <c r="K323" i="5"/>
  <c r="M323" i="5" s="1"/>
  <c r="K131" i="5"/>
  <c r="M131" i="5" s="1"/>
  <c r="K466" i="5"/>
  <c r="M466" i="5" s="1"/>
  <c r="K322" i="5"/>
  <c r="M322" i="5" s="1"/>
  <c r="K178" i="5"/>
  <c r="M178" i="5" s="1"/>
  <c r="K22" i="5"/>
  <c r="M22" i="5" s="1"/>
  <c r="K409" i="5"/>
  <c r="M409" i="5" s="1"/>
  <c r="K241" i="5"/>
  <c r="M241" i="5" s="1"/>
  <c r="K105" i="5"/>
  <c r="M105" i="5" s="1"/>
  <c r="K496" i="5"/>
  <c r="M496" i="5" s="1"/>
  <c r="K320" i="5"/>
  <c r="M320" i="5" s="1"/>
  <c r="K160" i="5"/>
  <c r="M160" i="5" s="1"/>
  <c r="K551" i="5"/>
  <c r="M551" i="5" s="1"/>
  <c r="K375" i="5"/>
  <c r="M375" i="5" s="1"/>
  <c r="K215" i="5"/>
  <c r="M215" i="5" s="1"/>
  <c r="K71" i="5"/>
  <c r="M71" i="5" s="1"/>
  <c r="K438" i="5"/>
  <c r="M438" i="5" s="1"/>
  <c r="K262" i="5"/>
  <c r="M262" i="5" s="1"/>
  <c r="K110" i="5"/>
  <c r="M110" i="5" s="1"/>
  <c r="K7" i="5"/>
  <c r="M7" i="5" s="1"/>
  <c r="K13" i="5"/>
  <c r="M13" i="5" s="1"/>
  <c r="K173" i="5"/>
  <c r="M173" i="5" s="1"/>
  <c r="K225" i="5"/>
  <c r="M225" i="5" s="1"/>
  <c r="K398" i="5"/>
  <c r="M398" i="5" s="1"/>
  <c r="K369" i="5"/>
  <c r="M369" i="5" s="1"/>
  <c r="K508" i="5"/>
  <c r="M508" i="5" s="1"/>
  <c r="K504" i="5"/>
  <c r="M504" i="5" s="1"/>
  <c r="K198" i="5"/>
  <c r="M198" i="5" s="1"/>
  <c r="K169" i="5"/>
  <c r="M169" i="5" s="1"/>
  <c r="K340" i="5"/>
  <c r="M340" i="5" s="1"/>
  <c r="K272" i="5"/>
  <c r="M272" i="5" s="1"/>
  <c r="K230" i="5"/>
  <c r="M230" i="5" s="1"/>
  <c r="K201" i="5"/>
  <c r="M201" i="5" s="1"/>
  <c r="K364" i="5"/>
  <c r="M364" i="5" s="1"/>
  <c r="K304" i="5"/>
  <c r="M304" i="5" s="1"/>
  <c r="K188" i="5"/>
  <c r="M188" i="5" s="1"/>
  <c r="K10" i="5"/>
  <c r="M10" i="5" s="1"/>
  <c r="K172" i="5"/>
  <c r="M172" i="5" s="1"/>
  <c r="K88" i="5"/>
  <c r="M88" i="5" s="1"/>
  <c r="K499" i="5"/>
  <c r="M499" i="5" s="1"/>
  <c r="K333" i="5"/>
  <c r="M333" i="5" s="1"/>
  <c r="K259" i="5"/>
  <c r="M259" i="5" s="1"/>
  <c r="K55" i="5"/>
  <c r="M55" i="5" s="1"/>
  <c r="K115" i="5"/>
  <c r="M115" i="5" s="1"/>
  <c r="K175" i="5"/>
  <c r="M175" i="5" s="1"/>
  <c r="K170" i="5"/>
  <c r="M170" i="5" s="1"/>
  <c r="K341" i="5"/>
  <c r="M341" i="5" s="1"/>
  <c r="K385" i="5"/>
  <c r="M385" i="5" s="1"/>
  <c r="K118" i="5"/>
  <c r="M118" i="5" s="1"/>
  <c r="K97" i="5"/>
  <c r="M97" i="5" s="1"/>
  <c r="K260" i="5"/>
  <c r="M260" i="5" s="1"/>
  <c r="K192" i="5"/>
  <c r="M192" i="5" s="1"/>
  <c r="K28" i="5"/>
  <c r="M28" i="5" s="1"/>
  <c r="K525" i="5"/>
  <c r="M525" i="5" s="1"/>
  <c r="K325" i="5"/>
  <c r="M325" i="5" s="1"/>
  <c r="K157" i="5"/>
  <c r="M157" i="5" s="1"/>
  <c r="K17" i="5"/>
  <c r="M17" i="5" s="1"/>
  <c r="K436" i="5"/>
  <c r="M436" i="5" s="1"/>
  <c r="K244" i="5"/>
  <c r="M244" i="5" s="1"/>
  <c r="K52" i="5"/>
  <c r="M52" i="5" s="1"/>
  <c r="K491" i="5"/>
  <c r="M491" i="5" s="1"/>
  <c r="K299" i="5"/>
  <c r="M299" i="5" s="1"/>
  <c r="K107" i="5"/>
  <c r="M107" i="5" s="1"/>
  <c r="K442" i="5"/>
  <c r="M442" i="5" s="1"/>
  <c r="K298" i="5"/>
  <c r="M298" i="5" s="1"/>
  <c r="K162" i="5"/>
  <c r="M162" i="5" s="1"/>
  <c r="K545" i="5"/>
  <c r="M545" i="5" s="1"/>
  <c r="K401" i="5"/>
  <c r="M401" i="5" s="1"/>
  <c r="K217" i="5"/>
  <c r="M217" i="5" s="1"/>
  <c r="K81" i="5"/>
  <c r="M81" i="5" s="1"/>
  <c r="K488" i="5"/>
  <c r="M488" i="5" s="1"/>
  <c r="K296" i="5"/>
  <c r="M296" i="5" s="1"/>
  <c r="K152" i="5"/>
  <c r="M152" i="5" s="1"/>
  <c r="K543" i="5"/>
  <c r="M543" i="5" s="1"/>
  <c r="K351" i="5"/>
  <c r="M351" i="5" s="1"/>
  <c r="K207" i="5"/>
  <c r="M207" i="5" s="1"/>
  <c r="K47" i="5"/>
  <c r="M47" i="5" s="1"/>
  <c r="K406" i="5"/>
  <c r="M406" i="5" s="1"/>
  <c r="K246" i="5"/>
  <c r="M246" i="5" s="1"/>
  <c r="K102" i="5"/>
  <c r="M102" i="5" s="1"/>
  <c r="K231" i="5"/>
  <c r="M231" i="5" s="1"/>
  <c r="K234" i="5"/>
  <c r="M234" i="5" s="1"/>
  <c r="K373" i="5"/>
  <c r="M373" i="5" s="1"/>
  <c r="K449" i="5"/>
  <c r="M449" i="5" s="1"/>
  <c r="K39" i="5"/>
  <c r="M39" i="5" s="1"/>
  <c r="K42" i="5"/>
  <c r="M42" i="5" s="1"/>
  <c r="K197" i="5"/>
  <c r="M197" i="5" s="1"/>
  <c r="K249" i="5"/>
  <c r="M249" i="5" s="1"/>
  <c r="K422" i="5"/>
  <c r="M422" i="5" s="1"/>
  <c r="K393" i="5"/>
  <c r="M393" i="5" s="1"/>
  <c r="K516" i="5"/>
  <c r="M516" i="5" s="1"/>
  <c r="K528" i="5"/>
  <c r="M528" i="5" s="1"/>
  <c r="K430" i="5"/>
  <c r="M430" i="5" s="1"/>
  <c r="K425" i="5"/>
  <c r="M425" i="5" s="1"/>
  <c r="K540" i="5"/>
  <c r="M540" i="5" s="1"/>
  <c r="K57" i="5"/>
  <c r="M57" i="5" s="1"/>
  <c r="K254" i="5"/>
  <c r="M254" i="5" s="1"/>
  <c r="K233" i="5"/>
  <c r="M233" i="5" s="1"/>
  <c r="K372" i="5"/>
  <c r="M372" i="5" s="1"/>
  <c r="K360" i="5"/>
  <c r="M360" i="5" s="1"/>
  <c r="K220" i="5"/>
  <c r="M220" i="5" s="1"/>
  <c r="K413" i="5"/>
  <c r="M413" i="5" s="1"/>
  <c r="K392" i="5"/>
  <c r="M392" i="5" s="1"/>
  <c r="K483" i="5"/>
  <c r="M483" i="5" s="1"/>
  <c r="K359" i="5"/>
  <c r="M359" i="5" s="1"/>
  <c r="K307" i="5"/>
  <c r="M307" i="5" s="1"/>
  <c r="K367" i="5"/>
  <c r="M367" i="5" s="1"/>
  <c r="K394" i="5"/>
  <c r="M394" i="5" s="1"/>
  <c r="K541" i="5"/>
  <c r="M541" i="5" s="1"/>
  <c r="K138" i="5"/>
  <c r="M138" i="5" s="1"/>
  <c r="K366" i="5"/>
  <c r="M366" i="5" s="1"/>
  <c r="K313" i="5"/>
  <c r="M313" i="5" s="1"/>
  <c r="K460" i="5"/>
  <c r="M460" i="5" s="1"/>
  <c r="K448" i="5"/>
  <c r="M448" i="5" s="1"/>
  <c r="K356" i="5"/>
  <c r="M356" i="5" s="1"/>
  <c r="K517" i="5"/>
  <c r="M517" i="5" s="1"/>
  <c r="K301" i="5"/>
  <c r="M301" i="5" s="1"/>
  <c r="K125" i="5"/>
  <c r="M125" i="5" s="1"/>
  <c r="K25" i="5"/>
  <c r="M25" i="5" s="1"/>
  <c r="K404" i="5"/>
  <c r="M404" i="5" s="1"/>
  <c r="K212" i="5"/>
  <c r="M212" i="5" s="1"/>
  <c r="K44" i="5"/>
  <c r="M44" i="5" s="1"/>
  <c r="K467" i="5"/>
  <c r="M467" i="5" s="1"/>
  <c r="K291" i="5"/>
  <c r="M291" i="5" s="1"/>
  <c r="K83" i="5"/>
  <c r="M83" i="5" s="1"/>
  <c r="K434" i="5"/>
  <c r="M434" i="5" s="1"/>
  <c r="K290" i="5"/>
  <c r="M290" i="5" s="1"/>
  <c r="K154" i="5"/>
  <c r="M154" i="5" s="1"/>
  <c r="K521" i="5"/>
  <c r="M521" i="5" s="1"/>
  <c r="K377" i="5"/>
  <c r="M377" i="5" s="1"/>
  <c r="K209" i="5"/>
  <c r="M209" i="5" s="1"/>
  <c r="K73" i="5"/>
  <c r="M73" i="5" s="1"/>
  <c r="K464" i="5"/>
  <c r="M464" i="5" s="1"/>
  <c r="K288" i="5"/>
  <c r="M288" i="5" s="1"/>
  <c r="K128" i="5"/>
  <c r="M128" i="5" s="1"/>
  <c r="K519" i="5"/>
  <c r="M519" i="5" s="1"/>
  <c r="K327" i="5"/>
  <c r="M327" i="5" s="1"/>
  <c r="K183" i="5"/>
  <c r="M183" i="5" s="1"/>
  <c r="K550" i="5"/>
  <c r="M550" i="5" s="1"/>
  <c r="K350" i="5"/>
  <c r="M350" i="5" s="1"/>
  <c r="K238" i="5"/>
  <c r="M238" i="5" s="1"/>
  <c r="K78" i="5"/>
  <c r="M78" i="5" s="1"/>
  <c r="K399" i="5"/>
  <c r="M399" i="5" s="1"/>
  <c r="K458" i="5"/>
  <c r="M458" i="5" s="1"/>
  <c r="K11" i="5"/>
  <c r="M11" i="5" s="1"/>
  <c r="K226" i="5"/>
  <c r="M226" i="5" s="1"/>
  <c r="K255" i="5"/>
  <c r="M255" i="5" s="1"/>
  <c r="K258" i="5"/>
  <c r="M258" i="5" s="1"/>
  <c r="K397" i="5"/>
  <c r="M397" i="5" s="1"/>
  <c r="K473" i="5"/>
  <c r="M473" i="5" s="1"/>
  <c r="K63" i="5"/>
  <c r="M63" i="5" s="1"/>
  <c r="K66" i="5"/>
  <c r="M66" i="5" s="1"/>
  <c r="K205" i="5"/>
  <c r="M205" i="5" s="1"/>
  <c r="K273" i="5"/>
  <c r="M273" i="5" s="1"/>
  <c r="K95" i="5"/>
  <c r="M95" i="5" s="1"/>
  <c r="K98" i="5"/>
  <c r="M98" i="5" s="1"/>
  <c r="K237" i="5"/>
  <c r="M237" i="5" s="1"/>
  <c r="K305" i="5"/>
  <c r="M305" i="5" s="1"/>
  <c r="K454" i="5"/>
  <c r="M454" i="5" s="1"/>
  <c r="K457" i="5"/>
  <c r="M457" i="5" s="1"/>
  <c r="K6" i="5"/>
  <c r="M6" i="5" s="1"/>
  <c r="K390" i="5"/>
  <c r="M390" i="5" s="1"/>
  <c r="K534" i="5"/>
  <c r="M534" i="5" s="1"/>
  <c r="K278" i="5"/>
  <c r="M278" i="5" s="1"/>
  <c r="K421" i="5"/>
  <c r="M421" i="5" s="1"/>
  <c r="K195" i="5"/>
  <c r="M195" i="5" s="1"/>
  <c r="K33" i="5"/>
  <c r="M33" i="5" s="1"/>
  <c r="K637" i="5"/>
  <c r="M637" i="5" s="1"/>
  <c r="K561" i="5"/>
  <c r="M561" i="5" s="1"/>
  <c r="K599" i="5"/>
  <c r="M599" i="5" s="1"/>
  <c r="K644" i="5"/>
  <c r="M644" i="5" s="1"/>
  <c r="K568" i="5"/>
  <c r="M568" i="5" s="1"/>
  <c r="K613" i="5"/>
  <c r="M613" i="5" s="1"/>
  <c r="K619" i="5"/>
  <c r="M619" i="5" s="1"/>
  <c r="K575" i="5"/>
  <c r="M575" i="5" s="1"/>
  <c r="K556" i="5"/>
  <c r="M556" i="5" s="1"/>
  <c r="K601" i="5"/>
  <c r="M601" i="5" s="1"/>
  <c r="K582" i="5"/>
  <c r="M582" i="5" s="1"/>
  <c r="K142" i="5"/>
  <c r="M142" i="5" s="1"/>
  <c r="K196" i="5"/>
  <c r="M196" i="5" s="1"/>
  <c r="K505" i="5"/>
  <c r="M505" i="5" s="1"/>
  <c r="K478" i="5"/>
  <c r="M478" i="5" s="1"/>
  <c r="K32" i="5"/>
  <c r="M32" i="5" s="1"/>
  <c r="K451" i="5"/>
  <c r="M451" i="5" s="1"/>
  <c r="K116" i="5"/>
  <c r="M116" i="5" s="1"/>
  <c r="K615" i="5"/>
  <c r="M615" i="5" s="1"/>
  <c r="K596" i="5"/>
  <c r="M596" i="5" s="1"/>
  <c r="K641" i="5"/>
  <c r="M641" i="5" s="1"/>
  <c r="K558" i="5"/>
  <c r="M558" i="5" s="1"/>
  <c r="K3" i="5"/>
  <c r="M3" i="5" s="1"/>
  <c r="K648" i="5"/>
  <c r="M648" i="5" s="1"/>
  <c r="K565" i="5"/>
  <c r="M565" i="5" s="1"/>
  <c r="K567" i="5"/>
  <c r="M567" i="5" s="1"/>
  <c r="K591" i="5"/>
  <c r="M591" i="5" s="1"/>
  <c r="K572" i="5"/>
  <c r="M572" i="5" s="1"/>
  <c r="K610" i="5"/>
  <c r="M610" i="5" s="1"/>
  <c r="K625" i="5"/>
  <c r="M625" i="5" s="1"/>
  <c r="K60" i="5"/>
  <c r="M60" i="5" s="1"/>
  <c r="K388" i="5"/>
  <c r="M388" i="5" s="1"/>
  <c r="K167" i="5"/>
  <c r="M167" i="5" s="1"/>
  <c r="K166" i="5"/>
  <c r="M166" i="5" s="1"/>
  <c r="K480" i="5"/>
  <c r="M480" i="5" s="1"/>
  <c r="K337" i="5"/>
  <c r="M337" i="5" s="1"/>
  <c r="K308" i="5"/>
  <c r="M308" i="5" s="1"/>
  <c r="K650" i="5"/>
  <c r="M650" i="5" s="1"/>
  <c r="K574" i="5"/>
  <c r="M574" i="5" s="1"/>
  <c r="K595" i="5"/>
  <c r="M595" i="5" s="1"/>
  <c r="K593" i="5"/>
  <c r="M593" i="5" s="1"/>
  <c r="K645" i="5"/>
  <c r="M645" i="5" s="1"/>
  <c r="K562" i="5"/>
  <c r="M562" i="5" s="1"/>
  <c r="K607" i="5"/>
  <c r="M607" i="5" s="1"/>
  <c r="K560" i="5"/>
  <c r="M560" i="5" s="1"/>
  <c r="K569" i="5"/>
  <c r="M569" i="5" s="1"/>
  <c r="K621" i="5"/>
  <c r="M621" i="5" s="1"/>
  <c r="K624" i="5"/>
  <c r="M624" i="5" s="1"/>
  <c r="K608" i="5"/>
  <c r="M608" i="5" s="1"/>
  <c r="K252" i="5"/>
  <c r="M252" i="5" s="1"/>
  <c r="K452" i="5"/>
  <c r="M452" i="5" s="1"/>
  <c r="K277" i="5"/>
  <c r="M277" i="5" s="1"/>
  <c r="K532" i="5"/>
  <c r="M532" i="5" s="1"/>
  <c r="K507" i="5"/>
  <c r="M507" i="5" s="1"/>
  <c r="K62" i="5"/>
  <c r="M62" i="5" s="1"/>
  <c r="K143" i="5"/>
  <c r="M143" i="5" s="1"/>
  <c r="K628" i="5"/>
  <c r="M628" i="5" s="1"/>
  <c r="K602" i="5"/>
  <c r="M602" i="5" s="1"/>
  <c r="K583" i="5"/>
  <c r="M583" i="5" s="1"/>
  <c r="K603" i="5"/>
  <c r="M603" i="5" s="1"/>
  <c r="K616" i="5"/>
  <c r="M616" i="5" s="1"/>
  <c r="K597" i="5"/>
  <c r="M597" i="5" s="1"/>
  <c r="K642" i="5"/>
  <c r="M642" i="5" s="1"/>
  <c r="K559" i="5"/>
  <c r="M559" i="5" s="1"/>
  <c r="K643" i="5"/>
  <c r="M643" i="5" s="1"/>
  <c r="K649" i="5"/>
  <c r="M649" i="5" s="1"/>
  <c r="K585" i="5"/>
  <c r="M585" i="5" s="1"/>
  <c r="K589" i="5"/>
  <c r="M589" i="5" s="1"/>
  <c r="K5" i="5"/>
  <c r="M5" i="5" s="1"/>
  <c r="K31" i="5"/>
  <c r="M31" i="5" s="1"/>
  <c r="K533" i="5"/>
  <c r="M533" i="5" s="1"/>
  <c r="K93" i="5"/>
  <c r="M93" i="5" s="1"/>
  <c r="K228" i="5"/>
  <c r="M228" i="5" s="1"/>
  <c r="K34" i="5"/>
  <c r="M34" i="5" s="1"/>
  <c r="K362" i="5"/>
  <c r="M362" i="5" s="1"/>
  <c r="K592" i="5"/>
  <c r="M592" i="5" s="1"/>
  <c r="K573" i="5"/>
  <c r="M573" i="5" s="1"/>
  <c r="K632" i="5"/>
  <c r="M632" i="5" s="1"/>
  <c r="K606" i="5"/>
  <c r="M606" i="5" s="1"/>
  <c r="K580" i="5"/>
  <c r="M580" i="5" s="1"/>
  <c r="K639" i="5"/>
  <c r="M639" i="5" s="1"/>
  <c r="K620" i="5"/>
  <c r="M620" i="5" s="1"/>
  <c r="K594" i="5"/>
  <c r="M594" i="5" s="1"/>
  <c r="K646" i="5"/>
  <c r="M646" i="5" s="1"/>
  <c r="K571" i="5"/>
  <c r="M571" i="5" s="1"/>
  <c r="K634" i="5"/>
  <c r="M634" i="5" s="1"/>
  <c r="K635" i="5"/>
  <c r="M635" i="5" s="1"/>
  <c r="K389" i="5"/>
  <c r="M389" i="5" s="1"/>
  <c r="K479" i="5"/>
  <c r="M479" i="5" s="1"/>
  <c r="K336" i="5"/>
  <c r="M336" i="5" s="1"/>
  <c r="K477" i="5"/>
  <c r="M477" i="5" s="1"/>
  <c r="K420" i="5"/>
  <c r="M420" i="5" s="1"/>
  <c r="K117" i="5"/>
  <c r="M117" i="5" s="1"/>
  <c r="K61" i="5"/>
  <c r="M61" i="5" s="1"/>
  <c r="K570" i="5"/>
  <c r="M570" i="5" s="1"/>
  <c r="K622" i="5"/>
  <c r="M622" i="5" s="1"/>
  <c r="K579" i="5"/>
  <c r="M579" i="5" s="1"/>
  <c r="K577" i="5"/>
  <c r="M577" i="5" s="1"/>
  <c r="K629" i="5"/>
  <c r="M629" i="5" s="1"/>
  <c r="K631" i="5"/>
  <c r="M631" i="5" s="1"/>
  <c r="K584" i="5"/>
  <c r="M584" i="5" s="1"/>
  <c r="K636" i="5"/>
  <c r="M636" i="5" s="1"/>
  <c r="K627" i="5"/>
  <c r="M627" i="5" s="1"/>
  <c r="K598" i="5"/>
  <c r="M598" i="5" s="1"/>
  <c r="K605" i="5"/>
  <c r="M605" i="5" s="1"/>
  <c r="K638" i="5"/>
  <c r="M638" i="5" s="1"/>
  <c r="K453" i="5"/>
  <c r="M453" i="5" s="1"/>
  <c r="K506" i="5"/>
  <c r="M506" i="5" s="1"/>
  <c r="K363" i="5"/>
  <c r="M363" i="5" s="1"/>
  <c r="K92" i="5"/>
  <c r="M92" i="5" s="1"/>
  <c r="K90" i="5"/>
  <c r="M90" i="5" s="1"/>
  <c r="K309" i="5"/>
  <c r="M309" i="5" s="1"/>
  <c r="K253" i="5"/>
  <c r="M253" i="5" s="1"/>
  <c r="K612" i="5"/>
  <c r="M612" i="5" s="1"/>
  <c r="K586" i="5"/>
  <c r="M586" i="5" s="1"/>
  <c r="K617" i="5"/>
  <c r="M617" i="5" s="1"/>
  <c r="K626" i="5"/>
  <c r="M626" i="5" s="1"/>
  <c r="K600" i="5"/>
  <c r="M600" i="5" s="1"/>
  <c r="K581" i="5"/>
  <c r="M581" i="5" s="1"/>
  <c r="K633" i="5"/>
  <c r="M633" i="5" s="1"/>
  <c r="K614" i="5"/>
  <c r="M614" i="5" s="1"/>
  <c r="K588" i="5"/>
  <c r="M588" i="5" s="1"/>
  <c r="K640" i="5"/>
  <c r="M640" i="5" s="1"/>
  <c r="K563" i="5"/>
  <c r="M563" i="5" s="1"/>
  <c r="K557" i="5"/>
  <c r="M557" i="5" s="1"/>
  <c r="K91" i="5"/>
  <c r="M91" i="5" s="1"/>
  <c r="K141" i="5"/>
  <c r="M141" i="5" s="1"/>
  <c r="K555" i="5"/>
  <c r="M555" i="5" s="1"/>
  <c r="K229" i="5"/>
  <c r="M229" i="5" s="1"/>
  <c r="K168" i="5"/>
  <c r="M168" i="5" s="1"/>
  <c r="K310" i="5"/>
  <c r="M310" i="5" s="1"/>
  <c r="K587" i="5"/>
  <c r="M587" i="5" s="1"/>
  <c r="K647" i="5"/>
  <c r="M647" i="5" s="1"/>
  <c r="K564" i="5"/>
  <c r="M564" i="5" s="1"/>
  <c r="K609" i="5"/>
  <c r="M609" i="5" s="1"/>
  <c r="K590" i="5"/>
  <c r="M590" i="5" s="1"/>
  <c r="K611" i="5"/>
  <c r="M611" i="5" s="1"/>
  <c r="K623" i="5"/>
  <c r="M623" i="5" s="1"/>
  <c r="K604" i="5"/>
  <c r="M604" i="5" s="1"/>
  <c r="K578" i="5"/>
  <c r="M578" i="5" s="1"/>
  <c r="K630" i="5"/>
  <c r="M630" i="5" s="1"/>
  <c r="K618" i="5"/>
  <c r="M618" i="5" s="1"/>
  <c r="K576" i="5"/>
  <c r="M576" i="5" s="1"/>
  <c r="K566" i="5"/>
  <c r="M566" i="5" s="1"/>
  <c r="K89" i="5"/>
  <c r="M89" i="5" s="1"/>
  <c r="K85" i="5"/>
  <c r="M85" i="5" s="1"/>
  <c r="K164" i="5"/>
  <c r="M164" i="5" s="1"/>
  <c r="K204" i="5"/>
  <c r="M204" i="5" s="1"/>
  <c r="K112" i="5"/>
  <c r="M112" i="5" s="1"/>
  <c r="K531" i="5"/>
  <c r="M531" i="5" s="1"/>
  <c r="K535" i="5"/>
  <c r="M535" i="5" s="1"/>
  <c r="K67" i="5"/>
  <c r="M67" i="5" s="1"/>
  <c r="K222" i="5"/>
  <c r="M222" i="5" s="1"/>
  <c r="K418" i="5"/>
  <c r="M418" i="5" s="1"/>
  <c r="K542" i="5"/>
  <c r="M542" i="5" s="1"/>
  <c r="K537" i="5"/>
  <c r="M537" i="5" s="1"/>
  <c r="K149" i="5"/>
  <c r="M149" i="5" s="1"/>
  <c r="K193" i="5"/>
  <c r="M193" i="5" s="1"/>
  <c r="K189" i="5"/>
  <c r="M189" i="5" s="1"/>
  <c r="K493" i="5"/>
  <c r="M493" i="5" s="1"/>
  <c r="K293" i="5"/>
  <c r="M293" i="5" s="1"/>
  <c r="K109" i="5"/>
  <c r="M109" i="5" s="1"/>
  <c r="K16" i="5"/>
  <c r="M16" i="5" s="1"/>
  <c r="K380" i="5"/>
  <c r="M380" i="5" s="1"/>
  <c r="K180" i="5"/>
  <c r="M180" i="5" s="1"/>
  <c r="K23" i="5"/>
  <c r="M23" i="5" s="1"/>
  <c r="K443" i="5"/>
  <c r="M443" i="5" s="1"/>
  <c r="K267" i="5"/>
  <c r="M267" i="5" s="1"/>
  <c r="K75" i="5"/>
  <c r="M75" i="5" s="1"/>
  <c r="K410" i="5"/>
  <c r="M410" i="5" s="1"/>
  <c r="K266" i="5"/>
  <c r="M266" i="5" s="1"/>
  <c r="K130" i="5"/>
  <c r="M130" i="5" s="1"/>
  <c r="K497" i="5"/>
  <c r="M497" i="5" s="1"/>
  <c r="K353" i="5"/>
  <c r="M353" i="5" s="1"/>
  <c r="K185" i="5"/>
  <c r="M185" i="5" s="1"/>
  <c r="K49" i="5"/>
  <c r="M49" i="5" s="1"/>
  <c r="K440" i="5"/>
  <c r="M440" i="5" s="1"/>
  <c r="K264" i="5"/>
  <c r="M264" i="5" s="1"/>
  <c r="K104" i="5"/>
  <c r="M104" i="5" s="1"/>
  <c r="K495" i="5"/>
  <c r="M495" i="5" s="1"/>
  <c r="K319" i="5"/>
  <c r="M319" i="5" s="1"/>
  <c r="K159" i="5"/>
  <c r="M159" i="5" s="1"/>
  <c r="K526" i="5"/>
  <c r="M526" i="5" s="1"/>
  <c r="K326" i="5"/>
  <c r="M326" i="5" s="1"/>
  <c r="K214" i="5"/>
  <c r="M214" i="5" s="1"/>
  <c r="K70" i="5"/>
  <c r="M70" i="5" s="1"/>
  <c r="K40" i="5"/>
  <c r="M40" i="5" s="1"/>
  <c r="K123" i="5"/>
  <c r="M123" i="5" s="1"/>
  <c r="K358" i="5"/>
  <c r="M358" i="5" s="1"/>
  <c r="K474" i="5"/>
  <c r="M474" i="5" s="1"/>
  <c r="K423" i="5"/>
  <c r="M423" i="5" s="1"/>
  <c r="K482" i="5"/>
  <c r="M482" i="5" s="1"/>
  <c r="K30" i="5"/>
  <c r="M30" i="5" s="1"/>
  <c r="K250" i="5"/>
  <c r="M250" i="5" s="1"/>
  <c r="K279" i="5"/>
  <c r="M279" i="5" s="1"/>
  <c r="K282" i="5"/>
  <c r="M282" i="5" s="1"/>
  <c r="K429" i="5"/>
  <c r="M429" i="5" s="1"/>
  <c r="K529" i="5"/>
  <c r="M529" i="5" s="1"/>
  <c r="K287" i="5"/>
  <c r="M287" i="5" s="1"/>
  <c r="K314" i="5"/>
  <c r="M314" i="5" s="1"/>
  <c r="K461" i="5"/>
  <c r="M461" i="5" s="1"/>
  <c r="K553" i="5"/>
  <c r="M553" i="5" s="1"/>
  <c r="K119" i="5"/>
  <c r="M119" i="5" s="1"/>
  <c r="K122" i="5"/>
  <c r="M122" i="5" s="1"/>
  <c r="K285" i="5"/>
  <c r="M285" i="5" s="1"/>
  <c r="K329" i="5"/>
  <c r="M329" i="5" s="1"/>
  <c r="K445" i="5"/>
  <c r="M445" i="5" s="1"/>
  <c r="K26" i="5"/>
  <c r="M26" i="5" s="1"/>
  <c r="K396" i="5"/>
  <c r="M396" i="5" s="1"/>
  <c r="K384" i="5"/>
  <c r="M384" i="5" s="1"/>
  <c r="K276" i="5"/>
  <c r="M276" i="5" s="1"/>
  <c r="K200" i="5"/>
  <c r="M200" i="5" s="1"/>
  <c r="K283" i="5"/>
  <c r="M283" i="5" s="1"/>
  <c r="K87" i="5"/>
  <c r="M87" i="5" s="1"/>
  <c r="K139" i="5"/>
  <c r="M139" i="5" s="1"/>
  <c r="K199" i="5"/>
  <c r="M199" i="5" s="1"/>
  <c r="K202" i="5"/>
  <c r="M202" i="5" s="1"/>
  <c r="K365" i="5"/>
  <c r="M365" i="5" s="1"/>
  <c r="K417" i="5"/>
  <c r="M417" i="5" s="1"/>
  <c r="K387" i="5"/>
  <c r="M387" i="5" s="1"/>
  <c r="K469" i="5"/>
  <c r="M469" i="5" s="1"/>
  <c r="K269" i="5"/>
  <c r="M269" i="5" s="1"/>
  <c r="K101" i="5"/>
  <c r="M101" i="5" s="1"/>
  <c r="K548" i="5"/>
  <c r="M548" i="5" s="1"/>
  <c r="K348" i="5"/>
  <c r="M348" i="5" s="1"/>
  <c r="K156" i="5"/>
  <c r="M156" i="5" s="1"/>
  <c r="K18" i="5"/>
  <c r="M18" i="5" s="1"/>
  <c r="K435" i="5"/>
  <c r="M435" i="5" s="1"/>
  <c r="K243" i="5"/>
  <c r="M243" i="5" s="1"/>
  <c r="K51" i="5"/>
  <c r="M51" i="5" s="1"/>
  <c r="K402" i="5"/>
  <c r="M402" i="5" s="1"/>
  <c r="K242" i="5"/>
  <c r="M242" i="5" s="1"/>
  <c r="K106" i="5"/>
  <c r="M106" i="5" s="1"/>
  <c r="K489" i="5"/>
  <c r="M489" i="5" s="1"/>
  <c r="K321" i="5"/>
  <c r="M321" i="5" s="1"/>
  <c r="K177" i="5"/>
  <c r="M177" i="5" s="1"/>
  <c r="K21" i="5"/>
  <c r="M21" i="5" s="1"/>
  <c r="K408" i="5"/>
  <c r="M408" i="5" s="1"/>
  <c r="K240" i="5"/>
  <c r="M240" i="5" s="1"/>
  <c r="K80" i="5"/>
  <c r="M80" i="5" s="1"/>
  <c r="K471" i="5"/>
  <c r="M471" i="5" s="1"/>
  <c r="K295" i="5"/>
  <c r="M295" i="5" s="1"/>
  <c r="K127" i="5"/>
  <c r="M127" i="5" s="1"/>
  <c r="K518" i="5"/>
  <c r="M518" i="5" s="1"/>
  <c r="K318" i="5"/>
  <c r="M318" i="5" s="1"/>
  <c r="K206" i="5"/>
  <c r="M206" i="5" s="1"/>
  <c r="K46" i="5"/>
  <c r="M46" i="5" s="1"/>
  <c r="K256" i="5"/>
  <c r="M256" i="5" s="1"/>
  <c r="K339" i="5"/>
  <c r="M339" i="5" s="1"/>
  <c r="K191" i="5"/>
  <c r="M191" i="5" s="1"/>
  <c r="K187" i="5"/>
  <c r="M187" i="5" s="1"/>
  <c r="K64" i="5"/>
  <c r="M64" i="5" s="1"/>
  <c r="K147" i="5"/>
  <c r="M147" i="5" s="1"/>
  <c r="K382" i="5"/>
  <c r="M382" i="5" s="1"/>
  <c r="K498" i="5"/>
  <c r="M498" i="5" s="1"/>
  <c r="K431" i="5"/>
  <c r="M431" i="5" s="1"/>
  <c r="K514" i="5"/>
  <c r="M514" i="5" s="1"/>
  <c r="K54" i="5"/>
  <c r="M54" i="5" s="1"/>
  <c r="K274" i="5"/>
  <c r="M274" i="5" s="1"/>
  <c r="K455" i="5"/>
  <c r="M455" i="5" s="1"/>
  <c r="K538" i="5"/>
  <c r="M538" i="5" s="1"/>
  <c r="K86" i="5"/>
  <c r="M86" i="5" s="1"/>
  <c r="K306" i="5"/>
  <c r="M306" i="5" s="1"/>
  <c r="K311" i="5"/>
  <c r="M311" i="5" s="1"/>
  <c r="K338" i="5"/>
  <c r="M338" i="5" s="1"/>
  <c r="K485" i="5"/>
  <c r="M485" i="5" s="1"/>
  <c r="K58" i="5"/>
  <c r="M58" i="5" s="1"/>
  <c r="K500" i="5"/>
  <c r="M500" i="5" s="1"/>
  <c r="K501" i="5"/>
  <c r="M501" i="5" s="1"/>
  <c r="I572" i="5" l="1"/>
  <c r="I505" i="5"/>
  <c r="I542" i="5"/>
  <c r="I545" i="5"/>
  <c r="I577" i="5"/>
  <c r="I507" i="5"/>
  <c r="I556" i="5"/>
  <c r="I558" i="5"/>
  <c r="I503" i="5"/>
  <c r="I566" i="5"/>
  <c r="I593" i="5"/>
  <c r="I547" i="5"/>
  <c r="I530" i="5"/>
  <c r="I557" i="5"/>
  <c r="I500" i="5"/>
  <c r="I567" i="5"/>
  <c r="I598" i="5"/>
  <c r="I202" i="5"/>
  <c r="I583" i="5"/>
  <c r="I563" i="5"/>
  <c r="I515" i="5"/>
  <c r="I550" i="5"/>
  <c r="I595" i="5"/>
  <c r="I546" i="5"/>
  <c r="I532" i="5"/>
  <c r="I516" i="5"/>
  <c r="I581" i="5"/>
  <c r="I517" i="5"/>
  <c r="I560" i="5"/>
  <c r="I526" i="5"/>
  <c r="I523" i="5"/>
  <c r="I499" i="5"/>
  <c r="I565" i="5"/>
  <c r="I585" i="5"/>
  <c r="I529" i="5"/>
  <c r="I561" i="5"/>
  <c r="I522" i="5"/>
  <c r="I559" i="5"/>
  <c r="I574" i="5"/>
  <c r="I504" i="5"/>
  <c r="I536" i="5"/>
  <c r="I510" i="5"/>
  <c r="I569" i="5"/>
  <c r="I540" i="5"/>
  <c r="I584" i="5"/>
  <c r="I549" i="5"/>
  <c r="I586" i="5"/>
  <c r="I580" i="5"/>
  <c r="I528" i="5"/>
  <c r="I544" i="5"/>
  <c r="I587" i="5"/>
  <c r="I502" i="5"/>
  <c r="I514" i="5"/>
  <c r="I568" i="5"/>
  <c r="I338" i="5"/>
  <c r="I592" i="5"/>
  <c r="I576" i="5"/>
  <c r="I582" i="5"/>
  <c r="I591" i="5"/>
  <c r="I554" i="5"/>
  <c r="I537" i="5"/>
  <c r="I579" i="5"/>
  <c r="I539" i="5"/>
  <c r="I548" i="5"/>
  <c r="I590" i="5"/>
  <c r="I553" i="5"/>
  <c r="I596" i="5"/>
  <c r="I519" i="5"/>
  <c r="I575" i="5"/>
  <c r="I562" i="5"/>
  <c r="I588" i="5"/>
  <c r="I573" i="5"/>
  <c r="I506" i="5"/>
  <c r="I511" i="5"/>
  <c r="I564" i="5"/>
  <c r="I520" i="5"/>
  <c r="I508" i="5"/>
  <c r="I513" i="5"/>
  <c r="I538" i="5"/>
  <c r="I534" i="5"/>
  <c r="I597" i="5"/>
  <c r="I551" i="5"/>
  <c r="I571" i="5"/>
  <c r="I543" i="5"/>
  <c r="I512" i="5"/>
  <c r="I521" i="5"/>
  <c r="I555" i="5"/>
  <c r="I498" i="5"/>
  <c r="I570" i="5"/>
  <c r="I589" i="5"/>
  <c r="I497" i="5"/>
  <c r="I531" i="5"/>
  <c r="I541" i="5"/>
  <c r="I509" i="5"/>
  <c r="I527" i="5"/>
  <c r="I535" i="5"/>
  <c r="I533" i="5"/>
  <c r="I501" i="5"/>
  <c r="I552" i="5"/>
  <c r="I524" i="5"/>
  <c r="I599" i="5"/>
  <c r="I525" i="5"/>
  <c r="I518" i="5"/>
  <c r="I578" i="5"/>
  <c r="I221" i="5"/>
  <c r="I208" i="5"/>
  <c r="I10" i="5"/>
  <c r="I153" i="5"/>
  <c r="I108" i="5"/>
  <c r="I212" i="5"/>
  <c r="I375" i="5"/>
  <c r="I172" i="5"/>
  <c r="I337" i="5"/>
  <c r="I417" i="5"/>
  <c r="I438" i="5"/>
  <c r="I165" i="5"/>
  <c r="I113" i="5"/>
  <c r="I464" i="5"/>
  <c r="I252" i="5"/>
  <c r="I256" i="5"/>
  <c r="I12" i="5"/>
  <c r="I167" i="5"/>
  <c r="I345" i="5"/>
  <c r="I387" i="5"/>
  <c r="I224" i="5"/>
  <c r="I111" i="5"/>
  <c r="I366" i="5"/>
  <c r="I134" i="5"/>
  <c r="I112" i="5"/>
  <c r="I14" i="5"/>
  <c r="I65" i="5"/>
  <c r="I210" i="5"/>
  <c r="I9" i="5"/>
  <c r="I348" i="5"/>
  <c r="I56" i="5"/>
  <c r="I391" i="5"/>
  <c r="I329" i="5"/>
  <c r="I240" i="5"/>
  <c r="I131" i="5"/>
  <c r="I406" i="5"/>
  <c r="I93" i="5"/>
  <c r="I474" i="5"/>
  <c r="I460" i="5"/>
  <c r="I123" i="5"/>
  <c r="I53" i="5"/>
  <c r="I324" i="5"/>
  <c r="I38" i="5"/>
  <c r="I104" i="5"/>
  <c r="I463" i="5"/>
  <c r="I64" i="5"/>
  <c r="I330" i="5"/>
  <c r="I206" i="5"/>
  <c r="I331" i="5"/>
  <c r="I98" i="5"/>
  <c r="I157" i="5"/>
  <c r="I372" i="5"/>
  <c r="I310" i="5"/>
  <c r="I70" i="5"/>
  <c r="I327" i="5"/>
  <c r="I494" i="5"/>
  <c r="I458" i="5"/>
  <c r="I97" i="5"/>
  <c r="I110" i="5"/>
  <c r="I247" i="5"/>
  <c r="I272" i="5"/>
  <c r="I305" i="5"/>
  <c r="I316" i="5"/>
  <c r="I374" i="5"/>
  <c r="I227" i="5"/>
  <c r="I151" i="5"/>
  <c r="I486" i="5"/>
  <c r="I46" i="5"/>
  <c r="I177" i="5"/>
  <c r="I47" i="5"/>
  <c r="I67" i="5"/>
  <c r="I260" i="5"/>
  <c r="I268" i="5"/>
  <c r="I373" i="5"/>
  <c r="I174" i="5"/>
  <c r="I152" i="5"/>
  <c r="I347" i="5"/>
  <c r="I313" i="5"/>
  <c r="I396" i="5"/>
  <c r="I149" i="5"/>
  <c r="I480" i="5"/>
  <c r="I415" i="5"/>
  <c r="I248" i="5"/>
  <c r="I84" i="5"/>
  <c r="I66" i="5"/>
  <c r="I191" i="5"/>
  <c r="I164" i="5"/>
  <c r="I74" i="5"/>
  <c r="I242" i="5"/>
  <c r="I454" i="5"/>
  <c r="I162" i="5"/>
  <c r="I225" i="5"/>
  <c r="I42" i="5"/>
  <c r="I120" i="5"/>
  <c r="I163" i="5"/>
  <c r="I386" i="5"/>
  <c r="I86" i="5"/>
  <c r="I357" i="5"/>
  <c r="I200" i="5"/>
  <c r="I119" i="5"/>
  <c r="I96" i="5"/>
  <c r="I427" i="5"/>
  <c r="I19" i="5"/>
  <c r="I37" i="5"/>
  <c r="I126" i="5"/>
  <c r="I254" i="5"/>
  <c r="I18" i="5"/>
  <c r="I82" i="5"/>
  <c r="I100" i="5"/>
  <c r="I488" i="5"/>
  <c r="I395" i="5"/>
  <c r="I475" i="5"/>
  <c r="I24" i="5"/>
  <c r="I490" i="5"/>
  <c r="I81" i="5"/>
  <c r="I235" i="5"/>
  <c r="I451" i="5"/>
  <c r="I142" i="5"/>
  <c r="I361" i="5"/>
  <c r="I88" i="5"/>
  <c r="I40" i="5"/>
  <c r="I383" i="5"/>
  <c r="I388" i="5"/>
  <c r="I447" i="5"/>
  <c r="I336" i="5"/>
  <c r="I30" i="5"/>
  <c r="I350" i="5"/>
  <c r="I349" i="5"/>
  <c r="I429" i="5"/>
  <c r="I51" i="5"/>
  <c r="I424" i="5"/>
  <c r="I194" i="5"/>
  <c r="I271" i="5"/>
  <c r="I178" i="5"/>
  <c r="I332" i="5"/>
  <c r="I114" i="5"/>
  <c r="I261" i="5"/>
  <c r="I196" i="5"/>
  <c r="I394" i="5"/>
  <c r="I4" i="5"/>
  <c r="I148" i="5"/>
  <c r="I95" i="5"/>
  <c r="I355" i="5"/>
  <c r="I335" i="5"/>
  <c r="I117" i="5"/>
  <c r="I107" i="5"/>
  <c r="I189" i="5"/>
  <c r="I267" i="5"/>
  <c r="I181" i="5"/>
  <c r="I399" i="5"/>
  <c r="I185" i="5"/>
  <c r="I193" i="5"/>
  <c r="I425" i="5"/>
  <c r="I233" i="5"/>
  <c r="I457" i="5"/>
  <c r="I58" i="5"/>
  <c r="I358" i="5"/>
  <c r="I160" i="5"/>
  <c r="I49" i="5"/>
  <c r="I246" i="5"/>
  <c r="I482" i="5"/>
  <c r="I354" i="5"/>
  <c r="I45" i="5"/>
  <c r="I370" i="5"/>
  <c r="I465" i="5"/>
  <c r="I441" i="5"/>
  <c r="I283" i="5"/>
  <c r="I379" i="5"/>
  <c r="I59" i="5"/>
  <c r="I491" i="5"/>
  <c r="I73" i="5"/>
  <c r="I213" i="5"/>
  <c r="I364" i="5"/>
  <c r="I378" i="5"/>
  <c r="I207" i="5"/>
  <c r="I356" i="5"/>
  <c r="I179" i="5"/>
  <c r="I75" i="5"/>
  <c r="I102" i="5"/>
  <c r="I341" i="5"/>
  <c r="I259" i="5"/>
  <c r="I238" i="5"/>
  <c r="I39" i="5"/>
  <c r="I154" i="5"/>
  <c r="I385" i="5"/>
  <c r="I28" i="5"/>
  <c r="I333" i="5"/>
  <c r="I390" i="5"/>
  <c r="I311" i="5"/>
  <c r="I158" i="5"/>
  <c r="I384" i="5"/>
  <c r="I380" i="5"/>
  <c r="I237" i="5"/>
  <c r="I439" i="5"/>
  <c r="I468" i="5"/>
  <c r="I308" i="5"/>
  <c r="I302" i="5"/>
  <c r="I309" i="5"/>
  <c r="I400" i="5"/>
  <c r="I351" i="5"/>
  <c r="I249" i="5"/>
  <c r="I274" i="5"/>
  <c r="I393" i="5"/>
  <c r="I377" i="5"/>
  <c r="I328" i="5"/>
  <c r="I435" i="5"/>
  <c r="I312" i="5"/>
  <c r="I492" i="5"/>
  <c r="I411" i="5"/>
  <c r="I430" i="5"/>
  <c r="I432" i="5"/>
  <c r="I99" i="5"/>
  <c r="I255" i="5"/>
  <c r="I22" i="5"/>
  <c r="I220" i="5"/>
  <c r="I470" i="5"/>
  <c r="I469" i="5"/>
  <c r="I44" i="5"/>
  <c r="I428" i="5"/>
  <c r="I282" i="5"/>
  <c r="I398" i="5"/>
  <c r="I244" i="5"/>
  <c r="I484" i="5"/>
  <c r="I446" i="5"/>
  <c r="I251" i="5"/>
  <c r="I322" i="5"/>
  <c r="I217" i="5"/>
  <c r="I85" i="5"/>
  <c r="I265" i="5"/>
  <c r="I115" i="5"/>
  <c r="I143" i="5"/>
  <c r="I3" i="5"/>
  <c r="I7" i="5"/>
  <c r="I264" i="5"/>
  <c r="I292" i="5"/>
  <c r="I169" i="5"/>
  <c r="I138" i="5"/>
  <c r="I420" i="5"/>
  <c r="I275" i="5"/>
  <c r="I294" i="5"/>
  <c r="I183" i="5"/>
  <c r="I276" i="5"/>
  <c r="I62" i="5"/>
  <c r="I433" i="5"/>
  <c r="I443" i="5"/>
  <c r="I68" i="5"/>
  <c r="I449" i="5"/>
  <c r="I434" i="5"/>
  <c r="I493" i="5"/>
  <c r="I437" i="5"/>
  <c r="I342" i="5"/>
  <c r="I239" i="5"/>
  <c r="I130" i="5"/>
  <c r="I269" i="5"/>
  <c r="I367" i="5"/>
  <c r="I180" i="5"/>
  <c r="I188" i="5"/>
  <c r="I334" i="5"/>
  <c r="I403" i="5"/>
  <c r="I216" i="5"/>
  <c r="I359" i="5"/>
  <c r="I232" i="5"/>
  <c r="I219" i="5"/>
  <c r="I402" i="5"/>
  <c r="I472" i="5"/>
  <c r="I140" i="5"/>
  <c r="I52" i="5"/>
  <c r="I368" i="5"/>
  <c r="I315" i="5"/>
  <c r="I303" i="5"/>
  <c r="I297" i="5"/>
  <c r="I352" i="5"/>
  <c r="I161" i="5"/>
  <c r="I166" i="5"/>
  <c r="I105" i="5"/>
  <c r="I382" i="5"/>
  <c r="I48" i="5"/>
  <c r="I168" i="5"/>
  <c r="I214" i="5"/>
  <c r="I229" i="5"/>
  <c r="I146" i="5"/>
  <c r="I87" i="5"/>
  <c r="I291" i="5"/>
  <c r="I91" i="5"/>
  <c r="I94" i="5"/>
  <c r="I122" i="5"/>
  <c r="I452" i="5"/>
  <c r="I323" i="5"/>
  <c r="I230" i="5"/>
  <c r="I198" i="5"/>
  <c r="I277" i="5"/>
  <c r="I103" i="5"/>
  <c r="I416" i="5"/>
  <c r="I448" i="5"/>
  <c r="I55" i="5"/>
  <c r="I483" i="5"/>
  <c r="I363" i="5"/>
  <c r="I32" i="5"/>
  <c r="I407" i="5"/>
  <c r="I293" i="5"/>
  <c r="I171" i="5"/>
  <c r="I156" i="5"/>
  <c r="I218" i="5"/>
  <c r="I50" i="5"/>
  <c r="I414" i="5"/>
  <c r="I300" i="5"/>
  <c r="I279" i="5"/>
  <c r="I440" i="5"/>
  <c r="I36" i="5"/>
  <c r="I445" i="5"/>
  <c r="I461" i="5"/>
  <c r="I195" i="5"/>
  <c r="I413" i="5"/>
  <c r="I186" i="5"/>
  <c r="I187" i="5"/>
  <c r="I136" i="5"/>
  <c r="I132" i="5"/>
  <c r="I326" i="5"/>
  <c r="I182" i="5"/>
  <c r="I60" i="5"/>
  <c r="I205" i="5"/>
  <c r="I431" i="5"/>
  <c r="I61" i="5"/>
  <c r="I15" i="5"/>
  <c r="I273" i="5"/>
  <c r="I150" i="5"/>
  <c r="I16" i="5"/>
  <c r="I234" i="5"/>
  <c r="I92" i="5"/>
  <c r="I360" i="5"/>
  <c r="I369" i="5"/>
  <c r="I320" i="5"/>
  <c r="I41" i="5"/>
  <c r="I253" i="5"/>
  <c r="I228" i="5"/>
  <c r="I304" i="5"/>
  <c r="I278" i="5"/>
  <c r="I346" i="5"/>
  <c r="I318" i="5"/>
  <c r="I145" i="5"/>
  <c r="I410" i="5"/>
  <c r="I69" i="5"/>
  <c r="I453" i="5"/>
  <c r="I139" i="5"/>
  <c r="I362" i="5"/>
  <c r="I33" i="5"/>
  <c r="I155" i="5"/>
  <c r="I295" i="5"/>
  <c r="I236" i="5"/>
  <c r="I340" i="5"/>
  <c r="I285" i="5"/>
  <c r="I25" i="5"/>
  <c r="I215" i="5"/>
  <c r="I389" i="5"/>
  <c r="I26" i="5"/>
  <c r="I266" i="5"/>
  <c r="I479" i="5"/>
  <c r="I127" i="5"/>
  <c r="I89" i="5"/>
  <c r="I485" i="5"/>
  <c r="I250" i="5"/>
  <c r="I299" i="5"/>
  <c r="I20" i="5"/>
  <c r="I223" i="5"/>
  <c r="I121" i="5"/>
  <c r="I78" i="5"/>
  <c r="I467" i="5"/>
  <c r="I79" i="5"/>
  <c r="I339" i="5"/>
  <c r="I128" i="5"/>
  <c r="I456" i="5"/>
  <c r="I421" i="5"/>
  <c r="I135" i="5"/>
  <c r="I450" i="5"/>
  <c r="I17" i="5"/>
  <c r="I262" i="5"/>
  <c r="I231" i="5"/>
  <c r="I209" i="5"/>
  <c r="I478" i="5"/>
  <c r="I376" i="5"/>
  <c r="I397" i="5"/>
  <c r="I211" i="5"/>
  <c r="I23" i="5"/>
  <c r="I137" i="5"/>
  <c r="I34" i="5"/>
  <c r="I106" i="5"/>
  <c r="I409" i="5"/>
  <c r="I459" i="5"/>
  <c r="I280" i="5"/>
  <c r="I455" i="5"/>
  <c r="I314" i="5"/>
  <c r="I5" i="5"/>
  <c r="I317" i="5"/>
  <c r="I353" i="5"/>
  <c r="I197" i="5"/>
  <c r="I321" i="5"/>
  <c r="I226" i="5"/>
  <c r="I287" i="5"/>
  <c r="I141" i="5"/>
  <c r="I419" i="5"/>
  <c r="I35" i="5"/>
  <c r="I481" i="5"/>
  <c r="I289" i="5"/>
  <c r="I76" i="5"/>
  <c r="I270" i="5"/>
  <c r="I147" i="5"/>
  <c r="I281" i="5"/>
  <c r="I173" i="5"/>
  <c r="I57" i="5"/>
  <c r="I286" i="5"/>
  <c r="I444" i="5"/>
  <c r="I11" i="5"/>
  <c r="I101" i="5"/>
  <c r="I125" i="5"/>
  <c r="I175" i="5"/>
  <c r="I436" i="5"/>
  <c r="I241" i="5"/>
  <c r="I27" i="5"/>
  <c r="I371" i="5"/>
  <c r="I6" i="5"/>
  <c r="I83" i="5"/>
  <c r="I190" i="5"/>
  <c r="I31" i="5"/>
  <c r="I423" i="5"/>
  <c r="I133" i="5"/>
  <c r="I296" i="5"/>
  <c r="I442" i="5"/>
  <c r="I159" i="5"/>
  <c r="I307" i="5"/>
  <c r="I129" i="5"/>
  <c r="I298" i="5"/>
  <c r="I109" i="5"/>
  <c r="I462" i="5"/>
  <c r="I199" i="5"/>
  <c r="I306" i="5"/>
  <c r="I29" i="5"/>
  <c r="I170" i="5"/>
  <c r="I144" i="5"/>
  <c r="I325" i="5"/>
  <c r="I284" i="5"/>
  <c r="I301" i="5"/>
  <c r="I422" i="5"/>
  <c r="I344" i="5"/>
  <c r="I496" i="5"/>
  <c r="I258" i="5"/>
  <c r="I80" i="5"/>
  <c r="I222" i="5"/>
  <c r="I21" i="5"/>
  <c r="I418" i="5"/>
  <c r="I116" i="5"/>
  <c r="I54" i="5"/>
  <c r="I489" i="5"/>
  <c r="I319" i="5"/>
  <c r="I290" i="5"/>
  <c r="I204" i="5"/>
  <c r="I471" i="5"/>
  <c r="I245" i="5"/>
  <c r="I405" i="5"/>
  <c r="I365" i="5"/>
  <c r="I184" i="5"/>
  <c r="I426" i="5"/>
  <c r="I381" i="5"/>
  <c r="I408" i="5"/>
  <c r="I288" i="5"/>
  <c r="I118" i="5"/>
  <c r="I343" i="5"/>
  <c r="I176" i="5"/>
  <c r="I495" i="5"/>
  <c r="I404" i="5"/>
  <c r="I243" i="5"/>
  <c r="I13" i="5"/>
  <c r="I401" i="5"/>
  <c r="I192" i="5"/>
  <c r="I63" i="5"/>
  <c r="I392" i="5"/>
  <c r="I71" i="5"/>
  <c r="I487" i="5"/>
  <c r="I124" i="5"/>
  <c r="I412" i="5"/>
  <c r="I466" i="5"/>
  <c r="I43" i="5"/>
  <c r="I203" i="5"/>
  <c r="I263" i="5"/>
  <c r="I477" i="5"/>
  <c r="I476" i="5"/>
  <c r="I8" i="5"/>
  <c r="I72" i="5"/>
  <c r="I77" i="5"/>
  <c r="I201" i="5"/>
  <c r="I473" i="5"/>
  <c r="I257" i="5"/>
  <c r="I90" i="5"/>
</calcChain>
</file>

<file path=xl/sharedStrings.xml><?xml version="1.0" encoding="utf-8"?>
<sst xmlns="http://schemas.openxmlformats.org/spreadsheetml/2006/main" count="1869" uniqueCount="662">
  <si>
    <t>G</t>
  </si>
  <si>
    <t>D</t>
  </si>
  <si>
    <t>M</t>
  </si>
  <si>
    <t>A</t>
  </si>
  <si>
    <t>Poste</t>
  </si>
  <si>
    <t>Nom</t>
  </si>
  <si>
    <t>Buts</t>
  </si>
  <si>
    <t>Equipe</t>
  </si>
  <si>
    <t>Gabriel</t>
  </si>
  <si>
    <t>Note</t>
  </si>
  <si>
    <t>Taux</t>
  </si>
  <si>
    <t>Extérieur</t>
  </si>
  <si>
    <t>Domicile</t>
  </si>
  <si>
    <t>Moy</t>
  </si>
  <si>
    <t>Milieu</t>
  </si>
  <si>
    <t>Gardien</t>
  </si>
  <si>
    <t>Attaquant</t>
  </si>
  <si>
    <t>Défenseur</t>
  </si>
  <si>
    <t>PrixMin</t>
  </si>
  <si>
    <t>Joueur</t>
  </si>
  <si>
    <t>Cotation Exp</t>
  </si>
  <si>
    <t>Cotation Poly</t>
  </si>
  <si>
    <t>k</t>
  </si>
  <si>
    <t>a</t>
  </si>
  <si>
    <t>b</t>
  </si>
  <si>
    <t>c</t>
  </si>
  <si>
    <t>Titularisations</t>
  </si>
  <si>
    <t>NoteMoy</t>
  </si>
  <si>
    <t>ButsMPG</t>
  </si>
  <si>
    <t>Qualité</t>
  </si>
  <si>
    <t>TotalButs</t>
  </si>
  <si>
    <t>Potentiel</t>
  </si>
  <si>
    <t>Vérif</t>
  </si>
  <si>
    <t>Cotation</t>
  </si>
  <si>
    <t>Impact</t>
  </si>
  <si>
    <t>Min</t>
  </si>
  <si>
    <t>Sel</t>
  </si>
  <si>
    <t>Budget</t>
  </si>
  <si>
    <t>Dépense</t>
  </si>
  <si>
    <t>Nb Joueurs étudiés</t>
  </si>
  <si>
    <t>Sélection</t>
  </si>
  <si>
    <t>Mise</t>
  </si>
  <si>
    <t>PotentielTot</t>
  </si>
  <si>
    <t>Taux Buts MPG</t>
  </si>
  <si>
    <t>Réel</t>
  </si>
  <si>
    <t>Cible</t>
  </si>
  <si>
    <t>Rolando</t>
  </si>
  <si>
    <t>Rafael</t>
  </si>
  <si>
    <t>Thiago Silva</t>
  </si>
  <si>
    <t>Marquinhos</t>
  </si>
  <si>
    <t>Jesé</t>
  </si>
  <si>
    <t>Dante</t>
  </si>
  <si>
    <t>Xeka</t>
  </si>
  <si>
    <t>Hilton</t>
  </si>
  <si>
    <t>Mexer</t>
  </si>
  <si>
    <t>Pedro Mendes</t>
  </si>
  <si>
    <t>Diego Carlos</t>
  </si>
  <si>
    <t>Jemerson</t>
  </si>
  <si>
    <t>Falcao</t>
  </si>
  <si>
    <t>Paris</t>
  </si>
  <si>
    <t>Lyon</t>
  </si>
  <si>
    <t>Monaco</t>
  </si>
  <si>
    <t>Marseille</t>
  </si>
  <si>
    <t>Nice</t>
  </si>
  <si>
    <t>Saint Etienne</t>
  </si>
  <si>
    <t>Toulouse</t>
  </si>
  <si>
    <t>Montpellier</t>
  </si>
  <si>
    <t>Rennes</t>
  </si>
  <si>
    <t>Bordeaux</t>
  </si>
  <si>
    <t>Guingamp</t>
  </si>
  <si>
    <t>Angers</t>
  </si>
  <si>
    <t>Caen</t>
  </si>
  <si>
    <t>Lille</t>
  </si>
  <si>
    <t>Dijon</t>
  </si>
  <si>
    <t>Nantes</t>
  </si>
  <si>
    <t>Luiz Gustavo</t>
  </si>
  <si>
    <t>Marcelo</t>
  </si>
  <si>
    <t>Dani Alves</t>
  </si>
  <si>
    <t>Neymar</t>
  </si>
  <si>
    <t>Thiago Mendes</t>
  </si>
  <si>
    <t>Thiago Maia</t>
  </si>
  <si>
    <t>Amiens</t>
  </si>
  <si>
    <t>Strasbourg</t>
  </si>
  <si>
    <t>Prince</t>
  </si>
  <si>
    <t>Pelé Yohann</t>
  </si>
  <si>
    <t>Mandanda Steve</t>
  </si>
  <si>
    <t>Rami Adil</t>
  </si>
  <si>
    <t>Sakai Hiroki</t>
  </si>
  <si>
    <t>Hubocan Tomas</t>
  </si>
  <si>
    <t>Amavi Jordan</t>
  </si>
  <si>
    <t>Abdennour Aymen</t>
  </si>
  <si>
    <t>Kamara Boubacar</t>
  </si>
  <si>
    <t>Sarr Bouna</t>
  </si>
  <si>
    <t>Thauvin Florian</t>
  </si>
  <si>
    <t>Khaoui Saif-Eddine</t>
  </si>
  <si>
    <t>Lopez Maxime</t>
  </si>
  <si>
    <t>Sanson Morgan</t>
  </si>
  <si>
    <t>Sertic Grégory</t>
  </si>
  <si>
    <t>Payet Dimitri</t>
  </si>
  <si>
    <t>Ocampos Lucas</t>
  </si>
  <si>
    <t>Germain Valère</t>
  </si>
  <si>
    <t>Mitroglou Kostas</t>
  </si>
  <si>
    <t>N'Jie Clinton</t>
  </si>
  <si>
    <t>Lopes Anthony</t>
  </si>
  <si>
    <t>Gorgelin Mathieu</t>
  </si>
  <si>
    <t>Morel Jérémy</t>
  </si>
  <si>
    <t>Yanga-Mbiwa Mapou</t>
  </si>
  <si>
    <t>Mendy Ferland</t>
  </si>
  <si>
    <t>Tete Kenny</t>
  </si>
  <si>
    <t>Ferri Jordan</t>
  </si>
  <si>
    <t>Tousart Lucas</t>
  </si>
  <si>
    <t>NDombele Tanguy</t>
  </si>
  <si>
    <t>Pape Cheikh</t>
  </si>
  <si>
    <t>Aouar Houssem</t>
  </si>
  <si>
    <t>Depay Memphis</t>
  </si>
  <si>
    <t>Traoré Bertrand</t>
  </si>
  <si>
    <t>Fekir Nabil</t>
  </si>
  <si>
    <t>Cornet Maxwel</t>
  </si>
  <si>
    <t>Areola Alphonse</t>
  </si>
  <si>
    <t>Kimpembe Presnel</t>
  </si>
  <si>
    <t>Kurzawa Layvin</t>
  </si>
  <si>
    <t>Meunier Thomas</t>
  </si>
  <si>
    <t>Verratti Marco</t>
  </si>
  <si>
    <t>Rabiot Adrien</t>
  </si>
  <si>
    <t>Di María Ángel</t>
  </si>
  <si>
    <t>Nkunku Christopher</t>
  </si>
  <si>
    <t>Draxler Julian</t>
  </si>
  <si>
    <t>Jonathan Ikone</t>
  </si>
  <si>
    <t>Cavani Edinson</t>
  </si>
  <si>
    <t>Cardinale Yoan</t>
  </si>
  <si>
    <t>Benítez Walter</t>
  </si>
  <si>
    <t>Hassen Mouez</t>
  </si>
  <si>
    <t>Boscagli Olivier</t>
  </si>
  <si>
    <t>Sarr Malang</t>
  </si>
  <si>
    <t>Jallet Christophe</t>
  </si>
  <si>
    <t>Burner Patrick</t>
  </si>
  <si>
    <t>Makengo Jean-Victor</t>
  </si>
  <si>
    <t>Walter Remi</t>
  </si>
  <si>
    <t>Cyprien Wylan</t>
  </si>
  <si>
    <t>Lees-Melou Pierre</t>
  </si>
  <si>
    <t>Tameze Adrien</t>
  </si>
  <si>
    <t>Srarfi Bassem</t>
  </si>
  <si>
    <t>Saint-Maximin Allan</t>
  </si>
  <si>
    <t>Mahou Hicham</t>
  </si>
  <si>
    <t>Balotelli Mario</t>
  </si>
  <si>
    <t>Ganago Ignatius</t>
  </si>
  <si>
    <t>Ruffier Stéphane</t>
  </si>
  <si>
    <t>Moulin Jessy</t>
  </si>
  <si>
    <t>Perrin Loic</t>
  </si>
  <si>
    <t>Polomat Pierre-Yves</t>
  </si>
  <si>
    <t>M'Bengue Cheikh</t>
  </si>
  <si>
    <t>Hamouma Romain</t>
  </si>
  <si>
    <t>Selnaes Ole</t>
  </si>
  <si>
    <t>Monnet-Paquet Kévin</t>
  </si>
  <si>
    <t>Diony Lois</t>
  </si>
  <si>
    <t>Beric Robert</t>
  </si>
  <si>
    <t>Jakubech Adam</t>
  </si>
  <si>
    <t>Maignan Mike</t>
  </si>
  <si>
    <t>Koffi Kouakou</t>
  </si>
  <si>
    <t>Soumaoro Adama</t>
  </si>
  <si>
    <t>Edgar Ié</t>
  </si>
  <si>
    <t>Ballo-Toure Fode</t>
  </si>
  <si>
    <t>Faraj Imad</t>
  </si>
  <si>
    <t>Bahlouli Fares</t>
  </si>
  <si>
    <t>Luiz Araujo</t>
  </si>
  <si>
    <t>Pepe Nicolas</t>
  </si>
  <si>
    <t>Costil Benoit</t>
  </si>
  <si>
    <t>Prior Jerome</t>
  </si>
  <si>
    <t>Sabaly Youssouf</t>
  </si>
  <si>
    <t>Lewczuk Igor</t>
  </si>
  <si>
    <t>Gajic Milan</t>
  </si>
  <si>
    <t>Pellenard Théo</t>
  </si>
  <si>
    <t>Plasil Jaroslav</t>
  </si>
  <si>
    <t>Lerager Lukas</t>
  </si>
  <si>
    <t>Otávio</t>
  </si>
  <si>
    <t>Laborde Gaetan</t>
  </si>
  <si>
    <t>Kamano Francois</t>
  </si>
  <si>
    <t>Mendy Alexandre</t>
  </si>
  <si>
    <t>Lecomte Benjamin</t>
  </si>
  <si>
    <t>Ligali Jonathan</t>
  </si>
  <si>
    <t>Congré Daniel</t>
  </si>
  <si>
    <t>Poaty Morgan</t>
  </si>
  <si>
    <t>Aguilar Ruben</t>
  </si>
  <si>
    <t>Lasne Paul</t>
  </si>
  <si>
    <t>Skhiri Ellyes</t>
  </si>
  <si>
    <t>Passi Bryan</t>
  </si>
  <si>
    <t>Dolly Keagan</t>
  </si>
  <si>
    <t>Píriz Facundo</t>
  </si>
  <si>
    <t>Junior Sambia</t>
  </si>
  <si>
    <t>Sanson Killian</t>
  </si>
  <si>
    <t>Camara Souleymane</t>
  </si>
  <si>
    <t>Sio Giovanni</t>
  </si>
  <si>
    <t>Goicoechea Mauro</t>
  </si>
  <si>
    <t>Yago Steeve</t>
  </si>
  <si>
    <t>Amian Kelvin</t>
  </si>
  <si>
    <t>Jullien Christopher</t>
  </si>
  <si>
    <t>Sylla Issiaga</t>
  </si>
  <si>
    <t>Moubandje François</t>
  </si>
  <si>
    <t>Bodiger Yann</t>
  </si>
  <si>
    <t>Blin Alexis</t>
  </si>
  <si>
    <t>Cahuzac Yannick</t>
  </si>
  <si>
    <t>Durmaz Jimmy</t>
  </si>
  <si>
    <t>Jean Corentin</t>
  </si>
  <si>
    <t>Gradel Max</t>
  </si>
  <si>
    <t>Khalid Driss</t>
  </si>
  <si>
    <t>Sanogo Yaya</t>
  </si>
  <si>
    <t>Diallo Abdoulaye</t>
  </si>
  <si>
    <t>Koubek Tomas</t>
  </si>
  <si>
    <t>Gertmonas Edvinas</t>
  </si>
  <si>
    <t>Baal Ludovic</t>
  </si>
  <si>
    <t>Zeffane Mehdi</t>
  </si>
  <si>
    <t>Bensebaini Ramy</t>
  </si>
  <si>
    <t>Faitout Maouassa</t>
  </si>
  <si>
    <t>Nyamsi Gerzino</t>
  </si>
  <si>
    <t>Gelin Jeremy</t>
  </si>
  <si>
    <t>Hunou Adrien</t>
  </si>
  <si>
    <t>André Benjamin</t>
  </si>
  <si>
    <t>Bourigeaud Benjamin</t>
  </si>
  <si>
    <t>Janvier Nicolas</t>
  </si>
  <si>
    <t>Lea Siliki James Edward</t>
  </si>
  <si>
    <t>Ismaila Sarr</t>
  </si>
  <si>
    <t>Dupé Maxime</t>
  </si>
  <si>
    <t>Tatarusanu Ciprian</t>
  </si>
  <si>
    <t>Olliero Alexandre</t>
  </si>
  <si>
    <t>Kwateng Enock</t>
  </si>
  <si>
    <t>Walongwa Anthony</t>
  </si>
  <si>
    <t>Lucas Lima</t>
  </si>
  <si>
    <t>Pallois Nicolas</t>
  </si>
  <si>
    <t>Rongier Valentin</t>
  </si>
  <si>
    <t>Moutoussamy Samuel</t>
  </si>
  <si>
    <t>Andrei Girotto</t>
  </si>
  <si>
    <t>Krhin Rene</t>
  </si>
  <si>
    <t>Kacaniklic Alexander</t>
  </si>
  <si>
    <t>Sala Emiliano</t>
  </si>
  <si>
    <t>Sigthorsson Kolbeinn</t>
  </si>
  <si>
    <t>Benaglio Diego</t>
  </si>
  <si>
    <t>Badiashile Loic</t>
  </si>
  <si>
    <t>Subasic Danijel</t>
  </si>
  <si>
    <t>Sy Seydou</t>
  </si>
  <si>
    <t>Raggi Andrea</t>
  </si>
  <si>
    <t>Sidibe Djibril</t>
  </si>
  <si>
    <t>Glik Kamil</t>
  </si>
  <si>
    <t>Rony Lopes</t>
  </si>
  <si>
    <t>N'Doram Kevin</t>
  </si>
  <si>
    <t>Tielemans Youri</t>
  </si>
  <si>
    <t>Jovetic Stevan</t>
  </si>
  <si>
    <t>Reulet Paul</t>
  </si>
  <si>
    <t>Samba Brice</t>
  </si>
  <si>
    <t>Alhadhur Chaker</t>
  </si>
  <si>
    <t>Djiku Alexander</t>
  </si>
  <si>
    <t>Dabo Mouhamadou</t>
  </si>
  <si>
    <t>Genevois Romain</t>
  </si>
  <si>
    <t>Guilbert Frederic</t>
  </si>
  <si>
    <t>Mbengue Adama</t>
  </si>
  <si>
    <t>Imorou Emmanuel</t>
  </si>
  <si>
    <t>Diomande Ismael</t>
  </si>
  <si>
    <t>Peeters Stef</t>
  </si>
  <si>
    <t>Repas Jan</t>
  </si>
  <si>
    <t>Sankoh Baissama</t>
  </si>
  <si>
    <t>Kouakou Christian</t>
  </si>
  <si>
    <t>Johnsson Karl-Johan</t>
  </si>
  <si>
    <t>Petric Denis</t>
  </si>
  <si>
    <t>Sorbon Jérémy</t>
  </si>
  <si>
    <t>Ikoko Jordan</t>
  </si>
  <si>
    <t>Pedro Rebocho</t>
  </si>
  <si>
    <t>Eboa Eboa Felix</t>
  </si>
  <si>
    <t>Kerbrat Christophe</t>
  </si>
  <si>
    <t>Salibur Yannis</t>
  </si>
  <si>
    <t>Benezet Nicolas</t>
  </si>
  <si>
    <t>Coco Marcus</t>
  </si>
  <si>
    <t>Blas Ludovic</t>
  </si>
  <si>
    <t>Didot Étienne</t>
  </si>
  <si>
    <t>Phiri Lebogang</t>
  </si>
  <si>
    <t>Tabanou Franck</t>
  </si>
  <si>
    <t>Deaux Lucas</t>
  </si>
  <si>
    <t>Thuram Marcus</t>
  </si>
  <si>
    <t>Abdoul Camara</t>
  </si>
  <si>
    <t>Thomas Romain</t>
  </si>
  <si>
    <t>Traoré Ismael</t>
  </si>
  <si>
    <t>Andreu Yoann</t>
  </si>
  <si>
    <t>Manceau Vincent</t>
  </si>
  <si>
    <t>Pavlovic Mateo</t>
  </si>
  <si>
    <t>Bamba Abdoulaye</t>
  </si>
  <si>
    <t>Ciss Saliou</t>
  </si>
  <si>
    <t>Fulgini Angelo</t>
  </si>
  <si>
    <t>Mangani Thomas</t>
  </si>
  <si>
    <t>Capelle Pierrick</t>
  </si>
  <si>
    <t>Tait Flavien</t>
  </si>
  <si>
    <t>Kanga Wilfried</t>
  </si>
  <si>
    <t>Allain Bobby</t>
  </si>
  <si>
    <t>Lautoa Wesley</t>
  </si>
  <si>
    <t>Yambéré Cédric</t>
  </si>
  <si>
    <t>Chafik Fouad</t>
  </si>
  <si>
    <t>Rosier Valentin</t>
  </si>
  <si>
    <t>Haddadi Oussama</t>
  </si>
  <si>
    <t>Sammaritano Frederic</t>
  </si>
  <si>
    <t>Marié Jordan</t>
  </si>
  <si>
    <t>Balmont Florent</t>
  </si>
  <si>
    <t>Amalfitano Romain</t>
  </si>
  <si>
    <t>Abeid Mehdi</t>
  </si>
  <si>
    <t>Kwon Chang-Hoon</t>
  </si>
  <si>
    <t>Sliti Naim</t>
  </si>
  <si>
    <t>Tavares Júlio</t>
  </si>
  <si>
    <t>Said Wesley</t>
  </si>
  <si>
    <t>Jeannot Benjamin</t>
  </si>
  <si>
    <t>Dossevi Mathieu</t>
  </si>
  <si>
    <t>Kamara Bingourou</t>
  </si>
  <si>
    <t>Lala Kenny</t>
  </si>
  <si>
    <t>Martinez Pablo</t>
  </si>
  <si>
    <t>Ndour Abdallah</t>
  </si>
  <si>
    <t>Martin Jonas</t>
  </si>
  <si>
    <t>Lienard Dimitri</t>
  </si>
  <si>
    <t>Corgnet Benjamin</t>
  </si>
  <si>
    <t>Caci Anthony</t>
  </si>
  <si>
    <t>Saadi Idriss</t>
  </si>
  <si>
    <t>Gurtner Régis</t>
  </si>
  <si>
    <t>Bodmer Mathieu</t>
  </si>
  <si>
    <t>Dibassy Bakaye</t>
  </si>
  <si>
    <t>Fofana Guessouma</t>
  </si>
  <si>
    <t>Monconduit Thomas</t>
  </si>
  <si>
    <t>Zungu Bongani</t>
  </si>
  <si>
    <t>Koita Bachibou</t>
  </si>
  <si>
    <t>Cornette Quentin</t>
  </si>
  <si>
    <t>Konate Moussa</t>
  </si>
  <si>
    <t>Lacina Traoré</t>
  </si>
  <si>
    <t>Suk Hyun-Jun</t>
  </si>
  <si>
    <t>Ngom Santy</t>
  </si>
  <si>
    <t>Deminguet Jessy</t>
  </si>
  <si>
    <t>Gouiri Amine</t>
  </si>
  <si>
    <t>Cozza Nicolas</t>
  </si>
  <si>
    <t>Youssouf Zaydou</t>
  </si>
  <si>
    <t>Carrique Thomas</t>
  </si>
  <si>
    <t>Koundé Jules</t>
  </si>
  <si>
    <t>Baysse Paul</t>
  </si>
  <si>
    <t>Butelle Ludovic</t>
  </si>
  <si>
    <t>Coly Racine</t>
  </si>
  <si>
    <t>M'Vila Yann</t>
  </si>
  <si>
    <t>Pablo</t>
  </si>
  <si>
    <t>Oniangué Prince</t>
  </si>
  <si>
    <t>John Mendoza</t>
  </si>
  <si>
    <t>Khazri Wahbi</t>
  </si>
  <si>
    <t>Cabella Rémy</t>
  </si>
  <si>
    <t>Bamba Jonathan</t>
  </si>
  <si>
    <t>Reynet Baptiste</t>
  </si>
  <si>
    <t>Strootman Kevin</t>
  </si>
  <si>
    <t>Debuchy Mathieu</t>
  </si>
  <si>
    <t>Mollet Florent</t>
  </si>
  <si>
    <t>Grenier Clément</t>
  </si>
  <si>
    <t>Briand Jimmy</t>
  </si>
  <si>
    <t>Buffon Gianluigi</t>
  </si>
  <si>
    <t>Crivelli Enzo</t>
  </si>
  <si>
    <t>Dembele Moussa</t>
  </si>
  <si>
    <t>Roux Nolan</t>
  </si>
  <si>
    <t>Subotic Neven</t>
  </si>
  <si>
    <t>Abdelhamid Yunis</t>
  </si>
  <si>
    <t>Reims</t>
  </si>
  <si>
    <t>Chavarria Pablo</t>
  </si>
  <si>
    <t>Fajr Faycal</t>
  </si>
  <si>
    <t>Mendy Edouard</t>
  </si>
  <si>
    <t>Ripart Renaud</t>
  </si>
  <si>
    <t>Nîmes</t>
  </si>
  <si>
    <t>Aholou Jean Eudes</t>
  </si>
  <si>
    <t>Briancon Anthony</t>
  </si>
  <si>
    <t>Chavalerin Xavier</t>
  </si>
  <si>
    <t>Thomasson Adrien</t>
  </si>
  <si>
    <t>Ajorque Ludovic</t>
  </si>
  <si>
    <t>Bahoken Stéphane</t>
  </si>
  <si>
    <t>Bozok Umut</t>
  </si>
  <si>
    <t>Dubois Léo</t>
  </si>
  <si>
    <t>Kalu Samuel</t>
  </si>
  <si>
    <t>Rúnarsson Rúnar Alex</t>
  </si>
  <si>
    <t>Traoré Hamari</t>
  </si>
  <si>
    <t>Bammou Yacine</t>
  </si>
  <si>
    <t>Ben Arfa Hatem</t>
  </si>
  <si>
    <t>Bernat Juan</t>
  </si>
  <si>
    <t>Caleta-Car Duje</t>
  </si>
  <si>
    <t>Diallo Moustapha</t>
  </si>
  <si>
    <t>Doumbia Moussa</t>
  </si>
  <si>
    <t>Ghoddos Saman</t>
  </si>
  <si>
    <t>Konan Ghislain</t>
  </si>
  <si>
    <t>Métanire Romain</t>
  </si>
  <si>
    <t>N'Doye Cheikh</t>
  </si>
  <si>
    <t>Rodelin Ronny</t>
  </si>
  <si>
    <t>Sels Matz</t>
  </si>
  <si>
    <t>Thioub Sada</t>
  </si>
  <si>
    <t>Bouanga Denis</t>
  </si>
  <si>
    <t>Cafaro Mathieu</t>
  </si>
  <si>
    <t>Delort Andy</t>
  </si>
  <si>
    <t>Fontaine Thomas</t>
  </si>
  <si>
    <t>Herelle Christophe</t>
  </si>
  <si>
    <t>Mothiba Lebo</t>
  </si>
  <si>
    <t>Niang M'Baye</t>
  </si>
  <si>
    <t>Oudin Remi</t>
  </si>
  <si>
    <t>Poundjé Maxime</t>
  </si>
  <si>
    <t>Sissoko Ibrahima</t>
  </si>
  <si>
    <t>Barreca Antonio</t>
  </si>
  <si>
    <t>Bostock John</t>
  </si>
  <si>
    <t>Chadli Nacer</t>
  </si>
  <si>
    <t>Depres Clement</t>
  </si>
  <si>
    <t>Gnahore Eddy</t>
  </si>
  <si>
    <t>Gonçalves Anthony</t>
  </si>
  <si>
    <t>Grandsir Samuel</t>
  </si>
  <si>
    <t>Henrichs Benjamin</t>
  </si>
  <si>
    <t>Lefort Jordan</t>
  </si>
  <si>
    <t>Limbombe Anthony</t>
  </si>
  <si>
    <t>Loiodice Enzo</t>
  </si>
  <si>
    <t>Martin Marvin</t>
  </si>
  <si>
    <t>Mboula Jordi</t>
  </si>
  <si>
    <t>Palencia Sergi</t>
  </si>
  <si>
    <t>Terrier Martin</t>
  </si>
  <si>
    <t>Touré Abdoulaye</t>
  </si>
  <si>
    <t>Valls Theo</t>
  </si>
  <si>
    <t>Alakouch Sofiane</t>
  </si>
  <si>
    <t>Boschilia Gabriel</t>
  </si>
  <si>
    <t>Ciman Laurent</t>
  </si>
  <si>
    <t>Da Silva Damien</t>
  </si>
  <si>
    <t>Denayer Jason</t>
  </si>
  <si>
    <t>Gourcuff Yoann</t>
  </si>
  <si>
    <t>Kehrer Thilo</t>
  </si>
  <si>
    <t>Miazga Matt</t>
  </si>
  <si>
    <t>Mitrovic Stefan</t>
  </si>
  <si>
    <t>Otero Juan Ferney</t>
  </si>
  <si>
    <t>Reine-Adélaïde Jeff</t>
  </si>
  <si>
    <t>Todibo Jean-Clair</t>
  </si>
  <si>
    <t>Aït Bennasser Youssef</t>
  </si>
  <si>
    <t>Carole Lionel</t>
  </si>
  <si>
    <t>Coulibaly Kalifa</t>
  </si>
  <si>
    <t>Echiéjilé Elderson</t>
  </si>
  <si>
    <t>Foket Thomas</t>
  </si>
  <si>
    <t>Golovin Aleksandr</t>
  </si>
  <si>
    <t>Guillaume Baptiste</t>
  </si>
  <si>
    <t>Koné Lamine</t>
  </si>
  <si>
    <t>Manzala Harrison</t>
  </si>
  <si>
    <t>Miguel Florian</t>
  </si>
  <si>
    <t>Paquiez Gaetan</t>
  </si>
  <si>
    <t>Pellegri Pietro</t>
  </si>
  <si>
    <t>Remy Loïc</t>
  </si>
  <si>
    <t>de Preville Nicolas</t>
  </si>
  <si>
    <t>Aguerd Nayef</t>
  </si>
  <si>
    <t>Bobichon Antonin</t>
  </si>
  <si>
    <t>Dabo Abdoulaye</t>
  </si>
  <si>
    <t>Dagba Colin</t>
  </si>
  <si>
    <t>Del Castillo Romain</t>
  </si>
  <si>
    <t>El Hajjam Oualid</t>
  </si>
  <si>
    <t>El Melali Farid</t>
  </si>
  <si>
    <t>Kara Mbodji Serigne Modou</t>
  </si>
  <si>
    <t>Krafth Emil</t>
  </si>
  <si>
    <t>Kurzawa Rafal</t>
  </si>
  <si>
    <t>N'Soki Stanley</t>
  </si>
  <si>
    <t>Ngamukol Anatole</t>
  </si>
  <si>
    <t>Pajot Vincent</t>
  </si>
  <si>
    <t>Radonjic Nemanja</t>
  </si>
  <si>
    <t>Sacko Ihsan</t>
  </si>
  <si>
    <t>Tchokounte Malik</t>
  </si>
  <si>
    <t>Tchouameni Aurelien</t>
  </si>
  <si>
    <t>Basic Toma</t>
  </si>
  <si>
    <t>Boucher Zacharie</t>
  </si>
  <si>
    <t>Cornelius Andreas</t>
  </si>
  <si>
    <t>Diaby Moussa</t>
  </si>
  <si>
    <t>Dioussé Assane</t>
  </si>
  <si>
    <t>Engels Björn</t>
  </si>
  <si>
    <t>Grimm Jeremy</t>
  </si>
  <si>
    <t>Le Tallec Damien</t>
  </si>
  <si>
    <t>Maolida Myziane</t>
  </si>
  <si>
    <t>Mbemba Nolan</t>
  </si>
  <si>
    <t>Mubele Firmin Ndombe</t>
  </si>
  <si>
    <t>N'Gbakoto Yeni</t>
  </si>
  <si>
    <t>Pied Jérémy</t>
  </si>
  <si>
    <t>Poha Denis</t>
  </si>
  <si>
    <t>Valdivia Pierrick</t>
  </si>
  <si>
    <t>Zelazny Erwin</t>
  </si>
  <si>
    <t>Zohi Kévin</t>
  </si>
  <si>
    <t>Ait Nouri Rayan</t>
  </si>
  <si>
    <t>Alphonse Mickaël</t>
  </si>
  <si>
    <t>Bernede Antoine</t>
  </si>
  <si>
    <t>Coulibaly Senou</t>
  </si>
  <si>
    <t>Dabila Kouadio</t>
  </si>
  <si>
    <t>Danzé Romain</t>
  </si>
  <si>
    <t>Dingome Tristan</t>
  </si>
  <si>
    <t>Harek Fethi</t>
  </si>
  <si>
    <t>Le Bihan Mickael</t>
  </si>
  <si>
    <t>Lybohy Herve</t>
  </si>
  <si>
    <t>Martins Pereira Christopher</t>
  </si>
  <si>
    <t>Ndom Aly</t>
  </si>
  <si>
    <t>Pierre Gabriel Ronael</t>
  </si>
  <si>
    <t>Traoré Cheick</t>
  </si>
  <si>
    <t>Valette Baptiste</t>
  </si>
  <si>
    <t>Vlachodimos Panagiotis</t>
  </si>
  <si>
    <t>Weah Timothy</t>
  </si>
  <si>
    <t>Zekaj Arton</t>
  </si>
  <si>
    <t>Alioui Rachid</t>
  </si>
  <si>
    <t>Beauvue Claudio</t>
  </si>
  <si>
    <t>Choupo-Moting Eric Maxim</t>
  </si>
  <si>
    <t>Cisse Ibrahim</t>
  </si>
  <si>
    <t>Diaby Mohamed Lamine</t>
  </si>
  <si>
    <t>Disasi Axel</t>
  </si>
  <si>
    <t>Johansson Jakob</t>
  </si>
  <si>
    <t>Karamoh Yann</t>
  </si>
  <si>
    <t>Mbia Stéphane</t>
  </si>
  <si>
    <t>Pinson Virgile</t>
  </si>
  <si>
    <t>Puyo Loïc</t>
  </si>
  <si>
    <t>Soumare Boubakary</t>
  </si>
  <si>
    <t>Vada Valentín</t>
  </si>
  <si>
    <t>Bouka Moutou Arnold</t>
  </si>
  <si>
    <t>Carrasso Johann</t>
  </si>
  <si>
    <t>Cibois Sebastien</t>
  </si>
  <si>
    <t>Fortes Steven</t>
  </si>
  <si>
    <t>Geubbels Willem</t>
  </si>
  <si>
    <t>Guitane Rafik</t>
  </si>
  <si>
    <t>Kayembe Joris</t>
  </si>
  <si>
    <t>Moreira Steven</t>
  </si>
  <si>
    <t>Zemzemi Moataz</t>
  </si>
  <si>
    <t>Armougom Yoel</t>
  </si>
  <si>
    <t>Boukholda Chahreddine</t>
  </si>
  <si>
    <t>Diop Sofiane</t>
  </si>
  <si>
    <t>Dreyer Matthieu</t>
  </si>
  <si>
    <t xml:space="preserve">Fernando Costanza </t>
  </si>
  <si>
    <t>Fofana Youssouf</t>
  </si>
  <si>
    <t xml:space="preserve">Ganso </t>
  </si>
  <si>
    <t>Gboho Yann</t>
  </si>
  <si>
    <t>Jovanovic Vukasin</t>
  </si>
  <si>
    <t>Kawashima Eiji</t>
  </si>
  <si>
    <t>Louis Jeff</t>
  </si>
  <si>
    <t>Nordin Arnaud</t>
  </si>
  <si>
    <t>Sylla Moussa</t>
  </si>
  <si>
    <t>Timite Cheick</t>
  </si>
  <si>
    <t>Atal Youcef</t>
  </si>
  <si>
    <t>Bilingi Yohan</t>
  </si>
  <si>
    <t>Doré Férébory</t>
  </si>
  <si>
    <t>Kamara Hassane</t>
  </si>
  <si>
    <t>Koita Djegui</t>
  </si>
  <si>
    <t>Kone Youssouf</t>
  </si>
  <si>
    <t>Mandrea Anthony</t>
  </si>
  <si>
    <t>Marillat Yan</t>
  </si>
  <si>
    <t>Mendy Batista</t>
  </si>
  <si>
    <t>Traore Gaoussou</t>
  </si>
  <si>
    <t>Aaneba Ismael</t>
  </si>
  <si>
    <t>Adli Yacine</t>
  </si>
  <si>
    <t>Adouyev Amir</t>
  </si>
  <si>
    <t>Ahlinvi Matteo</t>
  </si>
  <si>
    <t>Ammour Yannis</t>
  </si>
  <si>
    <t>Bahanack Patrick</t>
  </si>
  <si>
    <t>Bana Moussa</t>
  </si>
  <si>
    <t>Banaziak Gauthier</t>
  </si>
  <si>
    <t>Bangou Duplexe Tchamba</t>
  </si>
  <si>
    <t>Basila Thomas</t>
  </si>
  <si>
    <t>Ben Amar Sami</t>
  </si>
  <si>
    <t>Benrahou Yassin</t>
  </si>
  <si>
    <t>Bertaud Dimitry</t>
  </si>
  <si>
    <t>Bertrand Dorian</t>
  </si>
  <si>
    <t>Braat Quentin</t>
  </si>
  <si>
    <t>Buades Lucas</t>
  </si>
  <si>
    <t>Cagnon Romain</t>
  </si>
  <si>
    <t>Caillard Marc-Aurèle</t>
  </si>
  <si>
    <t>Cakin Hendrick</t>
  </si>
  <si>
    <t>Callens Thomas</t>
  </si>
  <si>
    <t>Camara Mahdi</t>
  </si>
  <si>
    <t>Caqueret Maxence</t>
  </si>
  <si>
    <t>Chabrolle Florian</t>
  </si>
  <si>
    <t>Chambost Dylan</t>
  </si>
  <si>
    <t>Clementia Yannis</t>
  </si>
  <si>
    <t>Diallo Namakoro</t>
  </si>
  <si>
    <t>Diarra Ibrahim</t>
  </si>
  <si>
    <t>El Mokeddem Hakim</t>
  </si>
  <si>
    <t>Escales Florian</t>
  </si>
  <si>
    <t>Faivre Romain</t>
  </si>
  <si>
    <t>Fekir Yassin</t>
  </si>
  <si>
    <t>Flips Alexis</t>
  </si>
  <si>
    <t>Fressange Alexandre</t>
  </si>
  <si>
    <t>Gaspar Jordy</t>
  </si>
  <si>
    <t>Gauducheau Antonin</t>
  </si>
  <si>
    <t>Gendrey Valentin</t>
  </si>
  <si>
    <t>Georgen Alec</t>
  </si>
  <si>
    <t>Gneba Martin</t>
  </si>
  <si>
    <t>Goncalves Mathieu</t>
  </si>
  <si>
    <t>Gradit Jonathan</t>
  </si>
  <si>
    <t>Griffiths Reo</t>
  </si>
  <si>
    <t>Guessoum Kelyan</t>
  </si>
  <si>
    <t>Gueye Makhtar</t>
  </si>
  <si>
    <t>Hsissane Abdelmalik</t>
  </si>
  <si>
    <t>Julan Nathaël</t>
  </si>
  <si>
    <t>Kaiboue Kylian</t>
  </si>
  <si>
    <t>Kolo Muani Randal</t>
  </si>
  <si>
    <t>Lemaitre Nicolas</t>
  </si>
  <si>
    <t>Lloris Gautier</t>
  </si>
  <si>
    <t>Mandanda Over</t>
  </si>
  <si>
    <t>Marasovic Sacha</t>
  </si>
  <si>
    <t>Marega Issa</t>
  </si>
  <si>
    <t>Mbae Safwan</t>
  </si>
  <si>
    <t>Mbe Soh Loïc</t>
  </si>
  <si>
    <t>Menig Queensy</t>
  </si>
  <si>
    <t>Navarro Robert</t>
  </si>
  <si>
    <t>Ngando Jean-Claude</t>
  </si>
  <si>
    <t>Nilor Michael</t>
  </si>
  <si>
    <t>Ntumba Levi</t>
  </si>
  <si>
    <t>Osei Yaw Derick</t>
  </si>
  <si>
    <t>Ouro-Sama Hakim</t>
  </si>
  <si>
    <t>Panos Mickael</t>
  </si>
  <si>
    <t>Panzo Jonathan</t>
  </si>
  <si>
    <t>Pelletier Louis</t>
  </si>
  <si>
    <t>Pelmard Andy</t>
  </si>
  <si>
    <t>Perrin Lucas</t>
  </si>
  <si>
    <t>Piechocki Virgile</t>
  </si>
  <si>
    <t>Pintor Lenny</t>
  </si>
  <si>
    <t>Porsan-Clemente Jérémie</t>
  </si>
  <si>
    <t>Postolachi Virgiliu</t>
  </si>
  <si>
    <t>Poussin Gaetan</t>
  </si>
  <si>
    <t>Rabei Reda</t>
  </si>
  <si>
    <t>Racioppi Anthony</t>
  </si>
  <si>
    <t>Rimane Kevin</t>
  </si>
  <si>
    <t>Rocchia Christopher</t>
  </si>
  <si>
    <t>Ruiz Percy</t>
  </si>
  <si>
    <t>Rutter Georginio</t>
  </si>
  <si>
    <t>Sadzoute Scotty</t>
  </si>
  <si>
    <t>Sahibeddine Adrian</t>
  </si>
  <si>
    <t>Saliba William</t>
  </si>
  <si>
    <t>Serrano Julien</t>
  </si>
  <si>
    <t>Simakan Mohamed</t>
  </si>
  <si>
    <t>Skuletic Petar</t>
  </si>
  <si>
    <t>Solet Oumar</t>
  </si>
  <si>
    <t>Sourzac Martin</t>
  </si>
  <si>
    <t>Sy Sanasi</t>
  </si>
  <si>
    <t>Taoui Adil</t>
  </si>
  <si>
    <t>Verite Benjamin</t>
  </si>
  <si>
    <t>Vidal Clement</t>
  </si>
  <si>
    <t>Vidal Marc</t>
  </si>
  <si>
    <t>Mbappé Kylian</t>
  </si>
  <si>
    <t>Sankharé Younousse</t>
  </si>
  <si>
    <t>Sangaré Ibrahim</t>
  </si>
  <si>
    <t>Adénon Khaled</t>
  </si>
  <si>
    <t>Danilo</t>
  </si>
  <si>
    <t>Cristian</t>
  </si>
  <si>
    <t>Marçal</t>
  </si>
  <si>
    <t>Lass Diarra</t>
  </si>
  <si>
    <t>Gabriel Silva</t>
  </si>
  <si>
    <t>Kolo</t>
  </si>
  <si>
    <t>Zeki Celik Mehmet</t>
  </si>
  <si>
    <t>José Fonte</t>
  </si>
  <si>
    <t>Ambroise Oyongo</t>
  </si>
  <si>
    <t>Manu Garcia</t>
  </si>
  <si>
    <t>Leya Iseka</t>
  </si>
  <si>
    <t>Lucas Evangelista</t>
  </si>
  <si>
    <t>Alexis Alegue</t>
  </si>
  <si>
    <t>Majeed Waris</t>
  </si>
  <si>
    <t>Adama Traoré</t>
  </si>
  <si>
    <t>Ninga Casimir</t>
  </si>
  <si>
    <t>Jules Keita</t>
  </si>
  <si>
    <t>Romao Alaixys</t>
  </si>
  <si>
    <t>Sheyi Ojo</t>
  </si>
  <si>
    <t>Nuno da Costa</t>
  </si>
  <si>
    <t>Bernadoni Paul</t>
  </si>
  <si>
    <t>Landre Loick</t>
  </si>
  <si>
    <t>Savanier Teji</t>
  </si>
  <si>
    <t>Pelé</t>
  </si>
  <si>
    <t>Rui Fonte</t>
  </si>
  <si>
    <t>Jordan Siebatcheu</t>
  </si>
  <si>
    <t>Rafael Leão</t>
  </si>
  <si>
    <t>Thomas Touré</t>
  </si>
  <si>
    <t>Almamy Touré</t>
  </si>
  <si>
    <t>Charles Traoré</t>
  </si>
  <si>
    <t>Fabio</t>
  </si>
  <si>
    <t>Santamaria Baptiste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</si>
</sst>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rgb="FF333399"/>
      <name val="Calibri"/>
      <family val="2"/>
    </font>
    <font>
      <b/>
      <sz val="36"/>
      <color rgb="FFFF0000"/>
      <name val="Calibri"/>
      <family val="2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10" fontId="0" fillId="2" borderId="6" xfId="0" applyNumberForma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0" fontId="0" fillId="0" borderId="18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10" fontId="0" fillId="0" borderId="24" xfId="0" applyNumberFormat="1" applyBorder="1" applyAlignment="1">
      <alignment horizontal="center" vertical="center"/>
    </xf>
    <xf numFmtId="10" fontId="0" fillId="0" borderId="26" xfId="0" applyNumberFormat="1" applyBorder="1" applyAlignment="1">
      <alignment horizontal="center" vertical="center"/>
    </xf>
    <xf numFmtId="10" fontId="0" fillId="0" borderId="28" xfId="0" applyNumberFormat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0" fontId="0" fillId="3" borderId="5" xfId="0" applyNumberFormat="1" applyFill="1" applyBorder="1" applyAlignment="1">
      <alignment horizontal="center" vertical="center"/>
    </xf>
    <xf numFmtId="0" fontId="0" fillId="3" borderId="14" xfId="0" applyFill="1" applyBorder="1" applyAlignment="1">
      <alignment vertical="center"/>
    </xf>
    <xf numFmtId="0" fontId="0" fillId="3" borderId="14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10" fontId="0" fillId="3" borderId="4" xfId="0" applyNumberForma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29" xfId="0" applyFont="1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0" fillId="0" borderId="30" xfId="0" applyNumberFormat="1" applyBorder="1" applyAlignment="1">
      <alignment horizontal="center" vertical="center"/>
    </xf>
    <xf numFmtId="10" fontId="0" fillId="0" borderId="20" xfId="0" applyNumberFormat="1" applyBorder="1" applyAlignment="1">
      <alignment horizontal="center" vertical="center"/>
    </xf>
    <xf numFmtId="10" fontId="0" fillId="0" borderId="31" xfId="0" applyNumberFormat="1" applyBorder="1" applyAlignment="1">
      <alignment horizontal="center" vertical="center"/>
    </xf>
    <xf numFmtId="10" fontId="0" fillId="2" borderId="32" xfId="0" applyNumberFormat="1" applyFill="1" applyBorder="1" applyAlignment="1">
      <alignment horizontal="center" vertical="center"/>
    </xf>
    <xf numFmtId="10" fontId="0" fillId="2" borderId="33" xfId="0" applyNumberFormat="1" applyFill="1" applyBorder="1" applyAlignment="1">
      <alignment horizontal="center" vertical="center"/>
    </xf>
    <xf numFmtId="10" fontId="0" fillId="2" borderId="34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2" fontId="0" fillId="3" borderId="15" xfId="0" applyNumberFormat="1" applyFill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</xf>
    <xf numFmtId="2" fontId="0" fillId="0" borderId="15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</xf>
    <xf numFmtId="0" fontId="0" fillId="0" borderId="0" xfId="0" applyAlignment="1">
      <alignment vertical="center" wrapText="1"/>
    </xf>
    <xf numFmtId="0" fontId="0" fillId="3" borderId="23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CalculCotation!$B$5:$B$24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CalculCotation!$C$5:$C$24</c:f>
              <c:numCache>
                <c:formatCode>0.00</c:formatCode>
                <c:ptCount val="20"/>
                <c:pt idx="0">
                  <c:v>2.1328396990979819</c:v>
                </c:pt>
                <c:pt idx="1">
                  <c:v>3.4490116530320218</c:v>
                </c:pt>
                <c:pt idx="2">
                  <c:v>4.9781852984311818</c:v>
                </c:pt>
                <c:pt idx="3">
                  <c:v>6.754831602733562</c:v>
                </c:pt>
                <c:pt idx="4">
                  <c:v>8.8190001162887235</c:v>
                </c:pt>
                <c:pt idx="5">
                  <c:v>11.217221778098647</c:v>
                </c:pt>
                <c:pt idx="6">
                  <c:v>14.003557826442147</c:v>
                </c:pt>
                <c:pt idx="7">
                  <c:v>17.240818459155832</c:v>
                </c:pt>
                <c:pt idx="8">
                  <c:v>21.001978714878817</c:v>
                </c:pt>
                <c:pt idx="9">
                  <c:v>25.371823492366453</c:v>
                </c:pt>
                <c:pt idx="10">
                  <c:v>30.448858790258939</c:v>
                </c:pt>
                <c:pt idx="11">
                  <c:v>36.347532250890616</c:v>
                </c:pt>
                <c:pt idx="12">
                  <c:v>43.20081306412505</c:v>
                </c:pt>
                <c:pt idx="13">
                  <c:v>51.16318938797356</c:v>
                </c:pt>
                <c:pt idx="14">
                  <c:v>60.414150854509685</c:v>
                </c:pt>
                <c:pt idx="15">
                  <c:v>71.162234664491208</c:v>
                </c:pt>
                <c:pt idx="16">
                  <c:v>83.649726478641199</c:v>
                </c:pt>
                <c:pt idx="17">
                  <c:v>98.158122074109812</c:v>
                </c:pt>
                <c:pt idx="18">
                  <c:v>115.01447288397347</c:v>
                </c:pt>
                <c:pt idx="19">
                  <c:v>134.59875846231367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07-4FE4-A32E-91588FA9E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57160"/>
        <c:axId val="575057488"/>
      </c:scatterChart>
      <c:valAx>
        <c:axId val="57505716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057488"/>
        <c:crosses val="autoZero"/>
        <c:crossBetween val="midCat"/>
      </c:valAx>
      <c:valAx>
        <c:axId val="57505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057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CalculCotation!$B$5:$B$24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CalculCotation!$L$5:$L$24</c:f>
              <c:numCache>
                <c:formatCode>0.00</c:formatCode>
                <c:ptCount val="20"/>
                <c:pt idx="0">
                  <c:v>9.25</c:v>
                </c:pt>
                <c:pt idx="1">
                  <c:v>8.1999999999999993</c:v>
                </c:pt>
                <c:pt idx="2">
                  <c:v>7.85</c:v>
                </c:pt>
                <c:pt idx="3">
                  <c:v>8.1999999999999993</c:v>
                </c:pt>
                <c:pt idx="4">
                  <c:v>9.25</c:v>
                </c:pt>
                <c:pt idx="5">
                  <c:v>10.999999999999998</c:v>
                </c:pt>
                <c:pt idx="6">
                  <c:v>13.449999999999998</c:v>
                </c:pt>
                <c:pt idx="7">
                  <c:v>16.599999999999998</c:v>
                </c:pt>
                <c:pt idx="8">
                  <c:v>20.449999999999996</c:v>
                </c:pt>
                <c:pt idx="9">
                  <c:v>25</c:v>
                </c:pt>
                <c:pt idx="10">
                  <c:v>30.249999999999993</c:v>
                </c:pt>
                <c:pt idx="11">
                  <c:v>36.199999999999996</c:v>
                </c:pt>
                <c:pt idx="12">
                  <c:v>42.849999999999994</c:v>
                </c:pt>
                <c:pt idx="13">
                  <c:v>50.199999999999989</c:v>
                </c:pt>
                <c:pt idx="14">
                  <c:v>58.25</c:v>
                </c:pt>
                <c:pt idx="15">
                  <c:v>67</c:v>
                </c:pt>
                <c:pt idx="16">
                  <c:v>76.449999999999989</c:v>
                </c:pt>
                <c:pt idx="17">
                  <c:v>86.6</c:v>
                </c:pt>
                <c:pt idx="18">
                  <c:v>97.449999999999989</c:v>
                </c:pt>
                <c:pt idx="1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6F-442E-8592-183CE8B72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072096"/>
        <c:axId val="572536816"/>
      </c:scatterChart>
      <c:valAx>
        <c:axId val="69507209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2536816"/>
        <c:crosses val="autoZero"/>
        <c:crossBetween val="midCat"/>
      </c:valAx>
      <c:valAx>
        <c:axId val="57253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507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</c:numLit>
          </c:xVal>
          <c:y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5.4112554112554102E-4</c:v>
              </c:pt>
              <c:pt idx="3">
                <c:v>9.9245806277056293E-3</c:v>
              </c:pt>
              <c:pt idx="4">
                <c:v>7.9814326298701305E-2</c:v>
              </c:pt>
              <c:pt idx="5">
                <c:v>0.3173667478354979</c:v>
              </c:pt>
              <c:pt idx="6">
                <c:v>0.69079241071428577</c:v>
              </c:pt>
              <c:pt idx="7">
                <c:v>0.93552320075757578</c:v>
              </c:pt>
              <c:pt idx="8">
                <c:v>0.99062499999999987</c:v>
              </c:pt>
              <c:pt idx="9">
                <c:v>0.99895833333333317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C28-46A5-98A8-62AE7D3D15CF}"/>
            </c:ext>
          </c:extLst>
        </c:ser>
        <c:ser>
          <c:idx val="1"/>
          <c:order val="1"/>
          <c:tx>
            <c:v>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4.6201303990893432E-6</c:v>
              </c:pt>
              <c:pt idx="3">
                <c:v>8.8845851423747309E-4</c:v>
              </c:pt>
              <c:pt idx="4">
                <c:v>1.9550442963886874E-2</c:v>
              </c:pt>
              <c:pt idx="5">
                <c:v>0.16947476869924633</c:v>
              </c:pt>
              <c:pt idx="6">
                <c:v>0.54961483485356277</c:v>
              </c:pt>
              <c:pt idx="7">
                <c:v>0.88369833851184643</c:v>
              </c:pt>
              <c:pt idx="8">
                <c:v>0.98385000111081466</c:v>
              </c:pt>
              <c:pt idx="9">
                <c:v>0.99895833333333317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C28-46A5-98A8-62AE7D3D15CF}"/>
            </c:ext>
          </c:extLst>
        </c:ser>
        <c:ser>
          <c:idx val="2"/>
          <c:order val="2"/>
          <c:tx>
            <c:v>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1.5277231186322093E-5</c:v>
              </c:pt>
              <c:pt idx="4">
                <c:v>1.5588948307935049E-3</c:v>
              </c:pt>
              <c:pt idx="5">
                <c:v>3.6319003692636687E-2</c:v>
              </c:pt>
              <c:pt idx="6">
                <c:v>0.23289750859757502</c:v>
              </c:pt>
              <c:pt idx="7">
                <c:v>0.62341256249215371</c:v>
              </c:pt>
              <c:pt idx="8">
                <c:v>0.91575557521080786</c:v>
              </c:pt>
              <c:pt idx="9">
                <c:v>0.98942346855653285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9C28-46A5-98A8-62AE7D3D1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902256"/>
        <c:axId val="247903568"/>
      </c:scatterChart>
      <c:valAx>
        <c:axId val="247902256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7903568"/>
        <c:crosses val="autoZero"/>
        <c:crossBetween val="midCat"/>
      </c:valAx>
      <c:valAx>
        <c:axId val="24790356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790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762000</xdr:rowOff>
        </xdr:from>
        <xdr:to>
          <xdr:col>3</xdr:col>
          <xdr:colOff>601980</xdr:colOff>
          <xdr:row>1</xdr:row>
          <xdr:rowOff>754380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fr-FR" sz="3600" b="1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Importer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22860</xdr:rowOff>
        </xdr:from>
        <xdr:to>
          <xdr:col>3</xdr:col>
          <xdr:colOff>601980</xdr:colOff>
          <xdr:row>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fr-FR" sz="3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934278</xdr:colOff>
      <xdr:row>9</xdr:row>
      <xdr:rowOff>80319</xdr:rowOff>
    </xdr:from>
    <xdr:to>
      <xdr:col>2</xdr:col>
      <xdr:colOff>963078</xdr:colOff>
      <xdr:row>9</xdr:row>
      <xdr:rowOff>85719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Encr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2234160" y="4730760"/>
            <a:ext cx="28800" cy="5400"/>
          </xdr14:xfrm>
        </xdr:contentPart>
      </mc:Choice>
      <mc:Fallback xmlns="">
        <xdr:pic>
          <xdr:nvPicPr>
            <xdr:cNvPr id="2" name="Encre 1">
              <a:extLst>
                <a:ext uri="{FF2B5EF4-FFF2-40B4-BE49-F238E27FC236}">
                  <a16:creationId xmlns:a16="http://schemas.microsoft.com/office/drawing/2014/main" id="{E8F65EBB-0392-419A-B719-C5B120B7196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25520" y="4722120"/>
              <a:ext cx="46440" cy="230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4</xdr:row>
      <xdr:rowOff>0</xdr:rowOff>
    </xdr:from>
    <xdr:to>
      <xdr:col>9</xdr:col>
      <xdr:colOff>742950</xdr:colOff>
      <xdr:row>24</xdr:row>
      <xdr:rowOff>19050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23811</xdr:colOff>
      <xdr:row>3</xdr:row>
      <xdr:rowOff>190499</xdr:rowOff>
    </xdr:from>
    <xdr:to>
      <xdr:col>19</xdr:col>
      <xdr:colOff>0</xdr:colOff>
      <xdr:row>24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4639</xdr:rowOff>
    </xdr:from>
    <xdr:to>
      <xdr:col>30</xdr:col>
      <xdr:colOff>12211</xdr:colOff>
      <xdr:row>43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182880</xdr:rowOff>
        </xdr:from>
        <xdr:to>
          <xdr:col>16</xdr:col>
          <xdr:colOff>7620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Meilleurs joueurs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7620</xdr:rowOff>
        </xdr:from>
        <xdr:to>
          <xdr:col>15</xdr:col>
          <xdr:colOff>762000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Fais mon Mercato !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1398806</xdr:colOff>
      <xdr:row>1</xdr:row>
      <xdr:rowOff>25503</xdr:rowOff>
    </xdr:from>
    <xdr:to>
      <xdr:col>13</xdr:col>
      <xdr:colOff>1400606</xdr:colOff>
      <xdr:row>1</xdr:row>
      <xdr:rowOff>31263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Encre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14:cNvPr>
            <xdr14:cNvContentPartPr/>
          </xdr14:nvContentPartPr>
          <xdr14:nvPr macro=""/>
          <xdr14:xfrm>
            <a:off x="13209806" y="207720"/>
            <a:ext cx="1800" cy="5760"/>
          </xdr14:xfrm>
        </xdr:contentPart>
      </mc:Choice>
      <mc:Fallback xmlns="">
        <xdr:pic>
          <xdr:nvPicPr>
            <xdr:cNvPr id="3" name="Encre 2">
              <a:extLst>
                <a:ext uri="{FF2B5EF4-FFF2-40B4-BE49-F238E27FC236}">
                  <a16:creationId xmlns:a16="http://schemas.microsoft.com/office/drawing/2014/main" id="{7BF69072-C15C-48FC-A733-369A3D9964F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200806" y="198720"/>
              <a:ext cx="19440" cy="23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8-09-05T17:08:09.6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79 1 5760,'-19'2'928,"-9"2"427,8 0-406,20-3-1180,-1-1 106,1 0 91,-1 0 77,0 0 78,0 1 58,-1-1 559,1 1-475,0-1-156,0 0-52,1 0-59,-1 0-59,1 1-67,0-1-76,-1 0-108,1 0-107,0 0-117,0 0 222,0 0-33,0 0-35,0 0-35,0 0-37,0 0-39,0 0-39,0 0-41,0 0-42,0 0-43,11-3-1463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8-09-05T17:05:33.1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0 128,'4'15'0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5"/>
  <sheetViews>
    <sheetView tabSelected="1" zoomScale="85" zoomScaleNormal="85" workbookViewId="0">
      <selection activeCell="I18" sqref="I18"/>
    </sheetView>
  </sheetViews>
  <sheetFormatPr baseColWidth="10" defaultColWidth="9.109375" defaultRowHeight="14.4" x14ac:dyDescent="0.3"/>
  <cols>
    <col min="3" max="3" width="21.109375" bestFit="1" customWidth="1"/>
  </cols>
  <sheetData>
    <row r="1" spans="1:1" ht="60.75" customHeight="1" x14ac:dyDescent="0.3"/>
    <row r="2" spans="1:1" ht="60.75" customHeight="1" x14ac:dyDescent="0.3"/>
    <row r="3" spans="1:1" ht="60.75" customHeight="1" x14ac:dyDescent="0.3"/>
    <row r="4" spans="1:1" ht="60.75" customHeight="1" x14ac:dyDescent="0.3"/>
    <row r="5" spans="1:1" x14ac:dyDescent="0.3">
      <c r="A5" t="s">
        <v>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uton1_Cliquer">
                <anchor moveWithCells="1" sizeWithCells="1">
                  <from>
                    <xdr:col>1</xdr:col>
                    <xdr:colOff>7620</xdr:colOff>
                    <xdr:row>0</xdr:row>
                    <xdr:rowOff>762000</xdr:rowOff>
                  </from>
                  <to>
                    <xdr:col>3</xdr:col>
                    <xdr:colOff>601980</xdr:colOff>
                    <xdr:row>1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uton3_Cliquer">
                <anchor moveWithCells="1" sizeWithCells="1">
                  <from>
                    <xdr:col>1</xdr:col>
                    <xdr:colOff>22860</xdr:colOff>
                    <xdr:row>2</xdr:row>
                    <xdr:rowOff>22860</xdr:rowOff>
                  </from>
                  <to>
                    <xdr:col>3</xdr:col>
                    <xdr:colOff>601980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B2:O24"/>
  <sheetViews>
    <sheetView zoomScale="118" zoomScaleNormal="118" workbookViewId="0">
      <selection activeCell="D3" sqref="D3"/>
    </sheetView>
  </sheetViews>
  <sheetFormatPr baseColWidth="10" defaultColWidth="11.44140625" defaultRowHeight="14.4" x14ac:dyDescent="0.3"/>
  <cols>
    <col min="1" max="1" width="2.5546875" style="1" customWidth="1"/>
    <col min="2" max="2" width="12.88671875" style="1" bestFit="1" customWidth="1"/>
    <col min="3" max="3" width="11.44140625" style="25"/>
    <col min="4" max="4" width="15.109375" style="1" bestFit="1" customWidth="1"/>
    <col min="5" max="10" width="11.44140625" style="1"/>
    <col min="11" max="11" width="2.5546875" style="44" customWidth="1"/>
    <col min="12" max="12" width="12.88671875" style="25" bestFit="1" customWidth="1"/>
    <col min="13" max="15" width="15.21875" style="1" customWidth="1"/>
    <col min="16" max="16384" width="11.44140625" style="1"/>
  </cols>
  <sheetData>
    <row r="2" spans="2:15" x14ac:dyDescent="0.3">
      <c r="C2" s="42" t="s">
        <v>22</v>
      </c>
      <c r="D2" s="14" t="s">
        <v>23</v>
      </c>
      <c r="M2" s="14" t="s">
        <v>23</v>
      </c>
      <c r="N2" s="14" t="s">
        <v>24</v>
      </c>
      <c r="O2" s="14" t="s">
        <v>25</v>
      </c>
    </row>
    <row r="3" spans="2:15" x14ac:dyDescent="0.3">
      <c r="B3" s="24" t="s">
        <v>20</v>
      </c>
      <c r="C3" s="55">
        <v>0.15</v>
      </c>
      <c r="D3" s="56">
        <v>7</v>
      </c>
      <c r="L3" s="42" t="s">
        <v>21</v>
      </c>
      <c r="M3" s="56">
        <v>0.35</v>
      </c>
      <c r="N3" s="56">
        <v>2.1</v>
      </c>
      <c r="O3" s="56">
        <v>11</v>
      </c>
    </row>
    <row r="5" spans="2:15" x14ac:dyDescent="0.3">
      <c r="B5" s="3">
        <v>1</v>
      </c>
      <c r="C5" s="43">
        <f>($D$3*EXP($C$3*B5))-$D$3+1</f>
        <v>2.1328396990979819</v>
      </c>
      <c r="L5" s="43">
        <f>$M$3*B5^2-$N$3*B5+$O$3</f>
        <v>9.25</v>
      </c>
    </row>
    <row r="6" spans="2:15" x14ac:dyDescent="0.3">
      <c r="B6" s="3">
        <v>2</v>
      </c>
      <c r="C6" s="43">
        <f t="shared" ref="C6:C24" si="0">($D$3*EXP($C$3*B6))-$D$3+1</f>
        <v>3.4490116530320218</v>
      </c>
      <c r="L6" s="43">
        <f t="shared" ref="L6:L24" si="1">$M$3*B6^2-$N$3*B6+$O$3</f>
        <v>8.1999999999999993</v>
      </c>
    </row>
    <row r="7" spans="2:15" x14ac:dyDescent="0.3">
      <c r="B7" s="3">
        <v>3</v>
      </c>
      <c r="C7" s="43">
        <f t="shared" si="0"/>
        <v>4.9781852984311818</v>
      </c>
      <c r="L7" s="43">
        <f t="shared" si="1"/>
        <v>7.85</v>
      </c>
    </row>
    <row r="8" spans="2:15" x14ac:dyDescent="0.3">
      <c r="B8" s="3">
        <v>4</v>
      </c>
      <c r="C8" s="43">
        <f t="shared" si="0"/>
        <v>6.754831602733562</v>
      </c>
      <c r="L8" s="43">
        <f t="shared" si="1"/>
        <v>8.1999999999999993</v>
      </c>
    </row>
    <row r="9" spans="2:15" x14ac:dyDescent="0.3">
      <c r="B9" s="3">
        <v>5</v>
      </c>
      <c r="C9" s="43">
        <f t="shared" si="0"/>
        <v>8.8190001162887235</v>
      </c>
      <c r="L9" s="43">
        <f t="shared" si="1"/>
        <v>9.25</v>
      </c>
    </row>
    <row r="10" spans="2:15" x14ac:dyDescent="0.3">
      <c r="B10" s="3">
        <v>6</v>
      </c>
      <c r="C10" s="43">
        <f t="shared" si="0"/>
        <v>11.217221778098647</v>
      </c>
      <c r="L10" s="43">
        <f t="shared" si="1"/>
        <v>10.999999999999998</v>
      </c>
    </row>
    <row r="11" spans="2:15" x14ac:dyDescent="0.3">
      <c r="B11" s="3">
        <v>7</v>
      </c>
      <c r="C11" s="43">
        <f t="shared" si="0"/>
        <v>14.003557826442147</v>
      </c>
      <c r="L11" s="43">
        <f t="shared" si="1"/>
        <v>13.449999999999998</v>
      </c>
    </row>
    <row r="12" spans="2:15" x14ac:dyDescent="0.3">
      <c r="B12" s="3">
        <v>8</v>
      </c>
      <c r="C12" s="43">
        <f t="shared" si="0"/>
        <v>17.240818459155832</v>
      </c>
      <c r="L12" s="43">
        <f t="shared" si="1"/>
        <v>16.599999999999998</v>
      </c>
    </row>
    <row r="13" spans="2:15" x14ac:dyDescent="0.3">
      <c r="B13" s="3">
        <v>9</v>
      </c>
      <c r="C13" s="43">
        <f t="shared" si="0"/>
        <v>21.001978714878817</v>
      </c>
      <c r="L13" s="43">
        <f t="shared" si="1"/>
        <v>20.449999999999996</v>
      </c>
    </row>
    <row r="14" spans="2:15" x14ac:dyDescent="0.3">
      <c r="B14" s="3">
        <v>10</v>
      </c>
      <c r="C14" s="43">
        <f t="shared" si="0"/>
        <v>25.371823492366453</v>
      </c>
      <c r="L14" s="43">
        <f t="shared" si="1"/>
        <v>25</v>
      </c>
    </row>
    <row r="15" spans="2:15" x14ac:dyDescent="0.3">
      <c r="B15" s="3">
        <v>11</v>
      </c>
      <c r="C15" s="43">
        <f t="shared" si="0"/>
        <v>30.448858790258939</v>
      </c>
      <c r="L15" s="43">
        <f t="shared" si="1"/>
        <v>30.249999999999993</v>
      </c>
    </row>
    <row r="16" spans="2:15" x14ac:dyDescent="0.3">
      <c r="B16" s="3">
        <v>12</v>
      </c>
      <c r="C16" s="43">
        <f t="shared" si="0"/>
        <v>36.347532250890616</v>
      </c>
      <c r="L16" s="43">
        <f t="shared" si="1"/>
        <v>36.199999999999996</v>
      </c>
    </row>
    <row r="17" spans="2:12" x14ac:dyDescent="0.3">
      <c r="B17" s="3">
        <v>13</v>
      </c>
      <c r="C17" s="43">
        <f t="shared" si="0"/>
        <v>43.20081306412505</v>
      </c>
      <c r="L17" s="43">
        <f t="shared" si="1"/>
        <v>42.849999999999994</v>
      </c>
    </row>
    <row r="18" spans="2:12" x14ac:dyDescent="0.3">
      <c r="B18" s="3">
        <v>14</v>
      </c>
      <c r="C18" s="43">
        <f t="shared" si="0"/>
        <v>51.16318938797356</v>
      </c>
      <c r="L18" s="43">
        <f t="shared" si="1"/>
        <v>50.199999999999989</v>
      </c>
    </row>
    <row r="19" spans="2:12" x14ac:dyDescent="0.3">
      <c r="B19" s="3">
        <v>15</v>
      </c>
      <c r="C19" s="43">
        <f t="shared" si="0"/>
        <v>60.414150854509685</v>
      </c>
      <c r="L19" s="43">
        <f t="shared" si="1"/>
        <v>58.25</v>
      </c>
    </row>
    <row r="20" spans="2:12" x14ac:dyDescent="0.3">
      <c r="B20" s="3">
        <v>16</v>
      </c>
      <c r="C20" s="43">
        <f t="shared" si="0"/>
        <v>71.162234664491208</v>
      </c>
      <c r="L20" s="43">
        <f t="shared" si="1"/>
        <v>67</v>
      </c>
    </row>
    <row r="21" spans="2:12" x14ac:dyDescent="0.3">
      <c r="B21" s="3">
        <v>17</v>
      </c>
      <c r="C21" s="43">
        <f t="shared" si="0"/>
        <v>83.649726478641199</v>
      </c>
      <c r="L21" s="43">
        <f t="shared" si="1"/>
        <v>76.449999999999989</v>
      </c>
    </row>
    <row r="22" spans="2:12" x14ac:dyDescent="0.3">
      <c r="B22" s="3">
        <v>18</v>
      </c>
      <c r="C22" s="43">
        <f t="shared" si="0"/>
        <v>98.158122074109812</v>
      </c>
      <c r="L22" s="43">
        <f t="shared" si="1"/>
        <v>86.6</v>
      </c>
    </row>
    <row r="23" spans="2:12" x14ac:dyDescent="0.3">
      <c r="B23" s="3">
        <v>19</v>
      </c>
      <c r="C23" s="43">
        <f t="shared" si="0"/>
        <v>115.01447288397347</v>
      </c>
      <c r="L23" s="43">
        <f t="shared" si="1"/>
        <v>97.449999999999989</v>
      </c>
    </row>
    <row r="24" spans="2:12" x14ac:dyDescent="0.3">
      <c r="B24" s="3">
        <v>20</v>
      </c>
      <c r="C24" s="43">
        <f t="shared" si="0"/>
        <v>134.59875846231367</v>
      </c>
      <c r="L24" s="43">
        <f t="shared" si="1"/>
        <v>109</v>
      </c>
    </row>
  </sheetData>
  <sheetProtection algorithmName="SHA-512" hashValue="FSKlPis3dJvRk9RY/To3IEbL+b1TSmEsaK4p+1BOBhAof/dYNYM8/m/iS9ThaaFIirhVAQnvvHQjioZecL5Iow==" saltValue="y7azAYKSyyzrH3BttBW5Fw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1:AM46"/>
  <sheetViews>
    <sheetView zoomScale="78" zoomScaleNormal="78" workbookViewId="0">
      <selection activeCell="J5" sqref="J5:J6"/>
    </sheetView>
  </sheetViews>
  <sheetFormatPr baseColWidth="10" defaultColWidth="11.44140625" defaultRowHeight="14.4" x14ac:dyDescent="0.3"/>
  <cols>
    <col min="1" max="3" width="11.44140625" style="1"/>
    <col min="4" max="5" width="11.44140625" style="2"/>
    <col min="6" max="8" width="11.44140625" style="1"/>
    <col min="9" max="9" width="11.44140625" style="2"/>
    <col min="10" max="10" width="12" style="2" customWidth="1"/>
    <col min="11" max="11" width="11.44140625" style="2"/>
    <col min="12" max="16384" width="11.44140625" style="1"/>
  </cols>
  <sheetData>
    <row r="1" spans="2:11" ht="15" thickBot="1" x14ac:dyDescent="0.35"/>
    <row r="2" spans="2:11" ht="15" thickBot="1" x14ac:dyDescent="0.35">
      <c r="B2" s="17"/>
      <c r="C2" s="15" t="s">
        <v>9</v>
      </c>
      <c r="D2" s="16" t="s">
        <v>10</v>
      </c>
      <c r="E2" s="1"/>
      <c r="G2" s="18"/>
      <c r="H2" s="19" t="s">
        <v>9</v>
      </c>
      <c r="I2" s="20" t="s">
        <v>12</v>
      </c>
      <c r="J2" s="20" t="s">
        <v>11</v>
      </c>
      <c r="K2" s="5" t="s">
        <v>13</v>
      </c>
    </row>
    <row r="3" spans="2:11" x14ac:dyDescent="0.3">
      <c r="B3" s="62" t="s">
        <v>0</v>
      </c>
      <c r="C3" s="6">
        <v>1</v>
      </c>
      <c r="D3" s="11">
        <v>0</v>
      </c>
      <c r="E3" s="28"/>
      <c r="G3" s="62" t="s">
        <v>3</v>
      </c>
      <c r="H3" s="6">
        <v>1</v>
      </c>
      <c r="I3" s="7">
        <f t="shared" ref="I3:I11" si="0">J4</f>
        <v>0</v>
      </c>
      <c r="J3" s="29">
        <v>0</v>
      </c>
      <c r="K3" s="32">
        <f>AVERAGE(I3:J3)</f>
        <v>0</v>
      </c>
    </row>
    <row r="4" spans="2:11" x14ac:dyDescent="0.3">
      <c r="B4" s="63"/>
      <c r="C4" s="8">
        <v>2</v>
      </c>
      <c r="D4" s="12">
        <v>1.0416666666666666E-2</v>
      </c>
      <c r="E4" s="28"/>
      <c r="G4" s="63"/>
      <c r="H4" s="8">
        <v>2</v>
      </c>
      <c r="I4" s="4">
        <f t="shared" si="0"/>
        <v>0</v>
      </c>
      <c r="J4" s="30">
        <f t="shared" ref="J4" si="1">SUM(D11:D13)*SUM(D1:D2)</f>
        <v>0</v>
      </c>
      <c r="K4" s="33">
        <f t="shared" ref="K4:K32" si="2">AVERAGE(I4:J4)</f>
        <v>0</v>
      </c>
    </row>
    <row r="5" spans="2:11" x14ac:dyDescent="0.3">
      <c r="B5" s="63"/>
      <c r="C5" s="8">
        <v>3</v>
      </c>
      <c r="D5" s="12">
        <v>5.4166666666666669E-2</v>
      </c>
      <c r="E5" s="28"/>
      <c r="G5" s="63"/>
      <c r="H5" s="8">
        <v>3</v>
      </c>
      <c r="I5" s="4">
        <f t="shared" si="0"/>
        <v>1.082251082251082E-3</v>
      </c>
      <c r="J5" s="30">
        <f>SUM(D13:D14)*SUM(D3)</f>
        <v>0</v>
      </c>
      <c r="K5" s="33">
        <f t="shared" si="2"/>
        <v>5.4112554112554102E-4</v>
      </c>
    </row>
    <row r="6" spans="2:11" x14ac:dyDescent="0.3">
      <c r="B6" s="63"/>
      <c r="C6" s="8">
        <v>4</v>
      </c>
      <c r="D6" s="12">
        <v>0.14791666666666667</v>
      </c>
      <c r="E6" s="28"/>
      <c r="G6" s="63"/>
      <c r="H6" s="8">
        <v>4</v>
      </c>
      <c r="I6" s="4">
        <f t="shared" si="0"/>
        <v>1.8766910173160175E-2</v>
      </c>
      <c r="J6" s="30">
        <f>SUM(D13:D15)*SUM(D3:D4)</f>
        <v>1.082251082251082E-3</v>
      </c>
      <c r="K6" s="33">
        <f t="shared" si="2"/>
        <v>9.9245806277056293E-3</v>
      </c>
    </row>
    <row r="7" spans="2:11" x14ac:dyDescent="0.3">
      <c r="B7" s="63"/>
      <c r="C7" s="8">
        <v>5</v>
      </c>
      <c r="D7" s="12">
        <v>0.32500000000000001</v>
      </c>
      <c r="E7" s="28"/>
      <c r="G7" s="63"/>
      <c r="H7" s="8">
        <v>5</v>
      </c>
      <c r="I7" s="4">
        <f t="shared" si="0"/>
        <v>0.14086174242424243</v>
      </c>
      <c r="J7" s="30">
        <f>SUM(D13:D16)*SUM(D3:D5)</f>
        <v>1.8766910173160175E-2</v>
      </c>
      <c r="K7" s="33">
        <f t="shared" si="2"/>
        <v>7.9814326298701305E-2</v>
      </c>
    </row>
    <row r="8" spans="2:11" x14ac:dyDescent="0.3">
      <c r="B8" s="63"/>
      <c r="C8" s="8">
        <v>6</v>
      </c>
      <c r="D8" s="12">
        <v>0.36041666666666666</v>
      </c>
      <c r="E8" s="28"/>
      <c r="G8" s="63"/>
      <c r="H8" s="8">
        <v>6</v>
      </c>
      <c r="I8" s="4">
        <f t="shared" si="0"/>
        <v>0.49387175324675331</v>
      </c>
      <c r="J8" s="30">
        <f>SUM(D13:D17)*SUM(D3:D6)</f>
        <v>0.14086174242424243</v>
      </c>
      <c r="K8" s="33">
        <f t="shared" si="2"/>
        <v>0.3173667478354979</v>
      </c>
    </row>
    <row r="9" spans="2:11" x14ac:dyDescent="0.3">
      <c r="B9" s="63"/>
      <c r="C9" s="8">
        <v>7</v>
      </c>
      <c r="D9" s="12">
        <v>8.5416666666666669E-2</v>
      </c>
      <c r="E9" s="28"/>
      <c r="G9" s="63"/>
      <c r="H9" s="8">
        <v>7</v>
      </c>
      <c r="I9" s="4">
        <f t="shared" si="0"/>
        <v>0.88771306818181817</v>
      </c>
      <c r="J9" s="30">
        <f>SUM(D12:D18)*SUM(D2:D7)</f>
        <v>0.49387175324675331</v>
      </c>
      <c r="K9" s="33">
        <f t="shared" si="2"/>
        <v>0.69079241071428577</v>
      </c>
    </row>
    <row r="10" spans="2:11" x14ac:dyDescent="0.3">
      <c r="B10" s="63"/>
      <c r="C10" s="8">
        <v>8</v>
      </c>
      <c r="D10" s="12">
        <v>1.4583333333333334E-2</v>
      </c>
      <c r="E10" s="28"/>
      <c r="G10" s="63"/>
      <c r="H10" s="8">
        <v>8</v>
      </c>
      <c r="I10" s="4">
        <f t="shared" si="0"/>
        <v>0.98333333333333328</v>
      </c>
      <c r="J10" s="30">
        <f>SUM(D13:D19)*SUM(D3:D8)</f>
        <v>0.88771306818181817</v>
      </c>
      <c r="K10" s="33">
        <f t="shared" si="2"/>
        <v>0.93552320075757578</v>
      </c>
    </row>
    <row r="11" spans="2:11" x14ac:dyDescent="0.3">
      <c r="B11" s="63"/>
      <c r="C11" s="8">
        <v>9</v>
      </c>
      <c r="D11" s="12">
        <v>2.0833333333333333E-3</v>
      </c>
      <c r="E11" s="28"/>
      <c r="G11" s="63"/>
      <c r="H11" s="8">
        <v>9</v>
      </c>
      <c r="I11" s="4">
        <f t="shared" si="0"/>
        <v>0.99791666666666656</v>
      </c>
      <c r="J11" s="30">
        <f>SUM(D13:D20)*SUM(D3:D9)</f>
        <v>0.98333333333333328</v>
      </c>
      <c r="K11" s="33">
        <f t="shared" si="2"/>
        <v>0.99062499999999987</v>
      </c>
    </row>
    <row r="12" spans="2:11" ht="15" thickBot="1" x14ac:dyDescent="0.35">
      <c r="B12" s="64"/>
      <c r="C12" s="9">
        <v>10</v>
      </c>
      <c r="D12" s="13">
        <v>0</v>
      </c>
      <c r="E12" s="28"/>
      <c r="G12" s="64"/>
      <c r="H12" s="9">
        <v>10</v>
      </c>
      <c r="I12" s="10">
        <f>SUM(D13:D22)*SUM(D3:D11)</f>
        <v>0.99999999999999989</v>
      </c>
      <c r="J12" s="31">
        <f>SUM(D13:D21)*SUM(D3:D10)</f>
        <v>0.99791666666666656</v>
      </c>
      <c r="K12" s="34">
        <f t="shared" si="2"/>
        <v>0.99895833333333317</v>
      </c>
    </row>
    <row r="13" spans="2:11" x14ac:dyDescent="0.3">
      <c r="B13" s="59" t="s">
        <v>1</v>
      </c>
      <c r="C13" s="6">
        <v>1</v>
      </c>
      <c r="D13" s="11">
        <v>1.0822510822510823E-3</v>
      </c>
      <c r="E13" s="28"/>
      <c r="G13" s="62" t="s">
        <v>2</v>
      </c>
      <c r="H13" s="6">
        <v>1</v>
      </c>
      <c r="I13" s="7">
        <f t="shared" ref="I13:I21" si="3">J14</f>
        <v>0</v>
      </c>
      <c r="J13" s="29">
        <v>0</v>
      </c>
      <c r="K13" s="32">
        <f t="shared" si="2"/>
        <v>0</v>
      </c>
    </row>
    <row r="14" spans="2:11" x14ac:dyDescent="0.3">
      <c r="B14" s="60"/>
      <c r="C14" s="8">
        <v>2</v>
      </c>
      <c r="D14" s="12">
        <v>1.2987012987012988E-2</v>
      </c>
      <c r="E14" s="28"/>
      <c r="G14" s="63"/>
      <c r="H14" s="8">
        <v>2</v>
      </c>
      <c r="I14" s="4">
        <f t="shared" si="3"/>
        <v>0</v>
      </c>
      <c r="J14" s="30">
        <v>0</v>
      </c>
      <c r="K14" s="33">
        <f t="shared" si="2"/>
        <v>0</v>
      </c>
    </row>
    <row r="15" spans="2:11" x14ac:dyDescent="0.3">
      <c r="B15" s="60"/>
      <c r="C15" s="8">
        <v>3</v>
      </c>
      <c r="D15" s="12">
        <v>8.9826839826839824E-2</v>
      </c>
      <c r="E15" s="28"/>
      <c r="G15" s="63"/>
      <c r="H15" s="8">
        <v>3</v>
      </c>
      <c r="I15" s="4">
        <f t="shared" si="3"/>
        <v>9.2402607981786864E-6</v>
      </c>
      <c r="J15" s="30">
        <f>SUM(D23:D24)*SUM(D13)*SUM(D3)</f>
        <v>0</v>
      </c>
      <c r="K15" s="33">
        <f t="shared" si="2"/>
        <v>4.6201303990893432E-6</v>
      </c>
    </row>
    <row r="16" spans="2:11" x14ac:dyDescent="0.3">
      <c r="B16" s="60"/>
      <c r="C16" s="8">
        <v>4</v>
      </c>
      <c r="D16" s="12">
        <v>0.18668831168831168</v>
      </c>
      <c r="E16" s="28"/>
      <c r="G16" s="63"/>
      <c r="H16" s="8">
        <v>4</v>
      </c>
      <c r="I16" s="4">
        <f t="shared" si="3"/>
        <v>1.7676767676767676E-3</v>
      </c>
      <c r="J16" s="30">
        <f>SUM(D23:D25)*SUM(D13:D14)*SUM(D3:D4)</f>
        <v>9.2402607981786864E-6</v>
      </c>
      <c r="K16" s="33">
        <f t="shared" si="2"/>
        <v>8.8845851423747309E-4</v>
      </c>
    </row>
    <row r="17" spans="2:11" x14ac:dyDescent="0.3">
      <c r="B17" s="60"/>
      <c r="C17" s="8">
        <v>5</v>
      </c>
      <c r="D17" s="12">
        <v>0.37229437229437229</v>
      </c>
      <c r="E17" s="28"/>
      <c r="G17" s="63"/>
      <c r="H17" s="8">
        <v>5</v>
      </c>
      <c r="I17" s="4">
        <f t="shared" si="3"/>
        <v>3.7333209160096983E-2</v>
      </c>
      <c r="J17" s="30">
        <f>SUM(D23:D26)*SUM(D13:D15)*SUM(D3:D5)</f>
        <v>1.7676767676767676E-3</v>
      </c>
      <c r="K17" s="33">
        <f t="shared" si="2"/>
        <v>1.9550442963886874E-2</v>
      </c>
    </row>
    <row r="18" spans="2:11" x14ac:dyDescent="0.3">
      <c r="B18" s="60"/>
      <c r="C18" s="8">
        <v>6</v>
      </c>
      <c r="D18" s="12">
        <v>0.25595238095238093</v>
      </c>
      <c r="E18" s="28"/>
      <c r="G18" s="63"/>
      <c r="H18" s="8">
        <v>6</v>
      </c>
      <c r="I18" s="4">
        <f t="shared" si="3"/>
        <v>0.30161632823839568</v>
      </c>
      <c r="J18" s="30">
        <f>SUM(D23:D27)*SUM(D13:D16)*SUM(D3:D6)</f>
        <v>3.7333209160096983E-2</v>
      </c>
      <c r="K18" s="33">
        <f t="shared" si="2"/>
        <v>0.16947476869924633</v>
      </c>
    </row>
    <row r="19" spans="2:11" x14ac:dyDescent="0.3">
      <c r="B19" s="60"/>
      <c r="C19" s="8">
        <v>7</v>
      </c>
      <c r="D19" s="12">
        <v>6.9805194805194801E-2</v>
      </c>
      <c r="E19" s="28"/>
      <c r="G19" s="63"/>
      <c r="H19" s="8">
        <v>7</v>
      </c>
      <c r="I19" s="4">
        <f t="shared" si="3"/>
        <v>0.79761334146872997</v>
      </c>
      <c r="J19" s="30">
        <f>SUM(D23:D28)*SUM(D13:D17)*SUM(D3:D7)</f>
        <v>0.30161632823839568</v>
      </c>
      <c r="K19" s="33">
        <f t="shared" si="2"/>
        <v>0.54961483485356277</v>
      </c>
    </row>
    <row r="20" spans="2:11" x14ac:dyDescent="0.3">
      <c r="B20" s="60"/>
      <c r="C20" s="8">
        <v>8</v>
      </c>
      <c r="D20" s="12">
        <v>1.1363636363636364E-2</v>
      </c>
      <c r="E20" s="28"/>
      <c r="G20" s="63"/>
      <c r="H20" s="8">
        <v>8</v>
      </c>
      <c r="I20" s="4">
        <f t="shared" si="3"/>
        <v>0.96978333555496299</v>
      </c>
      <c r="J20" s="30">
        <f>SUM(D23:D29)*SUM(D13:D18)*SUM(D3:D8)</f>
        <v>0.79761334146872997</v>
      </c>
      <c r="K20" s="33">
        <f t="shared" si="2"/>
        <v>0.88369833851184643</v>
      </c>
    </row>
    <row r="21" spans="2:11" x14ac:dyDescent="0.3">
      <c r="B21" s="60"/>
      <c r="C21" s="8">
        <v>9</v>
      </c>
      <c r="D21" s="12">
        <v>0</v>
      </c>
      <c r="E21" s="28"/>
      <c r="G21" s="63"/>
      <c r="H21" s="8">
        <v>9</v>
      </c>
      <c r="I21" s="4">
        <f t="shared" si="3"/>
        <v>0.99791666666666645</v>
      </c>
      <c r="J21" s="30">
        <f>SUM(D23:D30)*SUM(D13:D19)*SUM(D3:D9)</f>
        <v>0.96978333555496299</v>
      </c>
      <c r="K21" s="33">
        <f t="shared" si="2"/>
        <v>0.98385000111081466</v>
      </c>
    </row>
    <row r="22" spans="2:11" ht="15" thickBot="1" x14ac:dyDescent="0.35">
      <c r="B22" s="61"/>
      <c r="C22" s="9">
        <v>10</v>
      </c>
      <c r="D22" s="13">
        <v>0</v>
      </c>
      <c r="E22" s="28"/>
      <c r="G22" s="63"/>
      <c r="H22" s="9">
        <v>10</v>
      </c>
      <c r="I22" s="10">
        <f>SUM(D23:D32)*SUM(D13:D21)</f>
        <v>0.99999999999999978</v>
      </c>
      <c r="J22" s="31">
        <f>SUM(D23:D31)*SUM(D13:D20)*SUM(D3:D10)</f>
        <v>0.99791666666666645</v>
      </c>
      <c r="K22" s="34">
        <f t="shared" si="2"/>
        <v>0.99895833333333317</v>
      </c>
    </row>
    <row r="23" spans="2:11" x14ac:dyDescent="0.3">
      <c r="B23" s="59" t="s">
        <v>2</v>
      </c>
      <c r="C23" s="6">
        <v>1</v>
      </c>
      <c r="D23" s="11">
        <v>0</v>
      </c>
      <c r="E23" s="28"/>
      <c r="G23" s="59" t="s">
        <v>1</v>
      </c>
      <c r="H23" s="6">
        <v>1</v>
      </c>
      <c r="I23" s="7">
        <f t="shared" ref="I23:I31" si="4">J24</f>
        <v>0</v>
      </c>
      <c r="J23" s="29">
        <v>0</v>
      </c>
      <c r="K23" s="32">
        <f t="shared" si="2"/>
        <v>0</v>
      </c>
    </row>
    <row r="24" spans="2:11" x14ac:dyDescent="0.3">
      <c r="B24" s="60"/>
      <c r="C24" s="8">
        <v>2</v>
      </c>
      <c r="D24" s="12">
        <v>1.4662756598240469E-3</v>
      </c>
      <c r="E24" s="28"/>
      <c r="G24" s="60"/>
      <c r="H24" s="8">
        <v>2</v>
      </c>
      <c r="I24" s="4">
        <f t="shared" si="4"/>
        <v>0</v>
      </c>
      <c r="J24" s="30">
        <v>0</v>
      </c>
      <c r="K24" s="33">
        <f t="shared" si="2"/>
        <v>0</v>
      </c>
    </row>
    <row r="25" spans="2:11" x14ac:dyDescent="0.3">
      <c r="B25" s="60"/>
      <c r="C25" s="8">
        <v>3</v>
      </c>
      <c r="D25" s="12">
        <v>6.1583577712609971E-2</v>
      </c>
      <c r="E25" s="28"/>
      <c r="G25" s="60"/>
      <c r="H25" s="8">
        <v>3</v>
      </c>
      <c r="I25" s="4">
        <f t="shared" si="4"/>
        <v>0</v>
      </c>
      <c r="J25" s="30">
        <v>0</v>
      </c>
      <c r="K25" s="33">
        <f t="shared" si="2"/>
        <v>0</v>
      </c>
    </row>
    <row r="26" spans="2:11" x14ac:dyDescent="0.3">
      <c r="B26" s="60"/>
      <c r="C26" s="8">
        <v>4</v>
      </c>
      <c r="D26" s="12">
        <v>0.20039100684261973</v>
      </c>
      <c r="E26" s="28"/>
      <c r="G26" s="60"/>
      <c r="H26" s="8">
        <v>4</v>
      </c>
      <c r="I26" s="4">
        <f t="shared" si="4"/>
        <v>3.0554462372644186E-5</v>
      </c>
      <c r="J26" s="30">
        <v>0</v>
      </c>
      <c r="K26" s="33">
        <f t="shared" si="2"/>
        <v>1.5277231186322093E-5</v>
      </c>
    </row>
    <row r="27" spans="2:11" x14ac:dyDescent="0.3">
      <c r="B27" s="60"/>
      <c r="C27" s="8">
        <v>5</v>
      </c>
      <c r="D27" s="12">
        <v>0.34115347018572822</v>
      </c>
      <c r="E27" s="28"/>
      <c r="G27" s="60"/>
      <c r="H27" s="8">
        <v>5</v>
      </c>
      <c r="I27" s="4">
        <f t="shared" si="4"/>
        <v>3.0872351992143657E-3</v>
      </c>
      <c r="J27" s="30">
        <f>SUM(D33:D36)*SUM(D23:D25)*SUM(D13:D15)*SUM(D3:D4)</f>
        <v>3.0554462372644186E-5</v>
      </c>
      <c r="K27" s="33">
        <f t="shared" si="2"/>
        <v>1.5588948307935049E-3</v>
      </c>
    </row>
    <row r="28" spans="2:11" x14ac:dyDescent="0.3">
      <c r="B28" s="60"/>
      <c r="C28" s="8">
        <v>6</v>
      </c>
      <c r="D28" s="12">
        <v>0.24193548387096775</v>
      </c>
      <c r="E28" s="28"/>
      <c r="G28" s="60"/>
      <c r="H28" s="8">
        <v>6</v>
      </c>
      <c r="I28" s="4">
        <f t="shared" si="4"/>
        <v>6.9550772186059012E-2</v>
      </c>
      <c r="J28" s="30">
        <f>SUM(D33:D37)*SUM(D23:D26)*SUM(D13:D16)*SUM(D3:D5)</f>
        <v>3.0872351992143657E-3</v>
      </c>
      <c r="K28" s="33">
        <f t="shared" si="2"/>
        <v>3.6319003692636687E-2</v>
      </c>
    </row>
    <row r="29" spans="2:11" x14ac:dyDescent="0.3">
      <c r="B29" s="60"/>
      <c r="C29" s="8">
        <v>7</v>
      </c>
      <c r="D29" s="12">
        <v>0.12023460410557185</v>
      </c>
      <c r="E29" s="28"/>
      <c r="G29" s="60"/>
      <c r="H29" s="8">
        <v>7</v>
      </c>
      <c r="I29" s="4">
        <f t="shared" si="4"/>
        <v>0.39624424500909106</v>
      </c>
      <c r="J29" s="30">
        <f>SUM(D33:D38)*SUM(D23:D27)*SUM(D13:D17)*SUM(D3:D6)</f>
        <v>6.9550772186059012E-2</v>
      </c>
      <c r="K29" s="33">
        <f t="shared" si="2"/>
        <v>0.23289750859757502</v>
      </c>
    </row>
    <row r="30" spans="2:11" x14ac:dyDescent="0.3">
      <c r="B30" s="60"/>
      <c r="C30" s="8">
        <v>8</v>
      </c>
      <c r="D30" s="12">
        <v>3.0791788856304986E-2</v>
      </c>
      <c r="E30" s="28"/>
      <c r="G30" s="60"/>
      <c r="H30" s="8">
        <v>8</v>
      </c>
      <c r="I30" s="4">
        <f t="shared" si="4"/>
        <v>0.85058087997521636</v>
      </c>
      <c r="J30" s="30">
        <f>SUM(D33:D39)*SUM(D23:D28)*SUM(D13:D18)*SUM(D3:D7)</f>
        <v>0.39624424500909106</v>
      </c>
      <c r="K30" s="33">
        <f t="shared" si="2"/>
        <v>0.62341256249215371</v>
      </c>
    </row>
    <row r="31" spans="2:11" x14ac:dyDescent="0.3">
      <c r="B31" s="60"/>
      <c r="C31" s="8">
        <v>9</v>
      </c>
      <c r="D31" s="12">
        <v>2.4437927663734115E-3</v>
      </c>
      <c r="E31" s="28"/>
      <c r="G31" s="60"/>
      <c r="H31" s="8">
        <v>9</v>
      </c>
      <c r="I31" s="4">
        <f t="shared" si="4"/>
        <v>0.98093027044639935</v>
      </c>
      <c r="J31" s="30">
        <f>SUM(D33:D40)*SUM(D23:D29)*SUM(D13:D19)*SUM(D3:D8)</f>
        <v>0.85058087997521636</v>
      </c>
      <c r="K31" s="33">
        <f t="shared" si="2"/>
        <v>0.91575557521080786</v>
      </c>
    </row>
    <row r="32" spans="2:11" ht="15" thickBot="1" x14ac:dyDescent="0.35">
      <c r="B32" s="61"/>
      <c r="C32" s="9">
        <v>10</v>
      </c>
      <c r="D32" s="13">
        <v>0</v>
      </c>
      <c r="E32" s="28"/>
      <c r="G32" s="61"/>
      <c r="H32" s="9">
        <v>10</v>
      </c>
      <c r="I32" s="10">
        <f>SUM(D33:D42)*SUM(D23:D31)*SUM(D13:D20)*SUM(D3:D10)</f>
        <v>0.99791666666666645</v>
      </c>
      <c r="J32" s="31">
        <f>SUM(D33:D41)*SUM(D23:D30)*SUM(D13:D20)*SUM(D3:D9)</f>
        <v>0.98093027044639935</v>
      </c>
      <c r="K32" s="34">
        <f t="shared" si="2"/>
        <v>0.98942346855653285</v>
      </c>
    </row>
    <row r="33" spans="2:39" x14ac:dyDescent="0.3">
      <c r="B33" s="59" t="s">
        <v>3</v>
      </c>
      <c r="C33" s="6">
        <v>1</v>
      </c>
      <c r="D33" s="11">
        <v>0</v>
      </c>
      <c r="E33" s="28"/>
    </row>
    <row r="34" spans="2:39" ht="15" thickBot="1" x14ac:dyDescent="0.35">
      <c r="B34" s="60"/>
      <c r="C34" s="8">
        <v>2</v>
      </c>
      <c r="D34" s="12">
        <v>5.5555555555555558E-3</v>
      </c>
      <c r="E34" s="28"/>
    </row>
    <row r="35" spans="2:39" ht="15" thickBot="1" x14ac:dyDescent="0.35">
      <c r="B35" s="60"/>
      <c r="C35" s="8">
        <v>3</v>
      </c>
      <c r="D35" s="12">
        <v>8.8888888888888892E-2</v>
      </c>
      <c r="E35" s="28"/>
      <c r="G35" s="65" t="s">
        <v>34</v>
      </c>
      <c r="H35" s="66"/>
    </row>
    <row r="36" spans="2:39" ht="15" thickBot="1" x14ac:dyDescent="0.35">
      <c r="B36" s="60"/>
      <c r="C36" s="8">
        <v>4</v>
      </c>
      <c r="D36" s="12">
        <v>0.35333333333333333</v>
      </c>
      <c r="E36" s="28"/>
      <c r="G36" s="45" t="s">
        <v>30</v>
      </c>
      <c r="H36" s="46" t="s">
        <v>29</v>
      </c>
    </row>
    <row r="37" spans="2:39" ht="15" thickBot="1" x14ac:dyDescent="0.35">
      <c r="B37" s="60"/>
      <c r="C37" s="8">
        <v>5</v>
      </c>
      <c r="D37" s="12">
        <v>0.17666666666666667</v>
      </c>
      <c r="E37" s="28"/>
      <c r="G37" s="52">
        <v>1.1000000000000001</v>
      </c>
      <c r="H37" s="54">
        <f>2-G37</f>
        <v>0.89999999999999991</v>
      </c>
    </row>
    <row r="38" spans="2:39" ht="15" thickBot="1" x14ac:dyDescent="0.35">
      <c r="B38" s="60"/>
      <c r="C38" s="8">
        <v>6</v>
      </c>
      <c r="D38" s="12">
        <v>0.19222222222222221</v>
      </c>
      <c r="E38" s="28"/>
    </row>
    <row r="39" spans="2:39" ht="15" thickBot="1" x14ac:dyDescent="0.35">
      <c r="B39" s="60"/>
      <c r="C39" s="8">
        <v>7</v>
      </c>
      <c r="D39" s="12">
        <v>0.13111111111111112</v>
      </c>
      <c r="E39" s="28"/>
      <c r="G39" s="65" t="s">
        <v>43</v>
      </c>
      <c r="H39" s="66"/>
      <c r="I39" s="46">
        <v>0.64800000000000002</v>
      </c>
    </row>
    <row r="40" spans="2:39" ht="15" thickBot="1" x14ac:dyDescent="0.35">
      <c r="B40" s="60"/>
      <c r="C40" s="8">
        <v>8</v>
      </c>
      <c r="D40" s="12">
        <v>4.3333333333333335E-2</v>
      </c>
      <c r="E40" s="28"/>
      <c r="G40" s="45" t="s">
        <v>44</v>
      </c>
      <c r="H40" s="46" t="s">
        <v>45</v>
      </c>
    </row>
    <row r="41" spans="2:39" ht="15" thickBot="1" x14ac:dyDescent="0.35">
      <c r="B41" s="60"/>
      <c r="C41" s="8">
        <v>9</v>
      </c>
      <c r="D41" s="12">
        <v>8.8888888888888889E-3</v>
      </c>
      <c r="E41" s="28"/>
      <c r="G41" s="57" t="e">
        <f>SUM(Calculs!G:G)/SUM(Calculs!H:H)</f>
        <v>#DIV/0!</v>
      </c>
      <c r="H41" s="54">
        <v>0.36299999999999999</v>
      </c>
    </row>
    <row r="42" spans="2:39" ht="15" thickBot="1" x14ac:dyDescent="0.35">
      <c r="B42" s="61"/>
      <c r="C42" s="9">
        <v>10</v>
      </c>
      <c r="D42" s="13">
        <v>0</v>
      </c>
      <c r="E42" s="28"/>
    </row>
    <row r="43" spans="2:39" ht="15" thickBot="1" x14ac:dyDescent="0.35"/>
    <row r="44" spans="2:39" ht="15" thickBot="1" x14ac:dyDescent="0.35">
      <c r="B44" s="41" t="s">
        <v>22</v>
      </c>
      <c r="C44" s="53">
        <v>5</v>
      </c>
    </row>
    <row r="45" spans="2:39" ht="15" thickBot="1" x14ac:dyDescent="0.35">
      <c r="B45" s="35">
        <v>1</v>
      </c>
      <c r="C45" s="40">
        <v>2</v>
      </c>
      <c r="D45" s="40">
        <v>3</v>
      </c>
      <c r="E45" s="40">
        <v>4</v>
      </c>
      <c r="F45" s="40">
        <v>5</v>
      </c>
      <c r="G45" s="40">
        <v>6</v>
      </c>
      <c r="H45" s="40">
        <v>7</v>
      </c>
      <c r="I45" s="40">
        <v>8</v>
      </c>
      <c r="J45" s="40">
        <v>9</v>
      </c>
      <c r="K45" s="40">
        <v>10</v>
      </c>
      <c r="L45" s="40">
        <v>11</v>
      </c>
      <c r="M45" s="40">
        <v>12</v>
      </c>
      <c r="N45" s="40">
        <v>13</v>
      </c>
      <c r="O45" s="40">
        <v>14</v>
      </c>
      <c r="P45" s="40">
        <v>15</v>
      </c>
      <c r="Q45" s="40">
        <v>16</v>
      </c>
      <c r="R45" s="40">
        <v>17</v>
      </c>
      <c r="S45" s="40">
        <v>18</v>
      </c>
      <c r="T45" s="40">
        <v>19</v>
      </c>
      <c r="U45" s="40">
        <v>20</v>
      </c>
      <c r="V45" s="40">
        <v>21</v>
      </c>
      <c r="W45" s="40">
        <v>22</v>
      </c>
      <c r="X45" s="40">
        <v>23</v>
      </c>
      <c r="Y45" s="40">
        <v>24</v>
      </c>
      <c r="Z45" s="40">
        <v>25</v>
      </c>
      <c r="AA45" s="40">
        <v>26</v>
      </c>
      <c r="AB45" s="40">
        <v>27</v>
      </c>
      <c r="AC45" s="40">
        <v>28</v>
      </c>
      <c r="AD45" s="40">
        <v>29</v>
      </c>
      <c r="AE45" s="40">
        <v>30</v>
      </c>
      <c r="AF45" s="40">
        <v>31</v>
      </c>
      <c r="AG45" s="40">
        <v>32</v>
      </c>
      <c r="AH45" s="40">
        <v>33</v>
      </c>
      <c r="AI45" s="40">
        <v>34</v>
      </c>
      <c r="AJ45" s="40">
        <v>35</v>
      </c>
      <c r="AK45" s="40">
        <v>36</v>
      </c>
      <c r="AL45" s="40">
        <v>37</v>
      </c>
      <c r="AM45" s="36">
        <v>38</v>
      </c>
    </row>
    <row r="46" spans="2:39" ht="15" thickBot="1" x14ac:dyDescent="0.35">
      <c r="B46" s="37">
        <f t="shared" ref="B46:AM46" si="5">EXP(B45/50)^$C$44</f>
        <v>1.1051709180756475</v>
      </c>
      <c r="C46" s="38">
        <f t="shared" si="5"/>
        <v>1.2214027581601694</v>
      </c>
      <c r="D46" s="38">
        <f t="shared" si="5"/>
        <v>1.3498588075760032</v>
      </c>
      <c r="E46" s="38">
        <f t="shared" si="5"/>
        <v>1.491824697641271</v>
      </c>
      <c r="F46" s="38">
        <f t="shared" si="5"/>
        <v>1.6487212707001291</v>
      </c>
      <c r="G46" s="38">
        <f t="shared" si="5"/>
        <v>1.8221188003905091</v>
      </c>
      <c r="H46" s="38">
        <f t="shared" si="5"/>
        <v>2.0137527074704771</v>
      </c>
      <c r="I46" s="38">
        <f t="shared" si="5"/>
        <v>2.2255409284924679</v>
      </c>
      <c r="J46" s="38">
        <f t="shared" si="5"/>
        <v>2.459603111156949</v>
      </c>
      <c r="K46" s="38">
        <f t="shared" si="5"/>
        <v>2.7182818284590455</v>
      </c>
      <c r="L46" s="38">
        <f t="shared" si="5"/>
        <v>3.004166023946433</v>
      </c>
      <c r="M46" s="38">
        <f t="shared" si="5"/>
        <v>3.3201169227365477</v>
      </c>
      <c r="N46" s="38">
        <f t="shared" si="5"/>
        <v>3.6692966676192444</v>
      </c>
      <c r="O46" s="38">
        <f t="shared" si="5"/>
        <v>4.0551999668446745</v>
      </c>
      <c r="P46" s="38">
        <f t="shared" si="5"/>
        <v>4.4816890703380663</v>
      </c>
      <c r="Q46" s="38">
        <f t="shared" si="5"/>
        <v>4.9530324243951167</v>
      </c>
      <c r="R46" s="38">
        <f t="shared" si="5"/>
        <v>5.473947391727199</v>
      </c>
      <c r="S46" s="38">
        <f t="shared" si="5"/>
        <v>6.0496474644129421</v>
      </c>
      <c r="T46" s="38">
        <f t="shared" si="5"/>
        <v>6.6858944422792685</v>
      </c>
      <c r="U46" s="38">
        <f t="shared" si="5"/>
        <v>7.3890560989306522</v>
      </c>
      <c r="V46" s="38">
        <f t="shared" si="5"/>
        <v>8.1661699125676481</v>
      </c>
      <c r="W46" s="38">
        <f t="shared" si="5"/>
        <v>9.0250134994341202</v>
      </c>
      <c r="X46" s="38">
        <f t="shared" si="5"/>
        <v>9.9741824548147235</v>
      </c>
      <c r="Y46" s="38">
        <f t="shared" si="5"/>
        <v>11.023176380641603</v>
      </c>
      <c r="Z46" s="38">
        <f t="shared" si="5"/>
        <v>12.182493960703477</v>
      </c>
      <c r="AA46" s="38">
        <f t="shared" si="5"/>
        <v>13.463738035001692</v>
      </c>
      <c r="AB46" s="38">
        <f t="shared" si="5"/>
        <v>14.879731724872837</v>
      </c>
      <c r="AC46" s="38">
        <f t="shared" si="5"/>
        <v>16.444646771097055</v>
      </c>
      <c r="AD46" s="38">
        <f t="shared" si="5"/>
        <v>18.174145369443064</v>
      </c>
      <c r="AE46" s="38">
        <f t="shared" si="5"/>
        <v>20.085536923187664</v>
      </c>
      <c r="AF46" s="38">
        <f t="shared" si="5"/>
        <v>22.197951281441636</v>
      </c>
      <c r="AG46" s="38">
        <f t="shared" si="5"/>
        <v>24.532530197109352</v>
      </c>
      <c r="AH46" s="38">
        <f t="shared" si="5"/>
        <v>27.112638920657897</v>
      </c>
      <c r="AI46" s="38">
        <f t="shared" si="5"/>
        <v>29.964100047397018</v>
      </c>
      <c r="AJ46" s="38">
        <f t="shared" si="5"/>
        <v>33.115451958692326</v>
      </c>
      <c r="AK46" s="38">
        <f t="shared" si="5"/>
        <v>36.598234443677974</v>
      </c>
      <c r="AL46" s="38">
        <f t="shared" si="5"/>
        <v>40.447304360067363</v>
      </c>
      <c r="AM46" s="39">
        <f t="shared" si="5"/>
        <v>44.701184493300808</v>
      </c>
    </row>
  </sheetData>
  <sheetProtection algorithmName="SHA-512" hashValue="CBRaZ1uaOVPS2TVUShVbsoWSkk641XlrGv9dBghwNwIVDnLJqdA0wAFLlpdXM0gWsKQ/YqRo+Fi48DPM9kOHmQ==" saltValue="Ln0IBnca3VyvNT/gbU8LXg==" spinCount="100000" sheet="1" objects="1" scenarios="1"/>
  <mergeCells count="9">
    <mergeCell ref="B33:B42"/>
    <mergeCell ref="B3:B12"/>
    <mergeCell ref="G3:G12"/>
    <mergeCell ref="B13:B22"/>
    <mergeCell ref="G13:G22"/>
    <mergeCell ref="B23:B32"/>
    <mergeCell ref="G23:G32"/>
    <mergeCell ref="G35:H35"/>
    <mergeCell ref="G39:H3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 filterMode="1"/>
  <dimension ref="A1:F599"/>
  <sheetViews>
    <sheetView topLeftCell="A126" zoomScale="134" workbookViewId="0">
      <selection activeCell="D202" sqref="A1:F599"/>
    </sheetView>
  </sheetViews>
  <sheetFormatPr baseColWidth="10" defaultColWidth="11.44140625" defaultRowHeight="14.4" x14ac:dyDescent="0.3"/>
  <cols>
    <col min="1" max="1" width="15.77734375" style="1" customWidth="1"/>
    <col min="2" max="2" width="21.77734375" style="1" bestFit="1" customWidth="1"/>
    <col min="3" max="3" width="10.5546875" style="1" bestFit="1" customWidth="1"/>
    <col min="4" max="4" width="14.88671875" style="1" bestFit="1" customWidth="1"/>
    <col min="5" max="5" width="12.5546875" style="1" bestFit="1" customWidth="1"/>
    <col min="6" max="6" width="19.44140625" style="1" bestFit="1" customWidth="1"/>
    <col min="7" max="16384" width="11.44140625" style="1"/>
  </cols>
  <sheetData>
    <row r="1" spans="1:6" ht="15" thickBot="1" x14ac:dyDescent="0.35"/>
    <row r="2" spans="1:6" ht="15" thickBot="1" x14ac:dyDescent="0.35">
      <c r="B2" s="21" t="s">
        <v>5</v>
      </c>
      <c r="C2" s="22" t="s">
        <v>4</v>
      </c>
      <c r="D2" s="22" t="s">
        <v>7</v>
      </c>
      <c r="E2" s="23" t="s">
        <v>18</v>
      </c>
      <c r="F2" s="26" t="s">
        <v>32</v>
      </c>
    </row>
    <row r="3" spans="1:6" hidden="1" x14ac:dyDescent="0.3">
      <c r="B3" s="58" t="s">
        <v>78</v>
      </c>
      <c r="C3" s="58" t="s">
        <v>16</v>
      </c>
      <c r="D3" s="58" t="s">
        <v>59</v>
      </c>
      <c r="E3" s="58">
        <v>50</v>
      </c>
      <c r="F3" s="1" t="e">
        <f>VLOOKUP(B3,Calculs!$B:$B,1,FALSE)</f>
        <v>#N/A</v>
      </c>
    </row>
    <row r="4" spans="1:6" hidden="1" x14ac:dyDescent="0.3">
      <c r="B4" t="s">
        <v>128</v>
      </c>
      <c r="C4" s="58" t="s">
        <v>16</v>
      </c>
      <c r="D4" s="58" t="s">
        <v>59</v>
      </c>
      <c r="E4" s="58">
        <v>44</v>
      </c>
      <c r="F4" s="1" t="e">
        <f>VLOOKUP(B4,Calculs!$B:$B,1,FALSE)</f>
        <v>#N/A</v>
      </c>
    </row>
    <row r="5" spans="1:6" hidden="1" x14ac:dyDescent="0.3">
      <c r="B5" s="58" t="s">
        <v>93</v>
      </c>
      <c r="C5" s="58" t="s">
        <v>14</v>
      </c>
      <c r="D5" s="58" t="s">
        <v>62</v>
      </c>
      <c r="E5" s="58">
        <v>43</v>
      </c>
      <c r="F5" s="1" t="e">
        <f>VLOOKUP(B5,Calculs!$B:$B,1,FALSE)</f>
        <v>#N/A</v>
      </c>
    </row>
    <row r="6" spans="1:6" x14ac:dyDescent="0.3">
      <c r="A6"/>
      <c r="B6" t="s">
        <v>626</v>
      </c>
      <c r="C6" s="58" t="s">
        <v>16</v>
      </c>
      <c r="D6" s="58" t="s">
        <v>59</v>
      </c>
      <c r="E6" s="58">
        <v>35</v>
      </c>
      <c r="F6" s="1" t="e">
        <f>VLOOKUP(B6,Calculs!$B:$B,1,FALSE)</f>
        <v>#N/A</v>
      </c>
    </row>
    <row r="7" spans="1:6" hidden="1" x14ac:dyDescent="0.3">
      <c r="B7" s="58" t="s">
        <v>114</v>
      </c>
      <c r="C7" s="58" t="s">
        <v>16</v>
      </c>
      <c r="D7" s="58" t="s">
        <v>60</v>
      </c>
      <c r="E7" s="58">
        <v>32</v>
      </c>
      <c r="F7" s="1" t="e">
        <f>VLOOKUP(B7,Calculs!$B:$B,1,FALSE)</f>
        <v>#N/A</v>
      </c>
    </row>
    <row r="8" spans="1:6" hidden="1" x14ac:dyDescent="0.3">
      <c r="B8" t="s">
        <v>124</v>
      </c>
      <c r="C8" s="58" t="s">
        <v>14</v>
      </c>
      <c r="D8" s="58" t="s">
        <v>59</v>
      </c>
      <c r="E8" s="58">
        <v>30</v>
      </c>
      <c r="F8" s="1" t="e">
        <f>VLOOKUP(B8,Calculs!$B:$B,1,FALSE)</f>
        <v>#N/A</v>
      </c>
    </row>
    <row r="9" spans="1:6" hidden="1" x14ac:dyDescent="0.3">
      <c r="B9" s="58" t="s">
        <v>242</v>
      </c>
      <c r="C9" s="58" t="s">
        <v>14</v>
      </c>
      <c r="D9" s="58" t="s">
        <v>61</v>
      </c>
      <c r="E9" s="58">
        <v>29</v>
      </c>
      <c r="F9" s="1" t="e">
        <f>VLOOKUP(B9,Calculs!$B:$B,1,FALSE)</f>
        <v>#N/A</v>
      </c>
    </row>
    <row r="10" spans="1:6" x14ac:dyDescent="0.3">
      <c r="B10" t="s">
        <v>58</v>
      </c>
      <c r="C10" s="58" t="s">
        <v>16</v>
      </c>
      <c r="D10" s="58" t="s">
        <v>61</v>
      </c>
      <c r="E10" s="58">
        <v>28</v>
      </c>
      <c r="F10" s="1" t="e">
        <f>VLOOKUP(B10,Calculs!$B:$B,1,FALSE)</f>
        <v>#N/A</v>
      </c>
    </row>
    <row r="11" spans="1:6" hidden="1" x14ac:dyDescent="0.3">
      <c r="B11" s="58" t="s">
        <v>98</v>
      </c>
      <c r="C11" s="58" t="s">
        <v>14</v>
      </c>
      <c r="D11" s="58" t="s">
        <v>62</v>
      </c>
      <c r="E11" s="58">
        <v>28</v>
      </c>
      <c r="F11" s="1" t="e">
        <f>VLOOKUP(B11,Calculs!$B:$B,1,FALSE)</f>
        <v>#N/A</v>
      </c>
    </row>
    <row r="12" spans="1:6" hidden="1" x14ac:dyDescent="0.3">
      <c r="B12" s="58" t="s">
        <v>116</v>
      </c>
      <c r="C12" s="58" t="s">
        <v>16</v>
      </c>
      <c r="D12" s="58" t="s">
        <v>60</v>
      </c>
      <c r="E12" s="58">
        <v>25</v>
      </c>
      <c r="F12" s="1" t="e">
        <f>VLOOKUP(B12,Calculs!$B:$B,1,FALSE)</f>
        <v>#N/A</v>
      </c>
    </row>
    <row r="13" spans="1:6" hidden="1" x14ac:dyDescent="0.3">
      <c r="B13" s="58" t="s">
        <v>178</v>
      </c>
      <c r="C13" s="58" t="s">
        <v>15</v>
      </c>
      <c r="D13" s="58" t="s">
        <v>66</v>
      </c>
      <c r="E13" s="58">
        <v>25</v>
      </c>
      <c r="F13" s="1" t="e">
        <f>VLOOKUP(B13,Calculs!$B:$B,1,FALSE)</f>
        <v>#N/A</v>
      </c>
    </row>
    <row r="14" spans="1:6" hidden="1" x14ac:dyDescent="0.3">
      <c r="B14" t="s">
        <v>75</v>
      </c>
      <c r="C14" s="58" t="s">
        <v>14</v>
      </c>
      <c r="D14" s="58" t="s">
        <v>62</v>
      </c>
      <c r="E14" s="58">
        <v>25</v>
      </c>
      <c r="F14" s="1" t="e">
        <f>VLOOKUP(B14,Calculs!$B:$B,1,FALSE)</f>
        <v>#N/A</v>
      </c>
    </row>
    <row r="15" spans="1:6" hidden="1" x14ac:dyDescent="0.3">
      <c r="B15" s="58" t="s">
        <v>144</v>
      </c>
      <c r="C15" s="58" t="s">
        <v>16</v>
      </c>
      <c r="D15" s="58" t="s">
        <v>63</v>
      </c>
      <c r="E15" s="58">
        <v>24</v>
      </c>
      <c r="F15" s="1" t="e">
        <f>VLOOKUP(B15,Calculs!$B:$B,1,FALSE)</f>
        <v>#N/A</v>
      </c>
    </row>
    <row r="16" spans="1:6" hidden="1" x14ac:dyDescent="0.3">
      <c r="B16" s="58" t="s">
        <v>99</v>
      </c>
      <c r="C16" s="58" t="s">
        <v>14</v>
      </c>
      <c r="D16" s="58" t="s">
        <v>62</v>
      </c>
      <c r="E16" s="58">
        <v>24</v>
      </c>
      <c r="F16" s="1" t="e">
        <f>VLOOKUP(B16,Calculs!$B:$B,1,FALSE)</f>
        <v>#N/A</v>
      </c>
    </row>
    <row r="17" spans="2:6" hidden="1" x14ac:dyDescent="0.3">
      <c r="B17" s="58" t="s">
        <v>96</v>
      </c>
      <c r="C17" s="58" t="s">
        <v>14</v>
      </c>
      <c r="D17" s="58" t="s">
        <v>62</v>
      </c>
      <c r="E17" s="58">
        <v>24</v>
      </c>
      <c r="F17" s="1" t="e">
        <f>VLOOKUP(B17,Calculs!$B:$B,1,FALSE)</f>
        <v>#N/A</v>
      </c>
    </row>
    <row r="18" spans="2:6" hidden="1" x14ac:dyDescent="0.3">
      <c r="B18" s="58" t="s">
        <v>217</v>
      </c>
      <c r="C18" s="58" t="s">
        <v>14</v>
      </c>
      <c r="D18" s="58" t="s">
        <v>67</v>
      </c>
      <c r="E18" s="58">
        <v>23</v>
      </c>
      <c r="F18" s="1" t="e">
        <f>VLOOKUP(B18,Calculs!$B:$B,1,FALSE)</f>
        <v>#N/A</v>
      </c>
    </row>
    <row r="19" spans="2:6" x14ac:dyDescent="0.3">
      <c r="B19" t="s">
        <v>278</v>
      </c>
      <c r="C19" s="58" t="s">
        <v>17</v>
      </c>
      <c r="D19" s="58" t="s">
        <v>70</v>
      </c>
      <c r="E19" s="58">
        <v>23</v>
      </c>
      <c r="F19" s="1" t="e">
        <f>VLOOKUP(B19,Calculs!$B:$B,1,FALSE)</f>
        <v>#N/A</v>
      </c>
    </row>
    <row r="20" spans="2:6" hidden="1" x14ac:dyDescent="0.3">
      <c r="B20" s="58" t="s">
        <v>340</v>
      </c>
      <c r="C20" s="58" t="s">
        <v>14</v>
      </c>
      <c r="D20" s="58" t="s">
        <v>64</v>
      </c>
      <c r="E20" s="58">
        <v>23</v>
      </c>
      <c r="F20" s="1" t="e">
        <f>VLOOKUP(B20,Calculs!$B:$B,1,FALSE)</f>
        <v>#N/A</v>
      </c>
    </row>
    <row r="21" spans="2:6" hidden="1" x14ac:dyDescent="0.3">
      <c r="B21" s="58" t="s">
        <v>233</v>
      </c>
      <c r="C21" s="58" t="s">
        <v>16</v>
      </c>
      <c r="D21" s="58" t="s">
        <v>74</v>
      </c>
      <c r="E21" s="58">
        <v>23</v>
      </c>
      <c r="F21" s="1" t="e">
        <f>VLOOKUP(B21,Calculs!$B:$B,1,FALSE)</f>
        <v>#N/A</v>
      </c>
    </row>
    <row r="22" spans="2:6" hidden="1" x14ac:dyDescent="0.3">
      <c r="B22" s="58" t="s">
        <v>341</v>
      </c>
      <c r="C22" s="58" t="s">
        <v>14</v>
      </c>
      <c r="D22" s="58" t="s">
        <v>64</v>
      </c>
      <c r="E22" s="58">
        <v>22</v>
      </c>
      <c r="F22" s="1" t="e">
        <f>VLOOKUP(B22,Calculs!$B:$B,1,FALSE)</f>
        <v>#N/A</v>
      </c>
    </row>
    <row r="23" spans="2:6" hidden="1" x14ac:dyDescent="0.3">
      <c r="B23" s="58" t="s">
        <v>146</v>
      </c>
      <c r="C23" s="58" t="s">
        <v>15</v>
      </c>
      <c r="D23" s="58" t="s">
        <v>64</v>
      </c>
      <c r="E23" s="58">
        <v>22</v>
      </c>
      <c r="F23" s="1" t="e">
        <f>VLOOKUP(B23,Calculs!$B:$B,1,FALSE)</f>
        <v>#N/A</v>
      </c>
    </row>
    <row r="24" spans="2:6" hidden="1" x14ac:dyDescent="0.3">
      <c r="B24" s="58" t="s">
        <v>115</v>
      </c>
      <c r="C24" s="58" t="s">
        <v>16</v>
      </c>
      <c r="D24" s="58" t="s">
        <v>60</v>
      </c>
      <c r="E24" s="58">
        <v>22</v>
      </c>
      <c r="F24" s="1" t="e">
        <f>VLOOKUP(B24,Calculs!$B:$B,1,FALSE)</f>
        <v>#N/A</v>
      </c>
    </row>
    <row r="25" spans="2:6" x14ac:dyDescent="0.3">
      <c r="B25" t="s">
        <v>103</v>
      </c>
      <c r="C25" s="58" t="s">
        <v>15</v>
      </c>
      <c r="D25" s="58" t="s">
        <v>60</v>
      </c>
      <c r="E25" s="58">
        <v>21</v>
      </c>
      <c r="F25" s="1" t="e">
        <f>VLOOKUP(B25,Calculs!$B:$B,1,FALSE)</f>
        <v>#N/A</v>
      </c>
    </row>
    <row r="26" spans="2:6" hidden="1" x14ac:dyDescent="0.3">
      <c r="B26" s="58" t="s">
        <v>342</v>
      </c>
      <c r="C26" s="58" t="s">
        <v>14</v>
      </c>
      <c r="D26" s="58" t="s">
        <v>72</v>
      </c>
      <c r="E26" s="58">
        <v>21</v>
      </c>
      <c r="F26" s="1" t="e">
        <f>VLOOKUP(B26,Calculs!$B:$B,1,FALSE)</f>
        <v>#N/A</v>
      </c>
    </row>
    <row r="27" spans="2:6" x14ac:dyDescent="0.3">
      <c r="B27" t="s">
        <v>323</v>
      </c>
      <c r="C27" s="58" t="s">
        <v>16</v>
      </c>
      <c r="D27" s="58" t="s">
        <v>81</v>
      </c>
      <c r="E27" s="58">
        <v>21</v>
      </c>
      <c r="F27" s="1" t="e">
        <f>VLOOKUP(B27,Calculs!$B:$B,1,FALSE)</f>
        <v>#N/A</v>
      </c>
    </row>
    <row r="28" spans="2:6" hidden="1" x14ac:dyDescent="0.3">
      <c r="B28" s="58" t="s">
        <v>76</v>
      </c>
      <c r="C28" s="58" t="s">
        <v>17</v>
      </c>
      <c r="D28" s="58" t="s">
        <v>60</v>
      </c>
      <c r="E28" s="58">
        <v>21</v>
      </c>
      <c r="F28" s="1" t="e">
        <f>VLOOKUP(B28,Calculs!$B:$B,1,FALSE)</f>
        <v>#N/A</v>
      </c>
    </row>
    <row r="29" spans="2:6" hidden="1" x14ac:dyDescent="0.3">
      <c r="B29" s="58" t="s">
        <v>165</v>
      </c>
      <c r="C29" s="58" t="s">
        <v>16</v>
      </c>
      <c r="D29" s="58" t="s">
        <v>72</v>
      </c>
      <c r="E29" s="58">
        <v>21</v>
      </c>
      <c r="F29" s="1" t="e">
        <f>VLOOKUP(B29,Calculs!$B:$B,1,FALSE)</f>
        <v>#N/A</v>
      </c>
    </row>
    <row r="30" spans="2:6" hidden="1" x14ac:dyDescent="0.3">
      <c r="B30" s="58" t="s">
        <v>343</v>
      </c>
      <c r="C30" s="58" t="s">
        <v>15</v>
      </c>
      <c r="D30" s="58" t="s">
        <v>65</v>
      </c>
      <c r="E30" s="58">
        <v>21</v>
      </c>
      <c r="F30" s="1" t="e">
        <f>VLOOKUP(B30,Calculs!$B:$B,1,FALSE)</f>
        <v>#N/A</v>
      </c>
    </row>
    <row r="31" spans="2:6" hidden="1" x14ac:dyDescent="0.3">
      <c r="B31" s="58" t="s">
        <v>184</v>
      </c>
      <c r="C31" s="58" t="s">
        <v>14</v>
      </c>
      <c r="D31" s="58" t="s">
        <v>66</v>
      </c>
      <c r="E31" s="58">
        <v>21</v>
      </c>
      <c r="F31" s="1" t="e">
        <f>VLOOKUP(B31,Calculs!$B:$B,1,FALSE)</f>
        <v>#N/A</v>
      </c>
    </row>
    <row r="32" spans="2:6" hidden="1" x14ac:dyDescent="0.3">
      <c r="B32" s="58" t="s">
        <v>344</v>
      </c>
      <c r="C32" s="58" t="s">
        <v>14</v>
      </c>
      <c r="D32" s="58" t="s">
        <v>62</v>
      </c>
      <c r="E32" s="58">
        <v>21</v>
      </c>
      <c r="F32" s="1" t="e">
        <f>VLOOKUP(B32,Calculs!$B:$B,1,FALSE)</f>
        <v>#N/A</v>
      </c>
    </row>
    <row r="33" spans="2:6" hidden="1" x14ac:dyDescent="0.3">
      <c r="B33" s="58" t="s">
        <v>345</v>
      </c>
      <c r="C33" s="58" t="s">
        <v>17</v>
      </c>
      <c r="D33" s="58" t="s">
        <v>64</v>
      </c>
      <c r="E33" s="58">
        <v>20</v>
      </c>
      <c r="F33" s="1" t="e">
        <f>VLOOKUP(B33,Calculs!$B:$B,1,FALSE)</f>
        <v>#N/A</v>
      </c>
    </row>
    <row r="34" spans="2:6" hidden="1" x14ac:dyDescent="0.3">
      <c r="B34" s="58" t="s">
        <v>100</v>
      </c>
      <c r="C34" s="58" t="s">
        <v>16</v>
      </c>
      <c r="D34" s="58" t="s">
        <v>62</v>
      </c>
      <c r="E34" s="58">
        <v>20</v>
      </c>
      <c r="F34" s="1" t="e">
        <f>VLOOKUP(B34,Calculs!$B:$B,1,FALSE)</f>
        <v>#N/A</v>
      </c>
    </row>
    <row r="35" spans="2:6" hidden="1" x14ac:dyDescent="0.3">
      <c r="B35" s="58" t="s">
        <v>315</v>
      </c>
      <c r="C35" s="58" t="s">
        <v>15</v>
      </c>
      <c r="D35" s="58" t="s">
        <v>81</v>
      </c>
      <c r="E35" s="58">
        <v>20</v>
      </c>
      <c r="F35" s="1" t="e">
        <f>VLOOKUP(B35,Calculs!$B:$B,1,FALSE)</f>
        <v>#N/A</v>
      </c>
    </row>
    <row r="36" spans="2:6" hidden="1" x14ac:dyDescent="0.3">
      <c r="B36" s="58" t="s">
        <v>346</v>
      </c>
      <c r="C36" s="58" t="s">
        <v>14</v>
      </c>
      <c r="D36" s="58" t="s">
        <v>66</v>
      </c>
      <c r="E36" s="58">
        <v>20</v>
      </c>
      <c r="F36" s="1" t="e">
        <f>VLOOKUP(B36,Calculs!$B:$B,1,FALSE)</f>
        <v>#N/A</v>
      </c>
    </row>
    <row r="37" spans="2:6" hidden="1" x14ac:dyDescent="0.3">
      <c r="B37" s="58" t="s">
        <v>123</v>
      </c>
      <c r="C37" s="58" t="s">
        <v>14</v>
      </c>
      <c r="D37" s="58" t="s">
        <v>59</v>
      </c>
      <c r="E37" s="58">
        <v>20</v>
      </c>
      <c r="F37" s="1" t="e">
        <f>VLOOKUP(B37,Calculs!$B:$B,1,FALSE)</f>
        <v>#N/A</v>
      </c>
    </row>
    <row r="38" spans="2:6" x14ac:dyDescent="0.3">
      <c r="B38" t="s">
        <v>220</v>
      </c>
      <c r="C38" s="58" t="s">
        <v>16</v>
      </c>
      <c r="D38" s="58" t="s">
        <v>67</v>
      </c>
      <c r="E38" s="58">
        <v>20</v>
      </c>
      <c r="F38" s="1" t="e">
        <f>VLOOKUP(B38,Calculs!$B:$B,1,FALSE)</f>
        <v>#N/A</v>
      </c>
    </row>
    <row r="39" spans="2:6" hidden="1" x14ac:dyDescent="0.3">
      <c r="B39" s="58" t="s">
        <v>48</v>
      </c>
      <c r="C39" s="58" t="s">
        <v>17</v>
      </c>
      <c r="D39" s="58" t="s">
        <v>59</v>
      </c>
      <c r="E39" s="58">
        <v>20</v>
      </c>
      <c r="F39" s="1" t="e">
        <f>VLOOKUP(B39,Calculs!$B:$B,1,FALSE)</f>
        <v>#N/A</v>
      </c>
    </row>
    <row r="40" spans="2:6" hidden="1" x14ac:dyDescent="0.3">
      <c r="B40" s="58" t="s">
        <v>216</v>
      </c>
      <c r="C40" s="58" t="s">
        <v>14</v>
      </c>
      <c r="D40" s="58" t="s">
        <v>67</v>
      </c>
      <c r="E40" s="58">
        <v>19</v>
      </c>
      <c r="F40" s="1" t="e">
        <f>VLOOKUP(B40,Calculs!$B:$B,1,FALSE)</f>
        <v>#N/A</v>
      </c>
    </row>
    <row r="41" spans="2:6" hidden="1" x14ac:dyDescent="0.3">
      <c r="B41" s="58" t="s">
        <v>113</v>
      </c>
      <c r="C41" s="58" t="s">
        <v>14</v>
      </c>
      <c r="D41" s="58" t="s">
        <v>60</v>
      </c>
      <c r="E41" s="58">
        <v>19</v>
      </c>
      <c r="F41" s="1" t="e">
        <f>VLOOKUP(B41,Calculs!$B:$B,1,FALSE)</f>
        <v>#N/A</v>
      </c>
    </row>
    <row r="42" spans="2:6" hidden="1" x14ac:dyDescent="0.3">
      <c r="B42" s="58" t="s">
        <v>166</v>
      </c>
      <c r="C42" s="58" t="s">
        <v>15</v>
      </c>
      <c r="D42" s="58" t="s">
        <v>68</v>
      </c>
      <c r="E42" s="58">
        <v>19</v>
      </c>
      <c r="F42" s="1" t="e">
        <f>VLOOKUP(B42,Calculs!$B:$B,1,FALSE)</f>
        <v>#N/A</v>
      </c>
    </row>
    <row r="43" spans="2:6" hidden="1" x14ac:dyDescent="0.3">
      <c r="B43" s="58" t="s">
        <v>241</v>
      </c>
      <c r="C43" s="58" t="s">
        <v>17</v>
      </c>
      <c r="D43" s="58" t="s">
        <v>61</v>
      </c>
      <c r="E43" s="58">
        <v>19</v>
      </c>
      <c r="F43" s="1" t="e">
        <f>VLOOKUP(B43,Calculs!$B:$B,1,FALSE)</f>
        <v>#N/A</v>
      </c>
    </row>
    <row r="44" spans="2:6" hidden="1" x14ac:dyDescent="0.3">
      <c r="B44" s="58" t="s">
        <v>203</v>
      </c>
      <c r="C44" s="58" t="s">
        <v>16</v>
      </c>
      <c r="D44" s="58" t="s">
        <v>65</v>
      </c>
      <c r="E44" s="58">
        <v>19</v>
      </c>
      <c r="F44" s="1" t="e">
        <f>VLOOKUP(B44,Calculs!$B:$B,1,FALSE)</f>
        <v>#N/A</v>
      </c>
    </row>
    <row r="45" spans="2:6" hidden="1" x14ac:dyDescent="0.3">
      <c r="B45" s="58" t="s">
        <v>57</v>
      </c>
      <c r="C45" s="58" t="s">
        <v>17</v>
      </c>
      <c r="D45" s="58" t="s">
        <v>61</v>
      </c>
      <c r="E45" s="58">
        <v>19</v>
      </c>
      <c r="F45" s="1" t="e">
        <f>VLOOKUP(B45,Calculs!$B:$B,1,FALSE)</f>
        <v>#N/A</v>
      </c>
    </row>
    <row r="46" spans="2:6" x14ac:dyDescent="0.3">
      <c r="B46" t="s">
        <v>176</v>
      </c>
      <c r="C46" s="58" t="s">
        <v>16</v>
      </c>
      <c r="D46" s="58" t="s">
        <v>68</v>
      </c>
      <c r="E46" s="58">
        <v>19</v>
      </c>
      <c r="F46" s="1" t="e">
        <f>VLOOKUP(B46,Calculs!$B:$B,1,FALSE)</f>
        <v>#N/A</v>
      </c>
    </row>
    <row r="47" spans="2:6" hidden="1" x14ac:dyDescent="0.3">
      <c r="B47" s="58" t="s">
        <v>310</v>
      </c>
      <c r="C47" s="58" t="s">
        <v>14</v>
      </c>
      <c r="D47" s="58" t="s">
        <v>82</v>
      </c>
      <c r="E47" s="58">
        <v>19</v>
      </c>
      <c r="F47" s="1" t="e">
        <f>VLOOKUP(B47,Calculs!$B:$B,1,FALSE)</f>
        <v>#N/A</v>
      </c>
    </row>
    <row r="48" spans="2:6" hidden="1" x14ac:dyDescent="0.3">
      <c r="B48" s="58" t="s">
        <v>121</v>
      </c>
      <c r="C48" s="58" t="s">
        <v>17</v>
      </c>
      <c r="D48" s="58" t="s">
        <v>59</v>
      </c>
      <c r="E48" s="58">
        <v>19</v>
      </c>
      <c r="F48" s="1" t="e">
        <f>VLOOKUP(B48,Calculs!$B:$B,1,FALSE)</f>
        <v>#N/A</v>
      </c>
    </row>
    <row r="49" spans="2:6" hidden="1" x14ac:dyDescent="0.3">
      <c r="B49" s="58" t="s">
        <v>55</v>
      </c>
      <c r="C49" s="58" t="s">
        <v>17</v>
      </c>
      <c r="D49" s="58" t="s">
        <v>66</v>
      </c>
      <c r="E49" s="58">
        <v>19</v>
      </c>
      <c r="F49" s="1" t="e">
        <f>VLOOKUP(B49,Calculs!$B:$B,1,FALSE)</f>
        <v>#N/A</v>
      </c>
    </row>
    <row r="50" spans="2:6" x14ac:dyDescent="0.3">
      <c r="B50" t="s">
        <v>627</v>
      </c>
      <c r="C50" s="58" t="s">
        <v>14</v>
      </c>
      <c r="D50" s="58" t="s">
        <v>68</v>
      </c>
      <c r="E50" s="58">
        <v>19</v>
      </c>
      <c r="F50" s="1" t="e">
        <f>VLOOKUP(B50,Calculs!$B:$B,1,FALSE)</f>
        <v>#N/A</v>
      </c>
    </row>
    <row r="51" spans="2:6" hidden="1" x14ac:dyDescent="0.3">
      <c r="B51" s="58" t="s">
        <v>237</v>
      </c>
      <c r="C51" s="58" t="s">
        <v>15</v>
      </c>
      <c r="D51" s="58" t="s">
        <v>61</v>
      </c>
      <c r="E51" s="58">
        <v>19</v>
      </c>
      <c r="F51" s="1" t="e">
        <f>VLOOKUP(B51,Calculs!$B:$B,1,FALSE)</f>
        <v>#N/A</v>
      </c>
    </row>
    <row r="52" spans="2:6" hidden="1" x14ac:dyDescent="0.3">
      <c r="B52" s="58" t="s">
        <v>182</v>
      </c>
      <c r="C52" s="58" t="s">
        <v>17</v>
      </c>
      <c r="D52" s="58" t="s">
        <v>66</v>
      </c>
      <c r="E52" s="58">
        <v>18</v>
      </c>
      <c r="F52" s="1" t="e">
        <f>VLOOKUP(B52,Calculs!$B:$B,1,FALSE)</f>
        <v>#N/A</v>
      </c>
    </row>
    <row r="53" spans="2:6" hidden="1" x14ac:dyDescent="0.3">
      <c r="B53" s="58" t="s">
        <v>118</v>
      </c>
      <c r="C53" s="58" t="s">
        <v>15</v>
      </c>
      <c r="D53" s="58" t="s">
        <v>59</v>
      </c>
      <c r="E53" s="58">
        <v>18</v>
      </c>
      <c r="F53" s="1" t="e">
        <f>VLOOKUP(B53,Calculs!$B:$B,1,FALSE)</f>
        <v>#N/A</v>
      </c>
    </row>
    <row r="54" spans="2:6" hidden="1" x14ac:dyDescent="0.3">
      <c r="B54" s="58" t="s">
        <v>305</v>
      </c>
      <c r="C54" s="58" t="s">
        <v>14</v>
      </c>
      <c r="D54" s="58" t="s">
        <v>65</v>
      </c>
      <c r="E54" s="58">
        <v>18</v>
      </c>
      <c r="F54" s="1" t="e">
        <f>VLOOKUP(B54,Calculs!$B:$B,1,FALSE)</f>
        <v>#N/A</v>
      </c>
    </row>
    <row r="55" spans="2:6" hidden="1" x14ac:dyDescent="0.3">
      <c r="B55" s="58" t="s">
        <v>347</v>
      </c>
      <c r="C55" s="58" t="s">
        <v>14</v>
      </c>
      <c r="D55" s="58" t="s">
        <v>67</v>
      </c>
      <c r="E55" s="58">
        <v>18</v>
      </c>
      <c r="F55" s="1" t="e">
        <f>VLOOKUP(B55,Calculs!$B:$B,1,FALSE)</f>
        <v>#N/A</v>
      </c>
    </row>
    <row r="56" spans="2:6" hidden="1" x14ac:dyDescent="0.3">
      <c r="B56" s="58" t="s">
        <v>53</v>
      </c>
      <c r="C56" s="58" t="s">
        <v>17</v>
      </c>
      <c r="D56" s="58" t="s">
        <v>66</v>
      </c>
      <c r="E56" s="58">
        <v>18</v>
      </c>
      <c r="F56" s="1" t="e">
        <f>VLOOKUP(B56,Calculs!$B:$B,1,FALSE)</f>
        <v>#N/A</v>
      </c>
    </row>
    <row r="57" spans="2:6" hidden="1" x14ac:dyDescent="0.3">
      <c r="B57" s="58" t="s">
        <v>157</v>
      </c>
      <c r="C57" s="58" t="s">
        <v>15</v>
      </c>
      <c r="D57" s="58" t="s">
        <v>72</v>
      </c>
      <c r="E57" s="58">
        <v>18</v>
      </c>
      <c r="F57" s="1" t="e">
        <f>VLOOKUP(B57,Calculs!$B:$B,1,FALSE)</f>
        <v>#N/A</v>
      </c>
    </row>
    <row r="58" spans="2:6" hidden="1" x14ac:dyDescent="0.3">
      <c r="B58" s="58" t="s">
        <v>222</v>
      </c>
      <c r="C58" s="58" t="s">
        <v>15</v>
      </c>
      <c r="D58" s="58" t="s">
        <v>74</v>
      </c>
      <c r="E58" s="58">
        <v>18</v>
      </c>
      <c r="F58" s="1" t="e">
        <f>VLOOKUP(B58,Calculs!$B:$B,1,FALSE)</f>
        <v>#N/A</v>
      </c>
    </row>
    <row r="59" spans="2:6" hidden="1" x14ac:dyDescent="0.3">
      <c r="B59" s="58" t="s">
        <v>302</v>
      </c>
      <c r="C59" s="58" t="s">
        <v>16</v>
      </c>
      <c r="D59" s="58" t="s">
        <v>73</v>
      </c>
      <c r="E59" s="58">
        <v>18</v>
      </c>
      <c r="F59" s="1" t="e">
        <f>VLOOKUP(B59,Calculs!$B:$B,1,FALSE)</f>
        <v>#N/A</v>
      </c>
    </row>
    <row r="60" spans="2:6" hidden="1" x14ac:dyDescent="0.3">
      <c r="B60" s="58" t="s">
        <v>110</v>
      </c>
      <c r="C60" s="58" t="s">
        <v>14</v>
      </c>
      <c r="D60" s="58" t="s">
        <v>60</v>
      </c>
      <c r="E60" s="58">
        <v>18</v>
      </c>
      <c r="F60" s="1" t="e">
        <f>VLOOKUP(B60,Calculs!$B:$B,1,FALSE)</f>
        <v>#N/A</v>
      </c>
    </row>
    <row r="61" spans="2:6" hidden="1" x14ac:dyDescent="0.3">
      <c r="B61" s="58" t="s">
        <v>348</v>
      </c>
      <c r="C61" s="58" t="s">
        <v>16</v>
      </c>
      <c r="D61" s="58" t="s">
        <v>68</v>
      </c>
      <c r="E61" s="58">
        <v>17</v>
      </c>
      <c r="F61" s="1" t="e">
        <f>VLOOKUP(B61,Calculs!$B:$B,1,FALSE)</f>
        <v>#N/A</v>
      </c>
    </row>
    <row r="62" spans="2:6" hidden="1" x14ac:dyDescent="0.3">
      <c r="B62" s="58" t="s">
        <v>349</v>
      </c>
      <c r="C62" s="58" t="s">
        <v>15</v>
      </c>
      <c r="D62" s="58" t="s">
        <v>59</v>
      </c>
      <c r="E62" s="58">
        <v>17</v>
      </c>
      <c r="F62" s="1" t="e">
        <f>VLOOKUP(B62,Calculs!$B:$B,1,FALSE)</f>
        <v>#N/A</v>
      </c>
    </row>
    <row r="63" spans="2:6" hidden="1" x14ac:dyDescent="0.3">
      <c r="B63" s="58" t="s">
        <v>334</v>
      </c>
      <c r="C63" s="58" t="s">
        <v>15</v>
      </c>
      <c r="D63" s="58" t="s">
        <v>70</v>
      </c>
      <c r="E63" s="58">
        <v>17</v>
      </c>
      <c r="F63" s="1" t="e">
        <f>VLOOKUP(B63,Calculs!$B:$B,1,FALSE)</f>
        <v>#N/A</v>
      </c>
    </row>
    <row r="64" spans="2:6" hidden="1" x14ac:dyDescent="0.3">
      <c r="B64" s="58" t="s">
        <v>180</v>
      </c>
      <c r="C64" s="58" t="s">
        <v>17</v>
      </c>
      <c r="D64" s="58" t="s">
        <v>66</v>
      </c>
      <c r="E64" s="58">
        <v>17</v>
      </c>
      <c r="F64" s="1" t="e">
        <f>VLOOKUP(B64,Calculs!$B:$B,1,FALSE)</f>
        <v>#N/A</v>
      </c>
    </row>
    <row r="65" spans="2:6" hidden="1" x14ac:dyDescent="0.3">
      <c r="B65" s="58" t="s">
        <v>350</v>
      </c>
      <c r="C65" s="58" t="s">
        <v>16</v>
      </c>
      <c r="D65" s="58" t="s">
        <v>71</v>
      </c>
      <c r="E65" s="58">
        <v>17</v>
      </c>
      <c r="F65" s="1" t="e">
        <f>VLOOKUP(B65,Calculs!$B:$B,1,FALSE)</f>
        <v>#N/A</v>
      </c>
    </row>
    <row r="66" spans="2:6" hidden="1" x14ac:dyDescent="0.3">
      <c r="B66" s="58" t="s">
        <v>51</v>
      </c>
      <c r="C66" s="58" t="s">
        <v>17</v>
      </c>
      <c r="D66" s="58" t="s">
        <v>63</v>
      </c>
      <c r="E66" s="58">
        <v>17</v>
      </c>
      <c r="F66" s="1" t="e">
        <f>VLOOKUP(B66,Calculs!$B:$B,1,FALSE)</f>
        <v>#N/A</v>
      </c>
    </row>
    <row r="67" spans="2:6" x14ac:dyDescent="0.3">
      <c r="B67" s="58" t="s">
        <v>351</v>
      </c>
      <c r="C67" s="58" t="s">
        <v>16</v>
      </c>
      <c r="D67" s="58" t="s">
        <v>60</v>
      </c>
      <c r="E67" s="58">
        <v>17</v>
      </c>
      <c r="F67" s="1" t="e">
        <f>VLOOKUP(B67,Calculs!$B:$B,1,FALSE)</f>
        <v>#N/A</v>
      </c>
    </row>
    <row r="68" spans="2:6" hidden="1" x14ac:dyDescent="0.3">
      <c r="B68" s="58" t="s">
        <v>119</v>
      </c>
      <c r="C68" s="58" t="s">
        <v>17</v>
      </c>
      <c r="D68" s="58" t="s">
        <v>59</v>
      </c>
      <c r="E68" s="58">
        <v>17</v>
      </c>
      <c r="F68" s="1" t="e">
        <f>VLOOKUP(B68,Calculs!$B:$B,1,FALSE)</f>
        <v>#N/A</v>
      </c>
    </row>
    <row r="69" spans="2:6" hidden="1" x14ac:dyDescent="0.3">
      <c r="B69" s="58" t="s">
        <v>139</v>
      </c>
      <c r="C69" s="58" t="s">
        <v>14</v>
      </c>
      <c r="D69" s="58" t="s">
        <v>63</v>
      </c>
      <c r="E69" s="58">
        <v>17</v>
      </c>
      <c r="F69" s="1" t="e">
        <f>VLOOKUP(B69,Calculs!$B:$B,1,FALSE)</f>
        <v>#N/A</v>
      </c>
    </row>
    <row r="70" spans="2:6" hidden="1" x14ac:dyDescent="0.3">
      <c r="B70" s="58" t="s">
        <v>173</v>
      </c>
      <c r="C70" s="58" t="s">
        <v>14</v>
      </c>
      <c r="D70" s="58" t="s">
        <v>68</v>
      </c>
      <c r="E70" s="58">
        <v>17</v>
      </c>
      <c r="F70" s="1" t="e">
        <f>VLOOKUP(B70,Calculs!$B:$B,1,FALSE)</f>
        <v>#N/A</v>
      </c>
    </row>
    <row r="71" spans="2:6" hidden="1" x14ac:dyDescent="0.3">
      <c r="B71" s="58" t="s">
        <v>336</v>
      </c>
      <c r="C71" s="58" t="s">
        <v>14</v>
      </c>
      <c r="D71" s="58" t="s">
        <v>64</v>
      </c>
      <c r="E71" s="58">
        <v>17</v>
      </c>
      <c r="F71" s="1" t="e">
        <f>VLOOKUP(B71,Calculs!$B:$B,1,FALSE)</f>
        <v>#N/A</v>
      </c>
    </row>
    <row r="72" spans="2:6" hidden="1" x14ac:dyDescent="0.3">
      <c r="B72" s="58" t="s">
        <v>107</v>
      </c>
      <c r="C72" s="58" t="s">
        <v>17</v>
      </c>
      <c r="D72" s="58" t="s">
        <v>60</v>
      </c>
      <c r="E72" s="58">
        <v>17</v>
      </c>
      <c r="F72" s="1" t="e">
        <f>VLOOKUP(B72,Calculs!$B:$B,1,FALSE)</f>
        <v>#N/A</v>
      </c>
    </row>
    <row r="73" spans="2:6" hidden="1" x14ac:dyDescent="0.3">
      <c r="B73" s="58" t="s">
        <v>352</v>
      </c>
      <c r="C73" s="58" t="s">
        <v>16</v>
      </c>
      <c r="D73" s="58" t="s">
        <v>69</v>
      </c>
      <c r="E73" s="58">
        <v>17</v>
      </c>
      <c r="F73" s="1" t="e">
        <f>VLOOKUP(B73,Calculs!$B:$B,1,FALSE)</f>
        <v>#N/A</v>
      </c>
    </row>
    <row r="74" spans="2:6" hidden="1" x14ac:dyDescent="0.3">
      <c r="B74" s="58" t="s">
        <v>92</v>
      </c>
      <c r="C74" s="58" t="s">
        <v>14</v>
      </c>
      <c r="D74" s="58" t="s">
        <v>62</v>
      </c>
      <c r="E74" s="58">
        <v>17</v>
      </c>
      <c r="F74" s="1" t="e">
        <f>VLOOKUP(B74,Calculs!$B:$B,1,FALSE)</f>
        <v>#N/A</v>
      </c>
    </row>
    <row r="75" spans="2:6" hidden="1" x14ac:dyDescent="0.3">
      <c r="B75" s="58" t="s">
        <v>301</v>
      </c>
      <c r="C75" s="58" t="s">
        <v>14</v>
      </c>
      <c r="D75" s="58" t="s">
        <v>73</v>
      </c>
      <c r="E75" s="58">
        <v>17</v>
      </c>
      <c r="F75" s="1" t="e">
        <f>VLOOKUP(B75,Calculs!$B:$B,1,FALSE)</f>
        <v>#N/A</v>
      </c>
    </row>
    <row r="76" spans="2:6" hidden="1" x14ac:dyDescent="0.3">
      <c r="B76" s="58" t="s">
        <v>353</v>
      </c>
      <c r="C76" s="58" t="s">
        <v>17</v>
      </c>
      <c r="D76" s="58" t="s">
        <v>64</v>
      </c>
      <c r="E76" s="58">
        <v>17</v>
      </c>
      <c r="F76" s="1" t="e">
        <f>VLOOKUP(B76,Calculs!$B:$B,1,FALSE)</f>
        <v>#N/A</v>
      </c>
    </row>
    <row r="77" spans="2:6" hidden="1" x14ac:dyDescent="0.3">
      <c r="B77" s="58" t="s">
        <v>244</v>
      </c>
      <c r="C77" s="58" t="s">
        <v>14</v>
      </c>
      <c r="D77" s="58" t="s">
        <v>61</v>
      </c>
      <c r="E77" s="58">
        <v>17</v>
      </c>
      <c r="F77" s="1" t="e">
        <f>VLOOKUP(B77,Calculs!$B:$B,1,FALSE)</f>
        <v>#N/A</v>
      </c>
    </row>
    <row r="78" spans="2:6" hidden="1" x14ac:dyDescent="0.3">
      <c r="B78" s="58" t="s">
        <v>354</v>
      </c>
      <c r="C78" s="58" t="s">
        <v>17</v>
      </c>
      <c r="D78" s="58" t="s">
        <v>355</v>
      </c>
      <c r="E78" s="58">
        <v>16</v>
      </c>
      <c r="F78" s="1" t="e">
        <f>VLOOKUP(B78,Calculs!$B:$B,1,FALSE)</f>
        <v>#N/A</v>
      </c>
    </row>
    <row r="79" spans="2:6" hidden="1" x14ac:dyDescent="0.3">
      <c r="B79" s="58" t="s">
        <v>130</v>
      </c>
      <c r="C79" s="58" t="s">
        <v>15</v>
      </c>
      <c r="D79" s="58" t="s">
        <v>63</v>
      </c>
      <c r="E79" s="58">
        <v>16</v>
      </c>
      <c r="F79" s="1" t="e">
        <f>VLOOKUP(B79,Calculs!$B:$B,1,FALSE)</f>
        <v>#N/A</v>
      </c>
    </row>
    <row r="80" spans="2:6" hidden="1" x14ac:dyDescent="0.3">
      <c r="B80" s="58" t="s">
        <v>356</v>
      </c>
      <c r="C80" s="58" t="s">
        <v>16</v>
      </c>
      <c r="D80" s="58" t="s">
        <v>355</v>
      </c>
      <c r="E80" s="58">
        <v>16</v>
      </c>
      <c r="F80" s="1" t="e">
        <f>VLOOKUP(B80,Calculs!$B:$B,1,FALSE)</f>
        <v>#N/A</v>
      </c>
    </row>
    <row r="81" spans="2:6" hidden="1" x14ac:dyDescent="0.3">
      <c r="B81" s="58" t="s">
        <v>126</v>
      </c>
      <c r="C81" s="58" t="s">
        <v>14</v>
      </c>
      <c r="D81" s="58" t="s">
        <v>59</v>
      </c>
      <c r="E81" s="58">
        <v>16</v>
      </c>
      <c r="F81" s="1" t="e">
        <f>VLOOKUP(B81,Calculs!$B:$B,1,FALSE)</f>
        <v>#N/A</v>
      </c>
    </row>
    <row r="82" spans="2:6" hidden="1" x14ac:dyDescent="0.3">
      <c r="B82" s="58" t="s">
        <v>357</v>
      </c>
      <c r="C82" s="58" t="s">
        <v>14</v>
      </c>
      <c r="D82" s="58" t="s">
        <v>71</v>
      </c>
      <c r="E82" s="58">
        <v>16</v>
      </c>
      <c r="F82" s="1" t="e">
        <f>VLOOKUP(B82,Calculs!$B:$B,1,FALSE)</f>
        <v>#N/A</v>
      </c>
    </row>
    <row r="83" spans="2:6" hidden="1" x14ac:dyDescent="0.3">
      <c r="B83" s="58" t="s">
        <v>207</v>
      </c>
      <c r="C83" s="58" t="s">
        <v>15</v>
      </c>
      <c r="D83" s="58" t="s">
        <v>67</v>
      </c>
      <c r="E83" s="58">
        <v>16</v>
      </c>
      <c r="F83" s="1" t="e">
        <f>VLOOKUP(B83,Calculs!$B:$B,1,FALSE)</f>
        <v>#N/A</v>
      </c>
    </row>
    <row r="84" spans="2:6" hidden="1" x14ac:dyDescent="0.3">
      <c r="B84" s="58" t="s">
        <v>311</v>
      </c>
      <c r="C84" s="58" t="s">
        <v>14</v>
      </c>
      <c r="D84" s="58" t="s">
        <v>82</v>
      </c>
      <c r="E84" s="58">
        <v>16</v>
      </c>
      <c r="F84" s="1" t="e">
        <f>VLOOKUP(B84,Calculs!$B:$B,1,FALSE)</f>
        <v>#N/A</v>
      </c>
    </row>
    <row r="85" spans="2:6" hidden="1" x14ac:dyDescent="0.3">
      <c r="B85" s="58" t="s">
        <v>164</v>
      </c>
      <c r="C85" s="58" t="s">
        <v>16</v>
      </c>
      <c r="D85" s="58" t="s">
        <v>72</v>
      </c>
      <c r="E85" s="58">
        <v>16</v>
      </c>
      <c r="F85" s="1" t="e">
        <f>VLOOKUP(B85,Calculs!$B:$B,1,FALSE)</f>
        <v>#N/A</v>
      </c>
    </row>
    <row r="86" spans="2:6" hidden="1" x14ac:dyDescent="0.3">
      <c r="B86" s="58" t="s">
        <v>49</v>
      </c>
      <c r="C86" s="58" t="s">
        <v>17</v>
      </c>
      <c r="D86" s="58" t="s">
        <v>59</v>
      </c>
      <c r="E86" s="58">
        <v>16</v>
      </c>
      <c r="F86" s="1" t="e">
        <f>VLOOKUP(B86,Calculs!$B:$B,1,FALSE)</f>
        <v>#N/A</v>
      </c>
    </row>
    <row r="87" spans="2:6" hidden="1" x14ac:dyDescent="0.3">
      <c r="B87" s="58" t="s">
        <v>358</v>
      </c>
      <c r="C87" s="58" t="s">
        <v>15</v>
      </c>
      <c r="D87" s="58" t="s">
        <v>355</v>
      </c>
      <c r="E87" s="58">
        <v>16</v>
      </c>
      <c r="F87" s="1" t="e">
        <f>VLOOKUP(B87,Calculs!$B:$B,1,FALSE)</f>
        <v>#N/A</v>
      </c>
    </row>
    <row r="88" spans="2:6" hidden="1" x14ac:dyDescent="0.3">
      <c r="B88" s="58" t="s">
        <v>101</v>
      </c>
      <c r="C88" s="58" t="s">
        <v>16</v>
      </c>
      <c r="D88" s="58" t="s">
        <v>62</v>
      </c>
      <c r="E88" s="58">
        <v>16</v>
      </c>
      <c r="F88" s="1" t="e">
        <f>VLOOKUP(B88,Calculs!$B:$B,1,FALSE)</f>
        <v>#N/A</v>
      </c>
    </row>
    <row r="89" spans="2:6" hidden="1" x14ac:dyDescent="0.3">
      <c r="B89" s="58" t="s">
        <v>111</v>
      </c>
      <c r="C89" s="58" t="s">
        <v>14</v>
      </c>
      <c r="D89" s="58" t="s">
        <v>60</v>
      </c>
      <c r="E89" s="58">
        <v>16</v>
      </c>
      <c r="F89" s="1" t="e">
        <f>VLOOKUP(B89,Calculs!$B:$B,1,FALSE)</f>
        <v>#N/A</v>
      </c>
    </row>
    <row r="90" spans="2:6" hidden="1" x14ac:dyDescent="0.3">
      <c r="B90" s="58" t="s">
        <v>359</v>
      </c>
      <c r="C90" s="58" t="s">
        <v>16</v>
      </c>
      <c r="D90" s="58" t="s">
        <v>360</v>
      </c>
      <c r="E90" s="58">
        <v>16</v>
      </c>
      <c r="F90" s="1" t="e">
        <f>VLOOKUP(B90,Calculs!$B:$B,1,FALSE)</f>
        <v>#N/A</v>
      </c>
    </row>
    <row r="91" spans="2:6" hidden="1" x14ac:dyDescent="0.3">
      <c r="B91" s="58" t="s">
        <v>87</v>
      </c>
      <c r="C91" s="58" t="s">
        <v>17</v>
      </c>
      <c r="D91" s="58" t="s">
        <v>62</v>
      </c>
      <c r="E91" s="58">
        <v>16</v>
      </c>
      <c r="F91" s="1" t="e">
        <f>VLOOKUP(B91,Calculs!$B:$B,1,FALSE)</f>
        <v>#N/A</v>
      </c>
    </row>
    <row r="92" spans="2:6" hidden="1" x14ac:dyDescent="0.3">
      <c r="B92" t="s">
        <v>628</v>
      </c>
      <c r="C92" s="58" t="s">
        <v>14</v>
      </c>
      <c r="D92" s="58" t="s">
        <v>65</v>
      </c>
      <c r="E92" s="58">
        <v>16</v>
      </c>
      <c r="F92" s="1" t="e">
        <f>VLOOKUP(B92,Calculs!$B:$B,1,FALSE)</f>
        <v>#N/A</v>
      </c>
    </row>
    <row r="93" spans="2:6" hidden="1" x14ac:dyDescent="0.3">
      <c r="B93" s="58" t="s">
        <v>80</v>
      </c>
      <c r="C93" s="58" t="s">
        <v>14</v>
      </c>
      <c r="D93" s="58" t="s">
        <v>72</v>
      </c>
      <c r="E93" s="58">
        <v>16</v>
      </c>
      <c r="F93" s="1" t="e">
        <f>VLOOKUP(B93,Calculs!$B:$B,1,FALSE)</f>
        <v>#N/A</v>
      </c>
    </row>
    <row r="94" spans="2:6" hidden="1" x14ac:dyDescent="0.3">
      <c r="B94" s="58" t="s">
        <v>79</v>
      </c>
      <c r="C94" s="58" t="s">
        <v>14</v>
      </c>
      <c r="D94" s="58" t="s">
        <v>72</v>
      </c>
      <c r="E94" s="58">
        <v>16</v>
      </c>
      <c r="F94" s="1" t="e">
        <f>VLOOKUP(B94,Calculs!$B:$B,1,FALSE)</f>
        <v>#N/A</v>
      </c>
    </row>
    <row r="95" spans="2:6" hidden="1" x14ac:dyDescent="0.3">
      <c r="B95" s="58" t="s">
        <v>122</v>
      </c>
      <c r="C95" s="58" t="s">
        <v>14</v>
      </c>
      <c r="D95" s="58" t="s">
        <v>59</v>
      </c>
      <c r="E95" s="58">
        <v>16</v>
      </c>
      <c r="F95" s="1" t="e">
        <f>VLOOKUP(B95,Calculs!$B:$B,1,FALSE)</f>
        <v>#N/A</v>
      </c>
    </row>
    <row r="96" spans="2:6" hidden="1" x14ac:dyDescent="0.3">
      <c r="B96" s="58" t="s">
        <v>361</v>
      </c>
      <c r="C96" s="58" t="s">
        <v>14</v>
      </c>
      <c r="D96" s="58" t="s">
        <v>61</v>
      </c>
      <c r="E96" s="58">
        <v>15</v>
      </c>
      <c r="F96" s="1" t="e">
        <f>VLOOKUP(B96,Calculs!$B:$B,1,FALSE)</f>
        <v>#N/A</v>
      </c>
    </row>
    <row r="97" spans="2:6" x14ac:dyDescent="0.3">
      <c r="B97" t="s">
        <v>650</v>
      </c>
      <c r="C97" s="58" t="s">
        <v>15</v>
      </c>
      <c r="D97" s="58" t="s">
        <v>360</v>
      </c>
      <c r="E97" s="58">
        <v>15</v>
      </c>
      <c r="F97" s="1" t="e">
        <f>VLOOKUP(B97,Calculs!$B:$B,1,FALSE)</f>
        <v>#N/A</v>
      </c>
    </row>
    <row r="98" spans="2:6" hidden="1" x14ac:dyDescent="0.3">
      <c r="B98" s="58" t="s">
        <v>362</v>
      </c>
      <c r="C98" s="58" t="s">
        <v>17</v>
      </c>
      <c r="D98" s="58" t="s">
        <v>360</v>
      </c>
      <c r="E98" s="58">
        <v>15</v>
      </c>
      <c r="F98" s="1" t="e">
        <f>VLOOKUP(B98,Calculs!$B:$B,1,FALSE)</f>
        <v>#N/A</v>
      </c>
    </row>
    <row r="99" spans="2:6" hidden="1" x14ac:dyDescent="0.3">
      <c r="B99" s="58" t="s">
        <v>363</v>
      </c>
      <c r="C99" s="58" t="s">
        <v>14</v>
      </c>
      <c r="D99" s="58" t="s">
        <v>355</v>
      </c>
      <c r="E99" s="58">
        <v>15</v>
      </c>
      <c r="F99" s="1" t="e">
        <f>VLOOKUP(B99,Calculs!$B:$B,1,FALSE)</f>
        <v>#N/A</v>
      </c>
    </row>
    <row r="100" spans="2:6" hidden="1" x14ac:dyDescent="0.3">
      <c r="B100" s="58" t="s">
        <v>138</v>
      </c>
      <c r="C100" s="58" t="s">
        <v>14</v>
      </c>
      <c r="D100" s="58" t="s">
        <v>63</v>
      </c>
      <c r="E100" s="58">
        <v>15</v>
      </c>
      <c r="F100" s="1" t="e">
        <f>VLOOKUP(B100,Calculs!$B:$B,1,FALSE)</f>
        <v>#N/A</v>
      </c>
    </row>
    <row r="101" spans="2:6" hidden="1" x14ac:dyDescent="0.3">
      <c r="B101" s="58" t="s">
        <v>284</v>
      </c>
      <c r="C101" s="58" t="s">
        <v>14</v>
      </c>
      <c r="D101" s="58" t="s">
        <v>70</v>
      </c>
      <c r="E101" s="58">
        <v>15</v>
      </c>
      <c r="F101" s="1" t="e">
        <f>VLOOKUP(B101,Calculs!$B:$B,1,FALSE)</f>
        <v>#N/A</v>
      </c>
    </row>
    <row r="102" spans="2:6" hidden="1" x14ac:dyDescent="0.3">
      <c r="B102" s="58" t="s">
        <v>260</v>
      </c>
      <c r="C102" s="58" t="s">
        <v>15</v>
      </c>
      <c r="D102" s="58" t="s">
        <v>69</v>
      </c>
      <c r="E102" s="58">
        <v>15</v>
      </c>
      <c r="F102" s="1" t="e">
        <f>VLOOKUP(B102,Calculs!$B:$B,1,FALSE)</f>
        <v>#N/A</v>
      </c>
    </row>
    <row r="103" spans="2:6" hidden="1" x14ac:dyDescent="0.3">
      <c r="B103" s="58" t="s">
        <v>245</v>
      </c>
      <c r="C103" s="58" t="s">
        <v>16</v>
      </c>
      <c r="D103" s="58" t="s">
        <v>61</v>
      </c>
      <c r="E103" s="58">
        <v>15</v>
      </c>
      <c r="F103" s="1" t="e">
        <f>VLOOKUP(B103,Calculs!$B:$B,1,FALSE)</f>
        <v>#N/A</v>
      </c>
    </row>
    <row r="104" spans="2:6" hidden="1" x14ac:dyDescent="0.3">
      <c r="B104" s="58" t="s">
        <v>195</v>
      </c>
      <c r="C104" s="58" t="s">
        <v>17</v>
      </c>
      <c r="D104" s="58" t="s">
        <v>65</v>
      </c>
      <c r="E104" s="58">
        <v>15</v>
      </c>
      <c r="F104" s="1" t="e">
        <f>VLOOKUP(B104,Calculs!$B:$B,1,FALSE)</f>
        <v>#N/A</v>
      </c>
    </row>
    <row r="105" spans="2:6" x14ac:dyDescent="0.3">
      <c r="B105" t="s">
        <v>635</v>
      </c>
      <c r="C105" s="58" t="s">
        <v>17</v>
      </c>
      <c r="D105" s="58" t="s">
        <v>64</v>
      </c>
      <c r="E105" s="58">
        <v>15</v>
      </c>
      <c r="F105" s="1" t="e">
        <f>VLOOKUP(B105,Calculs!$B:$B,1,FALSE)</f>
        <v>#N/A</v>
      </c>
    </row>
    <row r="106" spans="2:6" hidden="1" x14ac:dyDescent="0.3">
      <c r="B106" s="58" t="s">
        <v>332</v>
      </c>
      <c r="C106" s="58" t="s">
        <v>17</v>
      </c>
      <c r="D106" s="58" t="s">
        <v>68</v>
      </c>
      <c r="E106" s="58">
        <v>15</v>
      </c>
      <c r="F106" s="1" t="e">
        <f>VLOOKUP(B106,Calculs!$B:$B,1,FALSE)</f>
        <v>#N/A</v>
      </c>
    </row>
    <row r="107" spans="2:6" hidden="1" x14ac:dyDescent="0.3">
      <c r="B107" s="58" t="s">
        <v>105</v>
      </c>
      <c r="C107" s="58" t="s">
        <v>17</v>
      </c>
      <c r="D107" s="58" t="s">
        <v>60</v>
      </c>
      <c r="E107" s="58">
        <v>15</v>
      </c>
      <c r="F107" s="1" t="e">
        <f>VLOOKUP(B107,Calculs!$B:$B,1,FALSE)</f>
        <v>#N/A</v>
      </c>
    </row>
    <row r="108" spans="2:6" hidden="1" x14ac:dyDescent="0.3">
      <c r="B108" s="58" t="s">
        <v>649</v>
      </c>
      <c r="C108" s="58" t="s">
        <v>16</v>
      </c>
      <c r="D108" s="58" t="s">
        <v>82</v>
      </c>
      <c r="E108" s="58">
        <v>15</v>
      </c>
      <c r="F108" s="1" t="e">
        <f>VLOOKUP(B108,Calculs!$B:$B,1,FALSE)</f>
        <v>#N/A</v>
      </c>
    </row>
    <row r="109" spans="2:6" hidden="1" x14ac:dyDescent="0.3">
      <c r="B109" s="58" t="s">
        <v>84</v>
      </c>
      <c r="C109" s="58" t="s">
        <v>15</v>
      </c>
      <c r="D109" s="58" t="s">
        <v>62</v>
      </c>
      <c r="E109" s="58">
        <v>15</v>
      </c>
      <c r="F109" s="1" t="e">
        <f>VLOOKUP(B109,Calculs!$B:$B,1,FALSE)</f>
        <v>#N/A</v>
      </c>
    </row>
    <row r="110" spans="2:6" hidden="1" x14ac:dyDescent="0.3">
      <c r="B110" s="58" t="s">
        <v>148</v>
      </c>
      <c r="C110" s="58" t="s">
        <v>17</v>
      </c>
      <c r="D110" s="58" t="s">
        <v>64</v>
      </c>
      <c r="E110" s="58">
        <v>15</v>
      </c>
      <c r="F110" s="1" t="e">
        <f>VLOOKUP(B110,Calculs!$B:$B,1,FALSE)</f>
        <v>#N/A</v>
      </c>
    </row>
    <row r="111" spans="2:6" hidden="1" x14ac:dyDescent="0.3">
      <c r="B111" s="58" t="s">
        <v>287</v>
      </c>
      <c r="C111" s="58" t="s">
        <v>14</v>
      </c>
      <c r="D111" s="58" t="s">
        <v>70</v>
      </c>
      <c r="E111" s="58">
        <v>15</v>
      </c>
      <c r="F111" s="1" t="e">
        <f>VLOOKUP(B111,Calculs!$B:$B,1,FALSE)</f>
        <v>#N/A</v>
      </c>
    </row>
    <row r="112" spans="2:6" hidden="1" x14ac:dyDescent="0.3">
      <c r="B112" s="58" t="s">
        <v>364</v>
      </c>
      <c r="C112" s="58" t="s">
        <v>14</v>
      </c>
      <c r="D112" s="58" t="s">
        <v>82</v>
      </c>
      <c r="E112" s="58">
        <v>15</v>
      </c>
      <c r="F112" s="1" t="e">
        <f>VLOOKUP(B112,Calculs!$B:$B,1,FALSE)</f>
        <v>#N/A</v>
      </c>
    </row>
    <row r="113" spans="2:6" hidden="1" x14ac:dyDescent="0.3">
      <c r="B113" s="58" t="s">
        <v>275</v>
      </c>
      <c r="C113" s="58" t="s">
        <v>16</v>
      </c>
      <c r="D113" s="58" t="s">
        <v>69</v>
      </c>
      <c r="E113" s="58">
        <v>15</v>
      </c>
      <c r="F113" s="1" t="e">
        <f>VLOOKUP(B113,Calculs!$B:$B,1,FALSE)</f>
        <v>#N/A</v>
      </c>
    </row>
    <row r="114" spans="2:6" hidden="1" x14ac:dyDescent="0.3">
      <c r="B114" s="58" t="s">
        <v>365</v>
      </c>
      <c r="C114" s="58" t="s">
        <v>16</v>
      </c>
      <c r="D114" s="58" t="s">
        <v>82</v>
      </c>
      <c r="E114" s="58">
        <v>14</v>
      </c>
      <c r="F114" s="1" t="e">
        <f>VLOOKUP(B114,Calculs!$B:$B,1,FALSE)</f>
        <v>#N/A</v>
      </c>
    </row>
    <row r="115" spans="2:6" x14ac:dyDescent="0.3">
      <c r="B115" s="58" t="s">
        <v>366</v>
      </c>
      <c r="C115" s="58" t="s">
        <v>16</v>
      </c>
      <c r="D115" s="58" t="s">
        <v>70</v>
      </c>
      <c r="E115" s="58">
        <v>14</v>
      </c>
      <c r="F115" s="1" t="e">
        <f>VLOOKUP(B115,Calculs!$B:$B,1,FALSE)</f>
        <v>#N/A</v>
      </c>
    </row>
    <row r="116" spans="2:6" hidden="1" x14ac:dyDescent="0.3">
      <c r="B116" s="58" t="s">
        <v>235</v>
      </c>
      <c r="C116" s="58" t="s">
        <v>15</v>
      </c>
      <c r="D116" s="58" t="s">
        <v>61</v>
      </c>
      <c r="E116" s="58">
        <v>14</v>
      </c>
      <c r="F116" s="1" t="e">
        <f>VLOOKUP(B116,Calculs!$B:$B,1,FALSE)</f>
        <v>#N/A</v>
      </c>
    </row>
    <row r="117" spans="2:6" hidden="1" x14ac:dyDescent="0.3">
      <c r="B117" s="58" t="s">
        <v>211</v>
      </c>
      <c r="C117" s="58" t="s">
        <v>17</v>
      </c>
      <c r="D117" s="58" t="s">
        <v>67</v>
      </c>
      <c r="E117" s="58">
        <v>14</v>
      </c>
      <c r="F117" s="1" t="e">
        <f>VLOOKUP(B117,Calculs!$B:$B,1,FALSE)</f>
        <v>#N/A</v>
      </c>
    </row>
    <row r="118" spans="2:6" hidden="1" x14ac:dyDescent="0.3">
      <c r="B118" s="58" t="s">
        <v>367</v>
      </c>
      <c r="C118" s="58" t="s">
        <v>16</v>
      </c>
      <c r="D118" s="58" t="s">
        <v>360</v>
      </c>
      <c r="E118" s="58">
        <v>14</v>
      </c>
      <c r="F118" s="1" t="e">
        <f>VLOOKUP(B118,Calculs!$B:$B,1,FALSE)</f>
        <v>#N/A</v>
      </c>
    </row>
    <row r="119" spans="2:6" hidden="1" x14ac:dyDescent="0.3">
      <c r="B119" s="58" t="s">
        <v>56</v>
      </c>
      <c r="C119" s="58" t="s">
        <v>17</v>
      </c>
      <c r="D119" s="58" t="s">
        <v>74</v>
      </c>
      <c r="E119" s="58">
        <v>14</v>
      </c>
      <c r="F119" s="1" t="e">
        <f>VLOOKUP(B119,Calculs!$B:$B,1,FALSE)</f>
        <v>#N/A</v>
      </c>
    </row>
    <row r="120" spans="2:6" hidden="1" x14ac:dyDescent="0.3">
      <c r="B120" s="58" t="s">
        <v>368</v>
      </c>
      <c r="C120" s="58" t="s">
        <v>17</v>
      </c>
      <c r="D120" s="58" t="s">
        <v>60</v>
      </c>
      <c r="E120" s="58">
        <v>14</v>
      </c>
      <c r="F120" s="1" t="e">
        <f>VLOOKUP(B120,Calculs!$B:$B,1,FALSE)</f>
        <v>#N/A</v>
      </c>
    </row>
    <row r="121" spans="2:6" hidden="1" x14ac:dyDescent="0.3">
      <c r="B121" s="58" t="s">
        <v>634</v>
      </c>
      <c r="C121" s="58" t="s">
        <v>17</v>
      </c>
      <c r="D121" s="58" t="s">
        <v>64</v>
      </c>
      <c r="E121" s="58">
        <v>14</v>
      </c>
      <c r="F121" s="1" t="e">
        <f>VLOOKUP(B121,Calculs!$B:$B,1,FALSE)</f>
        <v>#N/A</v>
      </c>
    </row>
    <row r="122" spans="2:6" hidden="1" x14ac:dyDescent="0.3">
      <c r="B122" s="58" t="s">
        <v>252</v>
      </c>
      <c r="C122" s="58" t="s">
        <v>17</v>
      </c>
      <c r="D122" s="58" t="s">
        <v>71</v>
      </c>
      <c r="E122" s="58">
        <v>14</v>
      </c>
      <c r="F122" s="1" t="e">
        <f>VLOOKUP(B122,Calculs!$B:$B,1,FALSE)</f>
        <v>#N/A</v>
      </c>
    </row>
    <row r="123" spans="2:6" hidden="1" x14ac:dyDescent="0.3">
      <c r="B123" s="58" t="s">
        <v>294</v>
      </c>
      <c r="C123" s="58" t="s">
        <v>17</v>
      </c>
      <c r="D123" s="58" t="s">
        <v>73</v>
      </c>
      <c r="E123" s="58">
        <v>14</v>
      </c>
      <c r="F123" s="1" t="e">
        <f>VLOOKUP(B123,Calculs!$B:$B,1,FALSE)</f>
        <v>#N/A</v>
      </c>
    </row>
    <row r="124" spans="2:6" hidden="1" x14ac:dyDescent="0.3">
      <c r="B124" s="58" t="s">
        <v>369</v>
      </c>
      <c r="C124" s="58" t="s">
        <v>16</v>
      </c>
      <c r="D124" s="58" t="s">
        <v>68</v>
      </c>
      <c r="E124" s="58">
        <v>14</v>
      </c>
      <c r="F124" s="1" t="e">
        <f>VLOOKUP(B124,Calculs!$B:$B,1,FALSE)</f>
        <v>#N/A</v>
      </c>
    </row>
    <row r="125" spans="2:6" hidden="1" x14ac:dyDescent="0.3">
      <c r="B125" s="58" t="s">
        <v>183</v>
      </c>
      <c r="C125" s="58" t="s">
        <v>14</v>
      </c>
      <c r="D125" s="58" t="s">
        <v>66</v>
      </c>
      <c r="E125" s="58">
        <v>14</v>
      </c>
      <c r="F125" s="1" t="e">
        <f>VLOOKUP(B125,Calculs!$B:$B,1,FALSE)</f>
        <v>#N/A</v>
      </c>
    </row>
    <row r="126" spans="2:6" x14ac:dyDescent="0.3">
      <c r="B126" t="s">
        <v>226</v>
      </c>
      <c r="C126" s="58" t="s">
        <v>17</v>
      </c>
      <c r="D126" s="58" t="s">
        <v>74</v>
      </c>
      <c r="E126" s="58">
        <v>14</v>
      </c>
      <c r="F126" s="1" t="e">
        <f>VLOOKUP(B126,Calculs!$B:$B,1,FALSE)</f>
        <v>#N/A</v>
      </c>
    </row>
    <row r="127" spans="2:6" hidden="1" x14ac:dyDescent="0.3">
      <c r="B127" s="58" t="s">
        <v>85</v>
      </c>
      <c r="C127" s="58" t="s">
        <v>15</v>
      </c>
      <c r="D127" s="58" t="s">
        <v>62</v>
      </c>
      <c r="E127" s="58">
        <v>14</v>
      </c>
      <c r="F127" s="1" t="e">
        <f>VLOOKUP(B127,Calculs!$B:$B,1,FALSE)</f>
        <v>#N/A</v>
      </c>
    </row>
    <row r="128" spans="2:6" hidden="1" x14ac:dyDescent="0.3">
      <c r="B128" s="58" t="s">
        <v>285</v>
      </c>
      <c r="C128" s="58" t="s">
        <v>14</v>
      </c>
      <c r="D128" s="58" t="s">
        <v>70</v>
      </c>
      <c r="E128" s="58">
        <v>14</v>
      </c>
      <c r="F128" s="1" t="e">
        <f>VLOOKUP(B128,Calculs!$B:$B,1,FALSE)</f>
        <v>#N/A</v>
      </c>
    </row>
    <row r="129" spans="2:6" hidden="1" x14ac:dyDescent="0.3">
      <c r="B129" s="58" t="s">
        <v>337</v>
      </c>
      <c r="C129" s="58" t="s">
        <v>17</v>
      </c>
      <c r="D129" s="58" t="s">
        <v>68</v>
      </c>
      <c r="E129" s="58">
        <v>14</v>
      </c>
      <c r="F129" s="1" t="e">
        <f>VLOOKUP(B129,Calculs!$B:$B,1,FALSE)</f>
        <v>#N/A</v>
      </c>
    </row>
    <row r="130" spans="2:6" hidden="1" x14ac:dyDescent="0.3">
      <c r="B130" s="58" t="s">
        <v>86</v>
      </c>
      <c r="C130" s="58" t="s">
        <v>17</v>
      </c>
      <c r="D130" s="58" t="s">
        <v>62</v>
      </c>
      <c r="E130" s="58">
        <v>14</v>
      </c>
      <c r="F130" s="1" t="e">
        <f>VLOOKUP(B130,Calculs!$B:$B,1,FALSE)</f>
        <v>#N/A</v>
      </c>
    </row>
    <row r="131" spans="2:6" hidden="1" x14ac:dyDescent="0.3">
      <c r="B131" s="58" t="s">
        <v>293</v>
      </c>
      <c r="C131" s="58" t="s">
        <v>17</v>
      </c>
      <c r="D131" s="58" t="s">
        <v>73</v>
      </c>
      <c r="E131" s="58">
        <v>14</v>
      </c>
      <c r="F131" s="1" t="e">
        <f>VLOOKUP(B131,Calculs!$B:$B,1,FALSE)</f>
        <v>#N/A</v>
      </c>
    </row>
    <row r="132" spans="2:6" hidden="1" x14ac:dyDescent="0.3">
      <c r="B132" s="58" t="s">
        <v>370</v>
      </c>
      <c r="C132" s="58" t="s">
        <v>15</v>
      </c>
      <c r="D132" s="58" t="s">
        <v>73</v>
      </c>
      <c r="E132" s="58">
        <v>14</v>
      </c>
      <c r="F132" s="1" t="e">
        <f>VLOOKUP(B132,Calculs!$B:$B,1,FALSE)</f>
        <v>#N/A</v>
      </c>
    </row>
    <row r="133" spans="2:6" hidden="1" x14ac:dyDescent="0.3">
      <c r="B133" s="58" t="s">
        <v>142</v>
      </c>
      <c r="C133" s="58" t="s">
        <v>14</v>
      </c>
      <c r="D133" s="58" t="s">
        <v>63</v>
      </c>
      <c r="E133" s="58">
        <v>14</v>
      </c>
      <c r="F133" s="1" t="e">
        <f>VLOOKUP(B133,Calculs!$B:$B,1,FALSE)</f>
        <v>#N/A</v>
      </c>
    </row>
    <row r="134" spans="2:6" hidden="1" x14ac:dyDescent="0.3">
      <c r="B134" s="58" t="s">
        <v>247</v>
      </c>
      <c r="C134" s="58" t="s">
        <v>15</v>
      </c>
      <c r="D134" s="58" t="s">
        <v>71</v>
      </c>
      <c r="E134" s="58">
        <v>14</v>
      </c>
      <c r="F134" s="1" t="e">
        <f>VLOOKUP(B134,Calculs!$B:$B,1,FALSE)</f>
        <v>#N/A</v>
      </c>
    </row>
    <row r="135" spans="2:6" hidden="1" x14ac:dyDescent="0.3">
      <c r="B135" t="s">
        <v>652</v>
      </c>
      <c r="C135" s="58" t="s">
        <v>14</v>
      </c>
      <c r="D135" s="58" t="s">
        <v>360</v>
      </c>
      <c r="E135" s="58">
        <v>14</v>
      </c>
      <c r="F135" s="1" t="e">
        <f>VLOOKUP(B135,Calculs!$B:$B,1,FALSE)</f>
        <v>#N/A</v>
      </c>
    </row>
    <row r="136" spans="2:6" hidden="1" x14ac:dyDescent="0.3">
      <c r="B136" s="58" t="s">
        <v>152</v>
      </c>
      <c r="C136" s="58" t="s">
        <v>14</v>
      </c>
      <c r="D136" s="58" t="s">
        <v>64</v>
      </c>
      <c r="E136" s="58">
        <v>14</v>
      </c>
      <c r="F136" s="1" t="e">
        <f>VLOOKUP(B136,Calculs!$B:$B,1,FALSE)</f>
        <v>#N/A</v>
      </c>
    </row>
    <row r="137" spans="2:6" hidden="1" x14ac:dyDescent="0.3">
      <c r="B137" s="58" t="s">
        <v>240</v>
      </c>
      <c r="C137" s="58" t="s">
        <v>17</v>
      </c>
      <c r="D137" s="58" t="s">
        <v>61</v>
      </c>
      <c r="E137" s="58">
        <v>14</v>
      </c>
      <c r="F137" s="1" t="e">
        <f>VLOOKUP(B137,Calculs!$B:$B,1,FALSE)</f>
        <v>#N/A</v>
      </c>
    </row>
    <row r="138" spans="2:6" hidden="1" x14ac:dyDescent="0.3">
      <c r="B138" s="58" t="s">
        <v>159</v>
      </c>
      <c r="C138" s="58" t="s">
        <v>17</v>
      </c>
      <c r="D138" s="58" t="s">
        <v>72</v>
      </c>
      <c r="E138" s="58">
        <v>14</v>
      </c>
      <c r="F138" s="1" t="e">
        <f>VLOOKUP(B138,Calculs!$B:$B,1,FALSE)</f>
        <v>#N/A</v>
      </c>
    </row>
    <row r="139" spans="2:6" hidden="1" x14ac:dyDescent="0.3">
      <c r="B139" s="58" t="s">
        <v>371</v>
      </c>
      <c r="C139" s="58" t="s">
        <v>17</v>
      </c>
      <c r="D139" s="58" t="s">
        <v>67</v>
      </c>
      <c r="E139" s="58">
        <v>14</v>
      </c>
      <c r="F139" s="1" t="e">
        <f>VLOOKUP(B139,Calculs!$B:$B,1,FALSE)</f>
        <v>#N/A</v>
      </c>
    </row>
    <row r="140" spans="2:6" hidden="1" x14ac:dyDescent="0.3">
      <c r="B140" s="58" t="s">
        <v>291</v>
      </c>
      <c r="C140" s="58" t="s">
        <v>17</v>
      </c>
      <c r="D140" s="58" t="s">
        <v>73</v>
      </c>
      <c r="E140" s="58">
        <v>14</v>
      </c>
      <c r="F140" s="1" t="e">
        <f>VLOOKUP(B140,Calculs!$B:$B,1,FALSE)</f>
        <v>#N/A</v>
      </c>
    </row>
    <row r="141" spans="2:6" hidden="1" x14ac:dyDescent="0.3">
      <c r="B141" s="58" t="s">
        <v>89</v>
      </c>
      <c r="C141" s="58" t="s">
        <v>17</v>
      </c>
      <c r="D141" s="58" t="s">
        <v>62</v>
      </c>
      <c r="E141" s="58">
        <v>13</v>
      </c>
      <c r="F141" s="1" t="e">
        <f>VLOOKUP(B141,Calculs!$B:$B,1,FALSE)</f>
        <v>#N/A</v>
      </c>
    </row>
    <row r="142" spans="2:6" hidden="1" x14ac:dyDescent="0.3">
      <c r="B142" s="58" t="s">
        <v>161</v>
      </c>
      <c r="C142" s="58" t="s">
        <v>17</v>
      </c>
      <c r="D142" s="58" t="s">
        <v>72</v>
      </c>
      <c r="E142" s="58">
        <v>13</v>
      </c>
      <c r="F142" s="1" t="e">
        <f>VLOOKUP(B142,Calculs!$B:$B,1,FALSE)</f>
        <v>#N/A</v>
      </c>
    </row>
    <row r="143" spans="2:6" hidden="1" x14ac:dyDescent="0.3">
      <c r="B143" s="58" t="s">
        <v>372</v>
      </c>
      <c r="C143" s="58" t="s">
        <v>16</v>
      </c>
      <c r="D143" s="58" t="s">
        <v>71</v>
      </c>
      <c r="E143" s="58">
        <v>13</v>
      </c>
      <c r="F143" s="1" t="e">
        <f>VLOOKUP(B143,Calculs!$B:$B,1,FALSE)</f>
        <v>#N/A</v>
      </c>
    </row>
    <row r="144" spans="2:6" x14ac:dyDescent="0.3">
      <c r="B144" s="58" t="s">
        <v>373</v>
      </c>
      <c r="C144" s="58" t="s">
        <v>14</v>
      </c>
      <c r="D144" s="58" t="s">
        <v>67</v>
      </c>
      <c r="E144" s="58">
        <v>13</v>
      </c>
      <c r="F144" s="1" t="e">
        <f>VLOOKUP(B144,Calculs!$B:$B,1,FALSE)</f>
        <v>#N/A</v>
      </c>
    </row>
    <row r="145" spans="2:6" hidden="1" x14ac:dyDescent="0.3">
      <c r="B145" s="58" t="s">
        <v>268</v>
      </c>
      <c r="C145" s="58" t="s">
        <v>14</v>
      </c>
      <c r="D145" s="58" t="s">
        <v>69</v>
      </c>
      <c r="E145" s="58">
        <v>13</v>
      </c>
      <c r="F145" s="1" t="e">
        <f>VLOOKUP(B145,Calculs!$B:$B,1,FALSE)</f>
        <v>#N/A</v>
      </c>
    </row>
    <row r="146" spans="2:6" x14ac:dyDescent="0.3">
      <c r="B146" s="58" t="s">
        <v>374</v>
      </c>
      <c r="C146" s="58" t="s">
        <v>17</v>
      </c>
      <c r="D146" s="58" t="s">
        <v>59</v>
      </c>
      <c r="E146" s="58">
        <v>13</v>
      </c>
      <c r="F146" s="1" t="e">
        <f>VLOOKUP(B146,Calculs!$B:$B,1,FALSE)</f>
        <v>#N/A</v>
      </c>
    </row>
    <row r="147" spans="2:6" hidden="1" x14ac:dyDescent="0.3">
      <c r="B147" s="58" t="s">
        <v>375</v>
      </c>
      <c r="C147" s="58" t="s">
        <v>17</v>
      </c>
      <c r="D147" s="58" t="s">
        <v>62</v>
      </c>
      <c r="E147" s="58">
        <v>13</v>
      </c>
      <c r="F147" s="1" t="e">
        <f>VLOOKUP(B147,Calculs!$B:$B,1,FALSE)</f>
        <v>#N/A</v>
      </c>
    </row>
    <row r="148" spans="2:6" hidden="1" x14ac:dyDescent="0.3">
      <c r="B148" s="58" t="s">
        <v>286</v>
      </c>
      <c r="C148" s="58" t="s">
        <v>14</v>
      </c>
      <c r="D148" s="58" t="s">
        <v>70</v>
      </c>
      <c r="E148" s="58">
        <v>13</v>
      </c>
      <c r="F148" s="1" t="e">
        <f>VLOOKUP(B148,Calculs!$B:$B,1,FALSE)</f>
        <v>#N/A</v>
      </c>
    </row>
    <row r="149" spans="2:6" hidden="1" x14ac:dyDescent="0.3">
      <c r="B149" s="58" t="s">
        <v>630</v>
      </c>
      <c r="C149" s="58" t="s">
        <v>14</v>
      </c>
      <c r="D149" s="58" t="s">
        <v>63</v>
      </c>
      <c r="E149" s="58">
        <v>13</v>
      </c>
      <c r="F149" s="1" t="e">
        <f>VLOOKUP(B149,Calculs!$B:$B,1,FALSE)</f>
        <v>#N/A</v>
      </c>
    </row>
    <row r="150" spans="2:6" hidden="1" x14ac:dyDescent="0.3">
      <c r="B150" s="58" t="s">
        <v>376</v>
      </c>
      <c r="C150" s="58" t="s">
        <v>14</v>
      </c>
      <c r="D150" s="58" t="s">
        <v>360</v>
      </c>
      <c r="E150" s="58">
        <v>13</v>
      </c>
      <c r="F150" s="1" t="e">
        <f>VLOOKUP(B150,Calculs!$B:$B,1,FALSE)</f>
        <v>#N/A</v>
      </c>
    </row>
    <row r="151" spans="2:6" hidden="1" x14ac:dyDescent="0.3">
      <c r="B151" s="58" t="s">
        <v>377</v>
      </c>
      <c r="C151" s="58" t="s">
        <v>14</v>
      </c>
      <c r="D151" s="58" t="s">
        <v>355</v>
      </c>
      <c r="E151" s="58">
        <v>13</v>
      </c>
      <c r="F151" s="1" t="e">
        <f>VLOOKUP(B151,Calculs!$B:$B,1,FALSE)</f>
        <v>#N/A</v>
      </c>
    </row>
    <row r="152" spans="2:6" hidden="1" x14ac:dyDescent="0.3">
      <c r="B152" s="58" t="s">
        <v>214</v>
      </c>
      <c r="C152" s="58" t="s">
        <v>17</v>
      </c>
      <c r="D152" s="58" t="s">
        <v>67</v>
      </c>
      <c r="E152" s="58">
        <v>13</v>
      </c>
      <c r="F152" s="1" t="e">
        <f>VLOOKUP(B152,Calculs!$B:$B,1,FALSE)</f>
        <v>#N/A</v>
      </c>
    </row>
    <row r="153" spans="2:6" hidden="1" x14ac:dyDescent="0.3">
      <c r="B153" s="58" t="s">
        <v>378</v>
      </c>
      <c r="C153" s="58" t="s">
        <v>16</v>
      </c>
      <c r="D153" s="58" t="s">
        <v>81</v>
      </c>
      <c r="E153" s="58">
        <v>13</v>
      </c>
      <c r="F153" s="1" t="e">
        <f>VLOOKUP(B153,Calculs!$B:$B,1,FALSE)</f>
        <v>#N/A</v>
      </c>
    </row>
    <row r="154" spans="2:6" hidden="1" x14ac:dyDescent="0.3">
      <c r="B154" s="58" t="s">
        <v>127</v>
      </c>
      <c r="C154" s="58" t="s">
        <v>14</v>
      </c>
      <c r="D154" s="58" t="s">
        <v>72</v>
      </c>
      <c r="E154" s="58">
        <v>13</v>
      </c>
      <c r="F154" s="1" t="e">
        <f>VLOOKUP(B154,Calculs!$B:$B,1,FALSE)</f>
        <v>#N/A</v>
      </c>
    </row>
    <row r="155" spans="2:6" hidden="1" x14ac:dyDescent="0.3">
      <c r="B155" s="58" t="s">
        <v>379</v>
      </c>
      <c r="C155" s="58" t="s">
        <v>17</v>
      </c>
      <c r="D155" s="58" t="s">
        <v>355</v>
      </c>
      <c r="E155" s="58">
        <v>13</v>
      </c>
      <c r="F155" s="1" t="e">
        <f>VLOOKUP(B155,Calculs!$B:$B,1,FALSE)</f>
        <v>#N/A</v>
      </c>
    </row>
    <row r="156" spans="2:6" hidden="1" x14ac:dyDescent="0.3">
      <c r="B156" s="58" t="s">
        <v>307</v>
      </c>
      <c r="C156" s="58" t="s">
        <v>17</v>
      </c>
      <c r="D156" s="58" t="s">
        <v>82</v>
      </c>
      <c r="E156" s="58">
        <v>13</v>
      </c>
      <c r="F156" s="1" t="e">
        <f>VLOOKUP(B156,Calculs!$B:$B,1,FALSE)</f>
        <v>#N/A</v>
      </c>
    </row>
    <row r="157" spans="2:6" x14ac:dyDescent="0.3">
      <c r="B157" t="s">
        <v>219</v>
      </c>
      <c r="C157" s="58" t="s">
        <v>14</v>
      </c>
      <c r="D157" s="58" t="s">
        <v>67</v>
      </c>
      <c r="E157" s="58">
        <v>13</v>
      </c>
      <c r="F157" s="1" t="e">
        <f>VLOOKUP(B157,Calculs!$B:$B,1,FALSE)</f>
        <v>#N/A</v>
      </c>
    </row>
    <row r="158" spans="2:6" hidden="1" x14ac:dyDescent="0.3">
      <c r="B158" s="58" t="s">
        <v>643</v>
      </c>
      <c r="C158" s="58" t="s">
        <v>16</v>
      </c>
      <c r="D158" s="58" t="s">
        <v>74</v>
      </c>
      <c r="E158" s="58">
        <v>13</v>
      </c>
      <c r="F158" s="1" t="e">
        <f>VLOOKUP(B158,Calculs!$B:$B,1,FALSE)</f>
        <v>#N/A</v>
      </c>
    </row>
    <row r="159" spans="2:6" hidden="1" x14ac:dyDescent="0.3">
      <c r="B159" s="58" t="s">
        <v>319</v>
      </c>
      <c r="C159" s="58" t="s">
        <v>14</v>
      </c>
      <c r="D159" s="58" t="s">
        <v>81</v>
      </c>
      <c r="E159" s="58">
        <v>13</v>
      </c>
      <c r="F159" s="1" t="e">
        <f>VLOOKUP(B159,Calculs!$B:$B,1,FALSE)</f>
        <v>#N/A</v>
      </c>
    </row>
    <row r="160" spans="2:6" hidden="1" x14ac:dyDescent="0.3">
      <c r="B160" s="58" t="s">
        <v>380</v>
      </c>
      <c r="C160" s="58" t="s">
        <v>17</v>
      </c>
      <c r="D160" s="58" t="s">
        <v>355</v>
      </c>
      <c r="E160" s="58">
        <v>13</v>
      </c>
      <c r="F160" s="1" t="e">
        <f>VLOOKUP(B160,Calculs!$B:$B,1,FALSE)</f>
        <v>#N/A</v>
      </c>
    </row>
    <row r="161" spans="2:6" hidden="1" x14ac:dyDescent="0.3">
      <c r="B161" s="58" t="s">
        <v>381</v>
      </c>
      <c r="C161" s="58" t="s">
        <v>14</v>
      </c>
      <c r="D161" s="58" t="s">
        <v>70</v>
      </c>
      <c r="E161" s="58">
        <v>13</v>
      </c>
      <c r="F161" s="1" t="e">
        <f>VLOOKUP(B161,Calculs!$B:$B,1,FALSE)</f>
        <v>#N/A</v>
      </c>
    </row>
    <row r="162" spans="2:6" hidden="1" x14ac:dyDescent="0.3">
      <c r="B162" s="58" t="s">
        <v>125</v>
      </c>
      <c r="C162" s="58" t="s">
        <v>14</v>
      </c>
      <c r="D162" s="58" t="s">
        <v>59</v>
      </c>
      <c r="E162" s="58">
        <v>13</v>
      </c>
      <c r="F162" s="1" t="e">
        <f>VLOOKUP(B162,Calculs!$B:$B,1,FALSE)</f>
        <v>#N/A</v>
      </c>
    </row>
    <row r="163" spans="2:6" hidden="1" x14ac:dyDescent="0.3">
      <c r="B163" s="58" t="s">
        <v>47</v>
      </c>
      <c r="C163" s="58" t="s">
        <v>17</v>
      </c>
      <c r="D163" s="58" t="s">
        <v>60</v>
      </c>
      <c r="E163" s="58">
        <v>13</v>
      </c>
      <c r="F163" s="1" t="e">
        <f>VLOOKUP(B163,Calculs!$B:$B,1,FALSE)</f>
        <v>#N/A</v>
      </c>
    </row>
    <row r="164" spans="2:6" hidden="1" x14ac:dyDescent="0.3">
      <c r="B164" s="58" t="s">
        <v>382</v>
      </c>
      <c r="C164" s="58" t="s">
        <v>16</v>
      </c>
      <c r="D164" s="58" t="s">
        <v>69</v>
      </c>
      <c r="E164" s="58">
        <v>13</v>
      </c>
      <c r="F164" s="1" t="e">
        <f>VLOOKUP(B164,Calculs!$B:$B,1,FALSE)</f>
        <v>#N/A</v>
      </c>
    </row>
    <row r="165" spans="2:6" hidden="1" x14ac:dyDescent="0.3">
      <c r="B165" s="58" t="s">
        <v>228</v>
      </c>
      <c r="C165" s="58" t="s">
        <v>14</v>
      </c>
      <c r="D165" s="58" t="s">
        <v>74</v>
      </c>
      <c r="E165" s="58">
        <v>13</v>
      </c>
      <c r="F165" s="1" t="e">
        <f>VLOOKUP(B165,Calculs!$B:$B,1,FALSE)</f>
        <v>#N/A</v>
      </c>
    </row>
    <row r="166" spans="2:6" hidden="1" x14ac:dyDescent="0.3">
      <c r="B166" s="58" t="s">
        <v>295</v>
      </c>
      <c r="C166" s="58" t="s">
        <v>14</v>
      </c>
      <c r="D166" s="58" t="s">
        <v>73</v>
      </c>
      <c r="E166" s="58">
        <v>13</v>
      </c>
      <c r="F166" s="1" t="e">
        <f>VLOOKUP(B166,Calculs!$B:$B,1,FALSE)</f>
        <v>#N/A</v>
      </c>
    </row>
    <row r="167" spans="2:6" hidden="1" x14ac:dyDescent="0.3">
      <c r="B167" s="58" t="s">
        <v>383</v>
      </c>
      <c r="C167" s="58" t="s">
        <v>15</v>
      </c>
      <c r="D167" s="58" t="s">
        <v>82</v>
      </c>
      <c r="E167" s="58">
        <v>13</v>
      </c>
      <c r="F167" s="1" t="e">
        <f>VLOOKUP(B167,Calculs!$B:$B,1,FALSE)</f>
        <v>#N/A</v>
      </c>
    </row>
    <row r="168" spans="2:6" hidden="1" x14ac:dyDescent="0.3">
      <c r="B168" s="58" t="s">
        <v>384</v>
      </c>
      <c r="C168" s="58" t="s">
        <v>16</v>
      </c>
      <c r="D168" s="58" t="s">
        <v>360</v>
      </c>
      <c r="E168" s="58">
        <v>13</v>
      </c>
      <c r="F168" s="1" t="e">
        <f>VLOOKUP(B168,Calculs!$B:$B,1,FALSE)</f>
        <v>#N/A</v>
      </c>
    </row>
    <row r="169" spans="2:6" hidden="1" x14ac:dyDescent="0.3">
      <c r="B169" s="58" t="s">
        <v>52</v>
      </c>
      <c r="C169" s="58" t="s">
        <v>14</v>
      </c>
      <c r="D169" s="58" t="s">
        <v>72</v>
      </c>
      <c r="E169" s="58">
        <v>13</v>
      </c>
      <c r="F169" s="1" t="e">
        <f>VLOOKUP(B169,Calculs!$B:$B,1,FALSE)</f>
        <v>#N/A</v>
      </c>
    </row>
    <row r="170" spans="2:6" hidden="1" x14ac:dyDescent="0.3">
      <c r="B170" s="58" t="s">
        <v>298</v>
      </c>
      <c r="C170" s="58" t="s">
        <v>14</v>
      </c>
      <c r="D170" s="58" t="s">
        <v>73</v>
      </c>
      <c r="E170" s="58">
        <v>12</v>
      </c>
      <c r="F170" s="1" t="e">
        <f>VLOOKUP(B170,Calculs!$B:$B,1,FALSE)</f>
        <v>#N/A</v>
      </c>
    </row>
    <row r="171" spans="2:6" hidden="1" x14ac:dyDescent="0.3">
      <c r="B171" s="58" t="s">
        <v>385</v>
      </c>
      <c r="C171" s="58" t="s">
        <v>14</v>
      </c>
      <c r="D171" s="58" t="s">
        <v>360</v>
      </c>
      <c r="E171" s="58">
        <v>12</v>
      </c>
      <c r="F171" s="1" t="e">
        <f>VLOOKUP(B171,Calculs!$B:$B,1,FALSE)</f>
        <v>#N/A</v>
      </c>
    </row>
    <row r="172" spans="2:6" hidden="1" x14ac:dyDescent="0.3">
      <c r="B172" s="58" t="s">
        <v>386</v>
      </c>
      <c r="C172" s="58" t="s">
        <v>14</v>
      </c>
      <c r="D172" s="58" t="s">
        <v>355</v>
      </c>
      <c r="E172" s="58">
        <v>12</v>
      </c>
      <c r="F172" s="1" t="e">
        <f>VLOOKUP(B172,Calculs!$B:$B,1,FALSE)</f>
        <v>#N/A</v>
      </c>
    </row>
    <row r="173" spans="2:6" hidden="1" x14ac:dyDescent="0.3">
      <c r="B173" s="58" t="s">
        <v>387</v>
      </c>
      <c r="C173" s="58" t="s">
        <v>16</v>
      </c>
      <c r="D173" s="58" t="s">
        <v>66</v>
      </c>
      <c r="E173" s="58">
        <v>12</v>
      </c>
      <c r="F173" s="1" t="e">
        <f>VLOOKUP(B173,Calculs!$B:$B,1,FALSE)</f>
        <v>#N/A</v>
      </c>
    </row>
    <row r="174" spans="2:6" hidden="1" x14ac:dyDescent="0.3">
      <c r="B174" s="58" t="s">
        <v>154</v>
      </c>
      <c r="C174" s="58" t="s">
        <v>16</v>
      </c>
      <c r="D174" s="58" t="s">
        <v>64</v>
      </c>
      <c r="E174" s="58">
        <v>12</v>
      </c>
      <c r="F174" s="1" t="e">
        <f>VLOOKUP(B174,Calculs!$B:$B,1,FALSE)</f>
        <v>#N/A</v>
      </c>
    </row>
    <row r="175" spans="2:6" hidden="1" x14ac:dyDescent="0.3">
      <c r="B175" s="58" t="s">
        <v>249</v>
      </c>
      <c r="C175" s="58" t="s">
        <v>17</v>
      </c>
      <c r="D175" s="58" t="s">
        <v>71</v>
      </c>
      <c r="E175" s="58">
        <v>12</v>
      </c>
      <c r="F175" s="1" t="e">
        <f>VLOOKUP(B175,Calculs!$B:$B,1,FALSE)</f>
        <v>#N/A</v>
      </c>
    </row>
    <row r="176" spans="2:6" hidden="1" x14ac:dyDescent="0.3">
      <c r="B176" s="58" t="s">
        <v>388</v>
      </c>
      <c r="C176" s="58" t="s">
        <v>17</v>
      </c>
      <c r="D176" s="58" t="s">
        <v>355</v>
      </c>
      <c r="E176" s="58">
        <v>12</v>
      </c>
      <c r="F176" s="1" t="e">
        <f>VLOOKUP(B176,Calculs!$B:$B,1,FALSE)</f>
        <v>#N/A</v>
      </c>
    </row>
    <row r="177" spans="1:6" hidden="1" x14ac:dyDescent="0.3">
      <c r="B177" s="58" t="s">
        <v>151</v>
      </c>
      <c r="C177" s="58" t="s">
        <v>14</v>
      </c>
      <c r="D177" s="58" t="s">
        <v>64</v>
      </c>
      <c r="E177" s="58">
        <v>12</v>
      </c>
      <c r="F177" s="1" t="e">
        <f>VLOOKUP(B177,Calculs!$B:$B,1,FALSE)</f>
        <v>#N/A</v>
      </c>
    </row>
    <row r="178" spans="1:6" hidden="1" x14ac:dyDescent="0.3">
      <c r="B178" s="58" t="s">
        <v>389</v>
      </c>
      <c r="C178" s="58" t="s">
        <v>17</v>
      </c>
      <c r="D178" s="58" t="s">
        <v>63</v>
      </c>
      <c r="E178" s="58">
        <v>12</v>
      </c>
      <c r="F178" s="1" t="e">
        <f>VLOOKUP(B178,Calculs!$B:$B,1,FALSE)</f>
        <v>#N/A</v>
      </c>
    </row>
    <row r="179" spans="1:6" hidden="1" x14ac:dyDescent="0.3">
      <c r="B179" s="58" t="s">
        <v>188</v>
      </c>
      <c r="C179" s="58" t="s">
        <v>14</v>
      </c>
      <c r="D179" s="58" t="s">
        <v>66</v>
      </c>
      <c r="E179" s="58">
        <v>12</v>
      </c>
      <c r="F179" s="1" t="e">
        <f>VLOOKUP(B179,Calculs!$B:$B,1,FALSE)</f>
        <v>#N/A</v>
      </c>
    </row>
    <row r="180" spans="1:6" hidden="1" x14ac:dyDescent="0.3">
      <c r="B180" s="58" t="s">
        <v>266</v>
      </c>
      <c r="C180" s="58" t="s">
        <v>17</v>
      </c>
      <c r="D180" s="58" t="s">
        <v>69</v>
      </c>
      <c r="E180" s="58">
        <v>12</v>
      </c>
      <c r="F180" s="1" t="e">
        <f>VLOOKUP(B180,Calculs!$B:$B,1,FALSE)</f>
        <v>#N/A</v>
      </c>
    </row>
    <row r="181" spans="1:6" hidden="1" x14ac:dyDescent="0.3">
      <c r="A181"/>
      <c r="B181" s="58" t="s">
        <v>641</v>
      </c>
      <c r="C181" s="58" t="s">
        <v>14</v>
      </c>
      <c r="D181" s="58" t="s">
        <v>74</v>
      </c>
      <c r="E181" s="58">
        <v>12</v>
      </c>
      <c r="F181" s="1" t="e">
        <f>VLOOKUP(B181,Calculs!$B:$B,1,FALSE)</f>
        <v>#N/A</v>
      </c>
    </row>
    <row r="182" spans="1:6" x14ac:dyDescent="0.3">
      <c r="B182" t="s">
        <v>339</v>
      </c>
      <c r="C182" s="58" t="s">
        <v>14</v>
      </c>
      <c r="D182" s="58" t="s">
        <v>81</v>
      </c>
      <c r="E182" s="58">
        <v>12</v>
      </c>
      <c r="F182" s="1" t="e">
        <f>VLOOKUP(B182,Calculs!$B:$B,1,FALSE)</f>
        <v>#N/A</v>
      </c>
    </row>
    <row r="183" spans="1:6" hidden="1" x14ac:dyDescent="0.3">
      <c r="B183" s="58" t="s">
        <v>54</v>
      </c>
      <c r="C183" s="58" t="s">
        <v>17</v>
      </c>
      <c r="D183" s="58" t="s">
        <v>67</v>
      </c>
      <c r="E183" s="58">
        <v>12</v>
      </c>
      <c r="F183" s="1" t="e">
        <f>VLOOKUP(B183,Calculs!$B:$B,1,FALSE)</f>
        <v>#N/A</v>
      </c>
    </row>
    <row r="184" spans="1:6" hidden="1" x14ac:dyDescent="0.3">
      <c r="B184" s="58" t="s">
        <v>390</v>
      </c>
      <c r="C184" s="58" t="s">
        <v>16</v>
      </c>
      <c r="D184" s="58" t="s">
        <v>82</v>
      </c>
      <c r="E184" s="58">
        <v>12</v>
      </c>
      <c r="F184" s="1" t="e">
        <f>VLOOKUP(B184,Calculs!$B:$B,1,FALSE)</f>
        <v>#N/A</v>
      </c>
    </row>
    <row r="185" spans="1:6" hidden="1" x14ac:dyDescent="0.3">
      <c r="B185" s="58" t="s">
        <v>391</v>
      </c>
      <c r="C185" s="58" t="s">
        <v>16</v>
      </c>
      <c r="D185" s="58" t="s">
        <v>67</v>
      </c>
      <c r="E185" s="58">
        <v>12</v>
      </c>
      <c r="F185" s="1" t="e">
        <f>VLOOKUP(B185,Calculs!$B:$B,1,FALSE)</f>
        <v>#N/A</v>
      </c>
    </row>
    <row r="186" spans="1:6" hidden="1" x14ac:dyDescent="0.3">
      <c r="B186" s="58" t="s">
        <v>338</v>
      </c>
      <c r="C186" s="58" t="s">
        <v>14</v>
      </c>
      <c r="D186" s="58" t="s">
        <v>71</v>
      </c>
      <c r="E186" s="58">
        <v>12</v>
      </c>
      <c r="F186" s="1" t="e">
        <f>VLOOKUP(B186,Calculs!$B:$B,1,FALSE)</f>
        <v>#N/A</v>
      </c>
    </row>
    <row r="187" spans="1:6" hidden="1" x14ac:dyDescent="0.3">
      <c r="B187" s="58" t="s">
        <v>392</v>
      </c>
      <c r="C187" s="58" t="s">
        <v>14</v>
      </c>
      <c r="D187" s="58" t="s">
        <v>355</v>
      </c>
      <c r="E187" s="58">
        <v>12</v>
      </c>
      <c r="F187" s="1" t="e">
        <f>VLOOKUP(B187,Calculs!$B:$B,1,FALSE)</f>
        <v>#N/A</v>
      </c>
    </row>
    <row r="188" spans="1:6" hidden="1" x14ac:dyDescent="0.3">
      <c r="B188" s="58" t="s">
        <v>264</v>
      </c>
      <c r="C188" s="58" t="s">
        <v>17</v>
      </c>
      <c r="D188" s="58" t="s">
        <v>69</v>
      </c>
      <c r="E188" s="58">
        <v>12</v>
      </c>
      <c r="F188" s="1" t="e">
        <f>VLOOKUP(B188,Calculs!$B:$B,1,FALSE)</f>
        <v>#N/A</v>
      </c>
    </row>
    <row r="189" spans="1:6" x14ac:dyDescent="0.3">
      <c r="B189" s="58" t="s">
        <v>393</v>
      </c>
      <c r="C189" s="58" t="s">
        <v>17</v>
      </c>
      <c r="D189" s="58" t="s">
        <v>68</v>
      </c>
      <c r="E189" s="58">
        <v>12</v>
      </c>
      <c r="F189" s="1" t="e">
        <f>VLOOKUP(B189,Calculs!$B:$B,1,FALSE)</f>
        <v>#N/A</v>
      </c>
    </row>
    <row r="190" spans="1:6" x14ac:dyDescent="0.3">
      <c r="B190" t="s">
        <v>647</v>
      </c>
      <c r="C190" s="58" t="s">
        <v>14</v>
      </c>
      <c r="D190" s="58" t="s">
        <v>355</v>
      </c>
      <c r="E190" s="58">
        <v>12</v>
      </c>
      <c r="F190" s="1" t="e">
        <f>VLOOKUP(B190,Calculs!$B:$B,1,FALSE)</f>
        <v>#N/A</v>
      </c>
    </row>
    <row r="191" spans="1:6" hidden="1" x14ac:dyDescent="0.3">
      <c r="B191" s="58" t="s">
        <v>394</v>
      </c>
      <c r="C191" s="58" t="s">
        <v>14</v>
      </c>
      <c r="D191" s="58" t="s">
        <v>82</v>
      </c>
      <c r="E191" s="58">
        <v>12</v>
      </c>
      <c r="F191" s="1" t="e">
        <f>VLOOKUP(B191,Calculs!$B:$B,1,FALSE)</f>
        <v>#N/A</v>
      </c>
    </row>
    <row r="192" spans="1:6" hidden="1" x14ac:dyDescent="0.3">
      <c r="B192" s="58" t="s">
        <v>299</v>
      </c>
      <c r="C192" s="58" t="s">
        <v>14</v>
      </c>
      <c r="D192" s="58" t="s">
        <v>73</v>
      </c>
      <c r="E192" s="58">
        <v>11</v>
      </c>
      <c r="F192" s="1" t="e">
        <f>VLOOKUP(B192,Calculs!$B:$B,1,FALSE)</f>
        <v>#N/A</v>
      </c>
    </row>
    <row r="193" spans="2:6" x14ac:dyDescent="0.3">
      <c r="B193" s="58" t="s">
        <v>658</v>
      </c>
      <c r="C193" s="58" t="s">
        <v>17</v>
      </c>
      <c r="D193" s="58" t="s">
        <v>61</v>
      </c>
      <c r="E193" s="58">
        <v>11</v>
      </c>
      <c r="F193" s="1" t="e">
        <f>VLOOKUP(B193,Calculs!$B:$B,1,FALSE)</f>
        <v>#N/A</v>
      </c>
    </row>
    <row r="194" spans="2:6" hidden="1" x14ac:dyDescent="0.3">
      <c r="B194" s="58" t="s">
        <v>638</v>
      </c>
      <c r="C194" s="58" t="s">
        <v>17</v>
      </c>
      <c r="D194" s="58" t="s">
        <v>66</v>
      </c>
      <c r="E194" s="58">
        <v>11</v>
      </c>
      <c r="F194" s="1" t="e">
        <f>VLOOKUP(B194,Calculs!$B:$B,1,FALSE)</f>
        <v>#N/A</v>
      </c>
    </row>
    <row r="195" spans="2:6" hidden="1" x14ac:dyDescent="0.3">
      <c r="B195" s="58" t="s">
        <v>194</v>
      </c>
      <c r="C195" s="58" t="s">
        <v>17</v>
      </c>
      <c r="D195" s="58" t="s">
        <v>65</v>
      </c>
      <c r="E195" s="58">
        <v>11</v>
      </c>
      <c r="F195" s="1" t="e">
        <f>VLOOKUP(B195,Calculs!$B:$B,1,FALSE)</f>
        <v>#N/A</v>
      </c>
    </row>
    <row r="196" spans="2:6" hidden="1" x14ac:dyDescent="0.3">
      <c r="B196" s="58" t="s">
        <v>395</v>
      </c>
      <c r="C196" s="58" t="s">
        <v>17</v>
      </c>
      <c r="D196" s="58" t="s">
        <v>61</v>
      </c>
      <c r="E196" s="58">
        <v>11</v>
      </c>
      <c r="F196" s="1" t="e">
        <f>VLOOKUP(B196,Calculs!$B:$B,1,FALSE)</f>
        <v>#N/A</v>
      </c>
    </row>
    <row r="197" spans="2:6" hidden="1" x14ac:dyDescent="0.3">
      <c r="B197" s="58" t="s">
        <v>270</v>
      </c>
      <c r="C197" s="58" t="s">
        <v>14</v>
      </c>
      <c r="D197" s="58" t="s">
        <v>69</v>
      </c>
      <c r="E197" s="58">
        <v>11</v>
      </c>
      <c r="F197" s="1" t="e">
        <f>VLOOKUP(B197,Calculs!$B:$B,1,FALSE)</f>
        <v>#N/A</v>
      </c>
    </row>
    <row r="198" spans="2:6" hidden="1" x14ac:dyDescent="0.3">
      <c r="B198" s="58" t="s">
        <v>132</v>
      </c>
      <c r="C198" s="58" t="s">
        <v>17</v>
      </c>
      <c r="D198" s="58" t="s">
        <v>63</v>
      </c>
      <c r="E198" s="58">
        <v>11</v>
      </c>
      <c r="F198" s="1" t="e">
        <f>VLOOKUP(B198,Calculs!$B:$B,1,FALSE)</f>
        <v>#N/A</v>
      </c>
    </row>
    <row r="199" spans="2:6" hidden="1" x14ac:dyDescent="0.3">
      <c r="B199" s="58" t="s">
        <v>396</v>
      </c>
      <c r="C199" s="58" t="s">
        <v>14</v>
      </c>
      <c r="D199" s="58" t="s">
        <v>65</v>
      </c>
      <c r="E199" s="58">
        <v>11</v>
      </c>
      <c r="F199" s="1" t="e">
        <f>VLOOKUP(B199,Calculs!$B:$B,1,FALSE)</f>
        <v>#N/A</v>
      </c>
    </row>
    <row r="200" spans="2:6" x14ac:dyDescent="0.3">
      <c r="B200" t="s">
        <v>645</v>
      </c>
      <c r="C200" s="58" t="s">
        <v>16</v>
      </c>
      <c r="D200" s="58" t="s">
        <v>71</v>
      </c>
      <c r="E200" s="58">
        <v>11</v>
      </c>
      <c r="F200" s="1" t="e">
        <f>VLOOKUP(B200,Calculs!$B:$B,1,FALSE)</f>
        <v>#N/A</v>
      </c>
    </row>
    <row r="201" spans="2:6" x14ac:dyDescent="0.3">
      <c r="B201" s="58" t="s">
        <v>397</v>
      </c>
      <c r="C201" s="58" t="s">
        <v>14</v>
      </c>
      <c r="D201" s="58" t="s">
        <v>61</v>
      </c>
      <c r="E201" s="58">
        <v>11</v>
      </c>
      <c r="F201" s="1" t="e">
        <f>VLOOKUP(B201,Calculs!$B:$B,1,FALSE)</f>
        <v>#N/A</v>
      </c>
    </row>
    <row r="202" spans="2:6" x14ac:dyDescent="0.3">
      <c r="B202" s="58" t="s">
        <v>631</v>
      </c>
      <c r="C202" s="58" t="s">
        <v>16</v>
      </c>
      <c r="D202" s="58" t="s">
        <v>70</v>
      </c>
      <c r="E202" s="58">
        <v>11</v>
      </c>
      <c r="F202" s="1" t="e">
        <f>VLOOKUP(B202,Calculs!$B:$B,1,FALSE)</f>
        <v>#N/A</v>
      </c>
    </row>
    <row r="203" spans="2:6" hidden="1" x14ac:dyDescent="0.3">
      <c r="B203" s="58" t="s">
        <v>398</v>
      </c>
      <c r="C203" s="58" t="s">
        <v>16</v>
      </c>
      <c r="D203" s="58" t="s">
        <v>360</v>
      </c>
      <c r="E203" s="58">
        <v>11</v>
      </c>
      <c r="F203" s="1" t="e">
        <f>VLOOKUP(B203,Calculs!$B:$B,1,FALSE)</f>
        <v>#N/A</v>
      </c>
    </row>
    <row r="204" spans="2:6" hidden="1" x14ac:dyDescent="0.3">
      <c r="B204" s="58" t="s">
        <v>399</v>
      </c>
      <c r="C204" s="58" t="s">
        <v>14</v>
      </c>
      <c r="D204" s="58" t="s">
        <v>81</v>
      </c>
      <c r="E204" s="58">
        <v>11</v>
      </c>
      <c r="F204" s="1" t="e">
        <f>VLOOKUP(B204,Calculs!$B:$B,1,FALSE)</f>
        <v>#N/A</v>
      </c>
    </row>
    <row r="205" spans="2:6" hidden="1" x14ac:dyDescent="0.3">
      <c r="B205" s="58" t="s">
        <v>400</v>
      </c>
      <c r="C205" s="58" t="s">
        <v>14</v>
      </c>
      <c r="D205" s="58" t="s">
        <v>82</v>
      </c>
      <c r="E205" s="58">
        <v>11</v>
      </c>
      <c r="F205" s="1" t="e">
        <f>VLOOKUP(B205,Calculs!$B:$B,1,FALSE)</f>
        <v>#N/A</v>
      </c>
    </row>
    <row r="206" spans="2:6" hidden="1" x14ac:dyDescent="0.3">
      <c r="B206" s="58" t="s">
        <v>401</v>
      </c>
      <c r="C206" s="58" t="s">
        <v>16</v>
      </c>
      <c r="D206" s="58" t="s">
        <v>61</v>
      </c>
      <c r="E206" s="58">
        <v>11</v>
      </c>
      <c r="F206" s="1" t="e">
        <f>VLOOKUP(B206,Calculs!$B:$B,1,FALSE)</f>
        <v>#N/A</v>
      </c>
    </row>
    <row r="207" spans="2:6" hidden="1" x14ac:dyDescent="0.3">
      <c r="B207" s="58" t="s">
        <v>402</v>
      </c>
      <c r="C207" s="58" t="s">
        <v>17</v>
      </c>
      <c r="D207" s="58" t="s">
        <v>61</v>
      </c>
      <c r="E207" s="58">
        <v>11</v>
      </c>
      <c r="F207" s="1" t="e">
        <f>VLOOKUP(B207,Calculs!$B:$B,1,FALSE)</f>
        <v>#N/A</v>
      </c>
    </row>
    <row r="208" spans="2:6" hidden="1" x14ac:dyDescent="0.3">
      <c r="B208" s="58" t="s">
        <v>637</v>
      </c>
      <c r="C208" s="58" t="s">
        <v>17</v>
      </c>
      <c r="D208" s="58" t="s">
        <v>72</v>
      </c>
      <c r="E208" s="58">
        <v>11</v>
      </c>
      <c r="F208" s="1" t="e">
        <f>VLOOKUP(B208,Calculs!$B:$B,1,FALSE)</f>
        <v>#N/A</v>
      </c>
    </row>
    <row r="209" spans="2:6" hidden="1" x14ac:dyDescent="0.3">
      <c r="B209" s="58" t="s">
        <v>94</v>
      </c>
      <c r="C209" s="58" t="s">
        <v>14</v>
      </c>
      <c r="D209" s="58" t="s">
        <v>71</v>
      </c>
      <c r="E209" s="58">
        <v>11</v>
      </c>
      <c r="F209" s="1" t="e">
        <f>VLOOKUP(B209,Calculs!$B:$B,1,FALSE)</f>
        <v>#N/A</v>
      </c>
    </row>
    <row r="210" spans="2:6" hidden="1" x14ac:dyDescent="0.3">
      <c r="B210" s="58" t="s">
        <v>403</v>
      </c>
      <c r="C210" s="58" t="s">
        <v>17</v>
      </c>
      <c r="D210" s="58" t="s">
        <v>81</v>
      </c>
      <c r="E210" s="58">
        <v>11</v>
      </c>
      <c r="F210" s="1" t="e">
        <f>VLOOKUP(B210,Calculs!$B:$B,1,FALSE)</f>
        <v>#N/A</v>
      </c>
    </row>
    <row r="211" spans="2:6" x14ac:dyDescent="0.3">
      <c r="B211" t="s">
        <v>640</v>
      </c>
      <c r="C211" s="58" t="s">
        <v>16</v>
      </c>
      <c r="D211" s="58" t="s">
        <v>65</v>
      </c>
      <c r="E211" s="58">
        <v>11</v>
      </c>
      <c r="F211" s="1" t="e">
        <f>VLOOKUP(B211,Calculs!$B:$B,1,FALSE)</f>
        <v>#N/A</v>
      </c>
    </row>
    <row r="212" spans="2:6" hidden="1" x14ac:dyDescent="0.3">
      <c r="B212" s="58" t="s">
        <v>404</v>
      </c>
      <c r="C212" s="58" t="s">
        <v>14</v>
      </c>
      <c r="D212" s="58" t="s">
        <v>74</v>
      </c>
      <c r="E212" s="58">
        <v>11</v>
      </c>
      <c r="F212" s="1" t="e">
        <f>VLOOKUP(B212,Calculs!$B:$B,1,FALSE)</f>
        <v>#N/A</v>
      </c>
    </row>
    <row r="213" spans="2:6" hidden="1" x14ac:dyDescent="0.3">
      <c r="B213" s="58" t="s">
        <v>405</v>
      </c>
      <c r="C213" s="58" t="s">
        <v>14</v>
      </c>
      <c r="D213" s="58" t="s">
        <v>73</v>
      </c>
      <c r="E213" s="58">
        <v>11</v>
      </c>
      <c r="F213" s="1" t="e">
        <f>VLOOKUP(B213,Calculs!$B:$B,1,FALSE)</f>
        <v>#N/A</v>
      </c>
    </row>
    <row r="214" spans="2:6" hidden="1" x14ac:dyDescent="0.3">
      <c r="B214" s="58" t="s">
        <v>95</v>
      </c>
      <c r="C214" s="58" t="s">
        <v>14</v>
      </c>
      <c r="D214" s="58" t="s">
        <v>62</v>
      </c>
      <c r="E214" s="58">
        <v>11</v>
      </c>
      <c r="F214" s="1" t="e">
        <f>VLOOKUP(B214,Calculs!$B:$B,1,FALSE)</f>
        <v>#N/A</v>
      </c>
    </row>
    <row r="215" spans="2:6" hidden="1" x14ac:dyDescent="0.3">
      <c r="B215" s="58" t="s">
        <v>280</v>
      </c>
      <c r="C215" s="58" t="s">
        <v>17</v>
      </c>
      <c r="D215" s="58" t="s">
        <v>70</v>
      </c>
      <c r="E215" s="58">
        <v>11</v>
      </c>
      <c r="F215" s="1" t="e">
        <f>VLOOKUP(B215,Calculs!$B:$B,1,FALSE)</f>
        <v>#N/A</v>
      </c>
    </row>
    <row r="216" spans="2:6" x14ac:dyDescent="0.3">
      <c r="B216" t="s">
        <v>639</v>
      </c>
      <c r="C216" s="58" t="s">
        <v>14</v>
      </c>
      <c r="D216" s="58" t="s">
        <v>65</v>
      </c>
      <c r="E216" s="58">
        <v>11</v>
      </c>
      <c r="F216" s="1" t="e">
        <f>VLOOKUP(B216,Calculs!$B:$B,1,FALSE)</f>
        <v>#N/A</v>
      </c>
    </row>
    <row r="217" spans="2:6" hidden="1" x14ac:dyDescent="0.3">
      <c r="B217" s="58" t="s">
        <v>406</v>
      </c>
      <c r="C217" s="58" t="s">
        <v>14</v>
      </c>
      <c r="D217" s="58" t="s">
        <v>355</v>
      </c>
      <c r="E217" s="58">
        <v>11</v>
      </c>
      <c r="F217" s="1" t="e">
        <f>VLOOKUP(B217,Calculs!$B:$B,1,FALSE)</f>
        <v>#N/A</v>
      </c>
    </row>
    <row r="218" spans="2:6" hidden="1" x14ac:dyDescent="0.3">
      <c r="B218" s="58" t="s">
        <v>308</v>
      </c>
      <c r="C218" s="58" t="s">
        <v>17</v>
      </c>
      <c r="D218" s="58" t="s">
        <v>82</v>
      </c>
      <c r="E218" s="58">
        <v>11</v>
      </c>
      <c r="F218" s="1" t="e">
        <f>VLOOKUP(B218,Calculs!$B:$B,1,FALSE)</f>
        <v>#N/A</v>
      </c>
    </row>
    <row r="219" spans="2:6" hidden="1" x14ac:dyDescent="0.3">
      <c r="B219" s="58" t="s">
        <v>407</v>
      </c>
      <c r="C219" s="58" t="s">
        <v>16</v>
      </c>
      <c r="D219" s="58" t="s">
        <v>61</v>
      </c>
      <c r="E219" s="58">
        <v>11</v>
      </c>
      <c r="F219" s="1" t="e">
        <f>VLOOKUP(B219,Calculs!$B:$B,1,FALSE)</f>
        <v>#N/A</v>
      </c>
    </row>
    <row r="220" spans="2:6" hidden="1" x14ac:dyDescent="0.3">
      <c r="B220" s="58" t="s">
        <v>197</v>
      </c>
      <c r="C220" s="58" t="s">
        <v>17</v>
      </c>
      <c r="D220" s="58" t="s">
        <v>65</v>
      </c>
      <c r="E220" s="58">
        <v>11</v>
      </c>
      <c r="F220" s="1" t="e">
        <f>VLOOKUP(B220,Calculs!$B:$B,1,FALSE)</f>
        <v>#N/A</v>
      </c>
    </row>
    <row r="221" spans="2:6" hidden="1" x14ac:dyDescent="0.3">
      <c r="B221" s="58" t="s">
        <v>408</v>
      </c>
      <c r="C221" s="58" t="s">
        <v>17</v>
      </c>
      <c r="D221" s="58" t="s">
        <v>68</v>
      </c>
      <c r="E221" s="58">
        <v>11</v>
      </c>
      <c r="F221" s="1" t="e">
        <f>VLOOKUP(B221,Calculs!$B:$B,1,FALSE)</f>
        <v>#N/A</v>
      </c>
    </row>
    <row r="222" spans="2:6" hidden="1" x14ac:dyDescent="0.3">
      <c r="B222" s="58" t="s">
        <v>281</v>
      </c>
      <c r="C222" s="58" t="s">
        <v>17</v>
      </c>
      <c r="D222" s="58" t="s">
        <v>70</v>
      </c>
      <c r="E222" s="58">
        <v>11</v>
      </c>
      <c r="F222" s="1" t="e">
        <f>VLOOKUP(B222,Calculs!$B:$B,1,FALSE)</f>
        <v>#N/A</v>
      </c>
    </row>
    <row r="223" spans="2:6" hidden="1" x14ac:dyDescent="0.3">
      <c r="B223" s="58" t="s">
        <v>325</v>
      </c>
      <c r="C223" s="58" t="s">
        <v>16</v>
      </c>
      <c r="D223" s="58" t="s">
        <v>355</v>
      </c>
      <c r="E223" s="58">
        <v>11</v>
      </c>
      <c r="F223" s="1" t="e">
        <f>VLOOKUP(B223,Calculs!$B:$B,1,FALSE)</f>
        <v>#N/A</v>
      </c>
    </row>
    <row r="224" spans="2:6" hidden="1" x14ac:dyDescent="0.3">
      <c r="B224" s="58" t="s">
        <v>140</v>
      </c>
      <c r="C224" s="58" t="s">
        <v>14</v>
      </c>
      <c r="D224" s="58" t="s">
        <v>63</v>
      </c>
      <c r="E224" s="58">
        <v>11</v>
      </c>
      <c r="F224" s="1" t="e">
        <f>VLOOKUP(B224,Calculs!$B:$B,1,FALSE)</f>
        <v>#N/A</v>
      </c>
    </row>
    <row r="225" spans="2:6" hidden="1" x14ac:dyDescent="0.3">
      <c r="B225" s="58" t="s">
        <v>409</v>
      </c>
      <c r="C225" s="58" t="s">
        <v>14</v>
      </c>
      <c r="D225" s="58" t="s">
        <v>60</v>
      </c>
      <c r="E225" s="58">
        <v>11</v>
      </c>
      <c r="F225" s="1" t="e">
        <f>VLOOKUP(B225,Calculs!$B:$B,1,FALSE)</f>
        <v>#N/A</v>
      </c>
    </row>
    <row r="226" spans="2:6" hidden="1" x14ac:dyDescent="0.3">
      <c r="B226" s="58" t="s">
        <v>410</v>
      </c>
      <c r="C226" s="58" t="s">
        <v>14</v>
      </c>
      <c r="D226" s="58" t="s">
        <v>74</v>
      </c>
      <c r="E226" s="58">
        <v>11</v>
      </c>
      <c r="F226" s="1" t="e">
        <f>VLOOKUP(B226,Calculs!$B:$B,1,FALSE)</f>
        <v>#N/A</v>
      </c>
    </row>
    <row r="227" spans="2:6" hidden="1" x14ac:dyDescent="0.3">
      <c r="B227" s="58" t="s">
        <v>411</v>
      </c>
      <c r="C227" s="58" t="s">
        <v>14</v>
      </c>
      <c r="D227" s="58" t="s">
        <v>360</v>
      </c>
      <c r="E227" s="58">
        <v>11</v>
      </c>
      <c r="F227" s="1" t="e">
        <f>VLOOKUP(B227,Calculs!$B:$B,1,FALSE)</f>
        <v>#N/A</v>
      </c>
    </row>
    <row r="228" spans="2:6" hidden="1" x14ac:dyDescent="0.3">
      <c r="B228" s="58" t="s">
        <v>320</v>
      </c>
      <c r="C228" s="58" t="s">
        <v>14</v>
      </c>
      <c r="D228" s="58" t="s">
        <v>81</v>
      </c>
      <c r="E228" s="58">
        <v>11</v>
      </c>
      <c r="F228" s="1" t="e">
        <f>VLOOKUP(B228,Calculs!$B:$B,1,FALSE)</f>
        <v>#N/A</v>
      </c>
    </row>
    <row r="229" spans="2:6" x14ac:dyDescent="0.3">
      <c r="B229" t="s">
        <v>629</v>
      </c>
      <c r="C229" s="58" t="s">
        <v>17</v>
      </c>
      <c r="D229" s="58" t="s">
        <v>81</v>
      </c>
      <c r="E229" s="58">
        <v>10</v>
      </c>
      <c r="F229" s="1" t="e">
        <f>VLOOKUP(B229,Calculs!$B:$B,1,FALSE)</f>
        <v>#N/A</v>
      </c>
    </row>
    <row r="230" spans="2:6" hidden="1" x14ac:dyDescent="0.3">
      <c r="B230" s="58" t="s">
        <v>412</v>
      </c>
      <c r="C230" s="58" t="s">
        <v>17</v>
      </c>
      <c r="D230" s="58" t="s">
        <v>360</v>
      </c>
      <c r="E230" s="58">
        <v>10</v>
      </c>
      <c r="F230" s="1" t="e">
        <f>VLOOKUP(B230,Calculs!$B:$B,1,FALSE)</f>
        <v>#N/A</v>
      </c>
    </row>
    <row r="231" spans="2:6" hidden="1" x14ac:dyDescent="0.3">
      <c r="B231" s="58" t="s">
        <v>413</v>
      </c>
      <c r="C231" s="58" t="s">
        <v>14</v>
      </c>
      <c r="D231" s="58" t="s">
        <v>74</v>
      </c>
      <c r="E231" s="58">
        <v>10</v>
      </c>
      <c r="F231" s="1" t="e">
        <f>VLOOKUP(B231,Calculs!$B:$B,1,FALSE)</f>
        <v>#N/A</v>
      </c>
    </row>
    <row r="232" spans="2:6" hidden="1" x14ac:dyDescent="0.3">
      <c r="B232" s="58" t="s">
        <v>313</v>
      </c>
      <c r="C232" s="58" t="s">
        <v>14</v>
      </c>
      <c r="D232" s="58" t="s">
        <v>82</v>
      </c>
      <c r="E232" s="58">
        <v>10</v>
      </c>
      <c r="F232" s="1" t="e">
        <f>VLOOKUP(B232,Calculs!$B:$B,1,FALSE)</f>
        <v>#N/A</v>
      </c>
    </row>
    <row r="233" spans="2:6" x14ac:dyDescent="0.3">
      <c r="B233" s="58" t="s">
        <v>414</v>
      </c>
      <c r="C233" s="58" t="s">
        <v>17</v>
      </c>
      <c r="D233" s="58" t="s">
        <v>73</v>
      </c>
      <c r="E233" s="58">
        <v>10</v>
      </c>
      <c r="F233" s="1" t="e">
        <f>VLOOKUP(B233,Calculs!$B:$B,1,FALSE)</f>
        <v>#N/A</v>
      </c>
    </row>
    <row r="234" spans="2:6" hidden="1" x14ac:dyDescent="0.3">
      <c r="B234" s="58" t="s">
        <v>415</v>
      </c>
      <c r="C234" s="58" t="s">
        <v>17</v>
      </c>
      <c r="D234" s="58" t="s">
        <v>67</v>
      </c>
      <c r="E234" s="58">
        <v>10</v>
      </c>
      <c r="F234" s="1" t="e">
        <f>VLOOKUP(B234,Calculs!$B:$B,1,FALSE)</f>
        <v>#N/A</v>
      </c>
    </row>
    <row r="235" spans="2:6" hidden="1" x14ac:dyDescent="0.3">
      <c r="B235" s="58" t="s">
        <v>274</v>
      </c>
      <c r="C235" s="58" t="s">
        <v>14</v>
      </c>
      <c r="D235" s="58" t="s">
        <v>69</v>
      </c>
      <c r="E235" s="58">
        <v>10</v>
      </c>
      <c r="F235" s="1" t="e">
        <f>VLOOKUP(B235,Calculs!$B:$B,1,FALSE)</f>
        <v>#N/A</v>
      </c>
    </row>
    <row r="236" spans="2:6" hidden="1" x14ac:dyDescent="0.3">
      <c r="B236" s="58" t="s">
        <v>327</v>
      </c>
      <c r="C236" s="58" t="s">
        <v>14</v>
      </c>
      <c r="D236" s="58" t="s">
        <v>71</v>
      </c>
      <c r="E236" s="58">
        <v>10</v>
      </c>
      <c r="F236" s="1" t="e">
        <f>VLOOKUP(B236,Calculs!$B:$B,1,FALSE)</f>
        <v>#N/A</v>
      </c>
    </row>
    <row r="237" spans="2:6" hidden="1" x14ac:dyDescent="0.3">
      <c r="B237" s="58" t="s">
        <v>416</v>
      </c>
      <c r="C237" s="58" t="s">
        <v>17</v>
      </c>
      <c r="D237" s="58" t="s">
        <v>60</v>
      </c>
      <c r="E237" s="58">
        <v>10</v>
      </c>
      <c r="F237" s="1" t="e">
        <f>VLOOKUP(B237,Calculs!$B:$B,1,FALSE)</f>
        <v>#N/A</v>
      </c>
    </row>
    <row r="238" spans="2:6" hidden="1" x14ac:dyDescent="0.3">
      <c r="B238" s="58" t="s">
        <v>317</v>
      </c>
      <c r="C238" s="58" t="s">
        <v>17</v>
      </c>
      <c r="D238" s="58" t="s">
        <v>81</v>
      </c>
      <c r="E238" s="58">
        <v>10</v>
      </c>
      <c r="F238" s="1" t="e">
        <f>VLOOKUP(B238,Calculs!$B:$B,1,FALSE)</f>
        <v>#N/A</v>
      </c>
    </row>
    <row r="239" spans="2:6" hidden="1" x14ac:dyDescent="0.3">
      <c r="B239" s="58" t="s">
        <v>201</v>
      </c>
      <c r="C239" s="58" t="s">
        <v>14</v>
      </c>
      <c r="D239" s="58" t="s">
        <v>65</v>
      </c>
      <c r="E239" s="58">
        <v>10</v>
      </c>
      <c r="F239" s="1" t="e">
        <f>VLOOKUP(B239,Calculs!$B:$B,1,FALSE)</f>
        <v>#N/A</v>
      </c>
    </row>
    <row r="240" spans="2:6" hidden="1" x14ac:dyDescent="0.3">
      <c r="B240" s="58" t="s">
        <v>417</v>
      </c>
      <c r="C240" s="58" t="s">
        <v>14</v>
      </c>
      <c r="D240" s="58" t="s">
        <v>73</v>
      </c>
      <c r="E240" s="58">
        <v>10</v>
      </c>
      <c r="F240" s="1" t="e">
        <f>VLOOKUP(B240,Calculs!$B:$B,1,FALSE)</f>
        <v>#N/A</v>
      </c>
    </row>
    <row r="241" spans="2:6" hidden="1" x14ac:dyDescent="0.3">
      <c r="B241" s="58" t="s">
        <v>254</v>
      </c>
      <c r="C241" s="58" t="s">
        <v>17</v>
      </c>
      <c r="D241" s="58" t="s">
        <v>71</v>
      </c>
      <c r="E241" s="58">
        <v>10</v>
      </c>
      <c r="F241" s="1" t="e">
        <f>VLOOKUP(B241,Calculs!$B:$B,1,FALSE)</f>
        <v>#N/A</v>
      </c>
    </row>
    <row r="242" spans="2:6" hidden="1" x14ac:dyDescent="0.3">
      <c r="B242" s="58" t="s">
        <v>418</v>
      </c>
      <c r="C242" s="58" t="s">
        <v>17</v>
      </c>
      <c r="D242" s="58" t="s">
        <v>59</v>
      </c>
      <c r="E242" s="58">
        <v>10</v>
      </c>
      <c r="F242" s="1" t="e">
        <f>VLOOKUP(B242,Calculs!$B:$B,1,FALSE)</f>
        <v>#N/A</v>
      </c>
    </row>
    <row r="243" spans="2:6" hidden="1" x14ac:dyDescent="0.3">
      <c r="B243" s="58" t="s">
        <v>231</v>
      </c>
      <c r="C243" s="58" t="s">
        <v>14</v>
      </c>
      <c r="D243" s="58" t="s">
        <v>74</v>
      </c>
      <c r="E243" s="58">
        <v>10</v>
      </c>
      <c r="F243" s="1" t="e">
        <f>VLOOKUP(B243,Calculs!$B:$B,1,FALSE)</f>
        <v>#N/A</v>
      </c>
    </row>
    <row r="244" spans="2:6" hidden="1" x14ac:dyDescent="0.3">
      <c r="B244" s="58" t="s">
        <v>224</v>
      </c>
      <c r="C244" s="58" t="s">
        <v>17</v>
      </c>
      <c r="D244" s="58" t="s">
        <v>74</v>
      </c>
      <c r="E244" s="58">
        <v>10</v>
      </c>
      <c r="F244" s="1" t="e">
        <f>VLOOKUP(B244,Calculs!$B:$B,1,FALSE)</f>
        <v>#N/A</v>
      </c>
    </row>
    <row r="245" spans="2:6" hidden="1" x14ac:dyDescent="0.3">
      <c r="B245" s="58" t="s">
        <v>175</v>
      </c>
      <c r="C245" s="58" t="s">
        <v>16</v>
      </c>
      <c r="D245" s="58" t="s">
        <v>66</v>
      </c>
      <c r="E245" s="58">
        <v>10</v>
      </c>
      <c r="F245" s="1" t="e">
        <f>VLOOKUP(B245,Calculs!$B:$B,1,FALSE)</f>
        <v>#N/A</v>
      </c>
    </row>
    <row r="246" spans="2:6" x14ac:dyDescent="0.3">
      <c r="B246" t="s">
        <v>651</v>
      </c>
      <c r="C246" s="58" t="s">
        <v>17</v>
      </c>
      <c r="D246" s="58" t="s">
        <v>360</v>
      </c>
      <c r="E246" s="58">
        <v>10</v>
      </c>
      <c r="F246" s="1" t="e">
        <f>VLOOKUP(B246,Calculs!$B:$B,1,FALSE)</f>
        <v>#N/A</v>
      </c>
    </row>
    <row r="247" spans="2:6" hidden="1" x14ac:dyDescent="0.3">
      <c r="B247" s="58" t="s">
        <v>290</v>
      </c>
      <c r="C247" s="58" t="s">
        <v>17</v>
      </c>
      <c r="D247" s="58" t="s">
        <v>73</v>
      </c>
      <c r="E247" s="58">
        <v>10</v>
      </c>
      <c r="F247" s="1" t="e">
        <f>VLOOKUP(B247,Calculs!$B:$B,1,FALSE)</f>
        <v>#N/A</v>
      </c>
    </row>
    <row r="248" spans="2:6" hidden="1" x14ac:dyDescent="0.3">
      <c r="B248" s="58" t="s">
        <v>419</v>
      </c>
      <c r="C248" s="58" t="s">
        <v>17</v>
      </c>
      <c r="D248" s="58" t="s">
        <v>74</v>
      </c>
      <c r="E248" s="58">
        <v>10</v>
      </c>
      <c r="F248" s="1" t="e">
        <f>VLOOKUP(B248,Calculs!$B:$B,1,FALSE)</f>
        <v>#N/A</v>
      </c>
    </row>
    <row r="249" spans="2:6" hidden="1" x14ac:dyDescent="0.3">
      <c r="B249" s="58" t="s">
        <v>420</v>
      </c>
      <c r="C249" s="58" t="s">
        <v>17</v>
      </c>
      <c r="D249" s="58" t="s">
        <v>82</v>
      </c>
      <c r="E249" s="58">
        <v>10</v>
      </c>
      <c r="F249" s="1" t="e">
        <f>VLOOKUP(B249,Calculs!$B:$B,1,FALSE)</f>
        <v>#N/A</v>
      </c>
    </row>
    <row r="250" spans="2:6" hidden="1" x14ac:dyDescent="0.3">
      <c r="B250" s="58" t="s">
        <v>229</v>
      </c>
      <c r="C250" s="58" t="s">
        <v>14</v>
      </c>
      <c r="D250" s="58" t="s">
        <v>74</v>
      </c>
      <c r="E250" s="58">
        <v>10</v>
      </c>
      <c r="F250" s="1" t="e">
        <f>VLOOKUP(B250,Calculs!$B:$B,1,FALSE)</f>
        <v>#N/A</v>
      </c>
    </row>
    <row r="251" spans="2:6" hidden="1" x14ac:dyDescent="0.3">
      <c r="B251" s="58" t="s">
        <v>421</v>
      </c>
      <c r="C251" s="58" t="s">
        <v>16</v>
      </c>
      <c r="D251" s="58" t="s">
        <v>81</v>
      </c>
      <c r="E251" s="58">
        <v>10</v>
      </c>
      <c r="F251" s="1" t="e">
        <f>VLOOKUP(B251,Calculs!$B:$B,1,FALSE)</f>
        <v>#N/A</v>
      </c>
    </row>
    <row r="252" spans="2:6" hidden="1" x14ac:dyDescent="0.3">
      <c r="B252" s="58" t="s">
        <v>172</v>
      </c>
      <c r="C252" s="58" t="s">
        <v>14</v>
      </c>
      <c r="D252" s="58" t="s">
        <v>68</v>
      </c>
      <c r="E252" s="58">
        <v>10</v>
      </c>
      <c r="F252" s="1" t="e">
        <f>VLOOKUP(B252,Calculs!$B:$B,1,FALSE)</f>
        <v>#N/A</v>
      </c>
    </row>
    <row r="253" spans="2:6" hidden="1" x14ac:dyDescent="0.3">
      <c r="B253" s="58" t="s">
        <v>422</v>
      </c>
      <c r="C253" s="58" t="s">
        <v>14</v>
      </c>
      <c r="D253" s="58" t="s">
        <v>70</v>
      </c>
      <c r="E253" s="58">
        <v>10</v>
      </c>
      <c r="F253" s="1" t="e">
        <f>VLOOKUP(B253,Calculs!$B:$B,1,FALSE)</f>
        <v>#N/A</v>
      </c>
    </row>
    <row r="254" spans="2:6" x14ac:dyDescent="0.3">
      <c r="B254" s="58" t="s">
        <v>654</v>
      </c>
      <c r="C254" s="58" t="s">
        <v>16</v>
      </c>
      <c r="D254" s="58" t="s">
        <v>72</v>
      </c>
      <c r="E254" s="58">
        <v>10</v>
      </c>
      <c r="F254" s="1" t="e">
        <f>VLOOKUP(B254,Calculs!$B:$B,1,FALSE)</f>
        <v>#N/A</v>
      </c>
    </row>
    <row r="255" spans="2:6" hidden="1" x14ac:dyDescent="0.3">
      <c r="B255" s="58" t="s">
        <v>303</v>
      </c>
      <c r="C255" s="58" t="s">
        <v>16</v>
      </c>
      <c r="D255" s="58" t="s">
        <v>73</v>
      </c>
      <c r="E255" s="58">
        <v>10</v>
      </c>
      <c r="F255" s="1" t="e">
        <f>VLOOKUP(B255,Calculs!$B:$B,1,FALSE)</f>
        <v>#N/A</v>
      </c>
    </row>
    <row r="256" spans="2:6" hidden="1" x14ac:dyDescent="0.3">
      <c r="B256" s="58" t="s">
        <v>258</v>
      </c>
      <c r="C256" s="58" t="s">
        <v>14</v>
      </c>
      <c r="D256" s="58" t="s">
        <v>71</v>
      </c>
      <c r="E256" s="58">
        <v>10</v>
      </c>
      <c r="F256" s="1" t="e">
        <f>VLOOKUP(B256,Calculs!$B:$B,1,FALSE)</f>
        <v>#N/A</v>
      </c>
    </row>
    <row r="257" spans="2:6" hidden="1" x14ac:dyDescent="0.3">
      <c r="B257" s="58" t="s">
        <v>205</v>
      </c>
      <c r="C257" s="58" t="s">
        <v>16</v>
      </c>
      <c r="D257" s="58" t="s">
        <v>65</v>
      </c>
      <c r="E257" s="58">
        <v>10</v>
      </c>
      <c r="F257" s="1" t="e">
        <f>VLOOKUP(B257,Calculs!$B:$B,1,FALSE)</f>
        <v>#N/A</v>
      </c>
    </row>
    <row r="258" spans="2:6" x14ac:dyDescent="0.3">
      <c r="B258" s="58" t="s">
        <v>661</v>
      </c>
      <c r="C258" s="58" t="s">
        <v>14</v>
      </c>
      <c r="D258" s="58" t="s">
        <v>70</v>
      </c>
      <c r="E258" s="58">
        <v>10</v>
      </c>
      <c r="F258" s="1" t="e">
        <f>VLOOKUP(B258,Calculs!$B:$B,1,FALSE)</f>
        <v>#N/A</v>
      </c>
    </row>
    <row r="259" spans="2:6" hidden="1" x14ac:dyDescent="0.3">
      <c r="B259" s="58" t="s">
        <v>423</v>
      </c>
      <c r="C259" s="58" t="s">
        <v>14</v>
      </c>
      <c r="D259" s="58" t="s">
        <v>65</v>
      </c>
      <c r="E259" s="58">
        <v>10</v>
      </c>
      <c r="F259" s="1" t="e">
        <f>VLOOKUP(B259,Calculs!$B:$B,1,FALSE)</f>
        <v>#N/A</v>
      </c>
    </row>
    <row r="260" spans="2:6" x14ac:dyDescent="0.3">
      <c r="B260" t="s">
        <v>636</v>
      </c>
      <c r="C260" s="58" t="s">
        <v>17</v>
      </c>
      <c r="D260" s="58" t="s">
        <v>72</v>
      </c>
      <c r="E260" s="58">
        <v>10</v>
      </c>
      <c r="F260" s="1" t="e">
        <f>VLOOKUP(B260,Calculs!$B:$B,1,FALSE)</f>
        <v>#N/A</v>
      </c>
    </row>
    <row r="261" spans="2:6" hidden="1" x14ac:dyDescent="0.3">
      <c r="B261" s="58" t="s">
        <v>424</v>
      </c>
      <c r="C261" s="58" t="s">
        <v>14</v>
      </c>
      <c r="D261" s="58" t="s">
        <v>61</v>
      </c>
      <c r="E261" s="58">
        <v>9</v>
      </c>
      <c r="F261" s="1" t="e">
        <f>VLOOKUP(B261,Calculs!$B:$B,1,FALSE)</f>
        <v>#N/A</v>
      </c>
    </row>
    <row r="262" spans="2:6" hidden="1" x14ac:dyDescent="0.3">
      <c r="B262" s="58" t="s">
        <v>155</v>
      </c>
      <c r="C262" s="58" t="s">
        <v>16</v>
      </c>
      <c r="D262" s="58" t="s">
        <v>64</v>
      </c>
      <c r="E262" s="58">
        <v>9</v>
      </c>
      <c r="F262" s="1" t="e">
        <f>VLOOKUP(B262,Calculs!$B:$B,1,FALSE)</f>
        <v>#N/A</v>
      </c>
    </row>
    <row r="263" spans="2:6" hidden="1" x14ac:dyDescent="0.3">
      <c r="B263" s="58" t="s">
        <v>425</v>
      </c>
      <c r="C263" s="58" t="s">
        <v>17</v>
      </c>
      <c r="D263" s="58" t="s">
        <v>82</v>
      </c>
      <c r="E263" s="58">
        <v>9</v>
      </c>
      <c r="F263" s="1" t="e">
        <f>VLOOKUP(B263,Calculs!$B:$B,1,FALSE)</f>
        <v>#N/A</v>
      </c>
    </row>
    <row r="264" spans="2:6" x14ac:dyDescent="0.3">
      <c r="B264" s="58" t="s">
        <v>659</v>
      </c>
      <c r="C264" s="58" t="s">
        <v>17</v>
      </c>
      <c r="D264" s="58" t="s">
        <v>74</v>
      </c>
      <c r="E264" s="58">
        <v>9</v>
      </c>
      <c r="F264" s="1" t="e">
        <f>VLOOKUP(B264,Calculs!$B:$B,1,FALSE)</f>
        <v>#N/A</v>
      </c>
    </row>
    <row r="265" spans="2:6" hidden="1" x14ac:dyDescent="0.3">
      <c r="B265" s="58" t="s">
        <v>269</v>
      </c>
      <c r="C265" s="58" t="s">
        <v>14</v>
      </c>
      <c r="D265" s="58" t="s">
        <v>69</v>
      </c>
      <c r="E265" s="58">
        <v>9</v>
      </c>
      <c r="F265" s="1" t="e">
        <f>VLOOKUP(B265,Calculs!$B:$B,1,FALSE)</f>
        <v>#N/A</v>
      </c>
    </row>
    <row r="266" spans="2:6" x14ac:dyDescent="0.3">
      <c r="B266" s="58" t="s">
        <v>426</v>
      </c>
      <c r="C266" s="58" t="s">
        <v>16</v>
      </c>
      <c r="D266" s="58" t="s">
        <v>74</v>
      </c>
      <c r="E266" s="58">
        <v>9</v>
      </c>
      <c r="F266" s="1" t="e">
        <f>VLOOKUP(B266,Calculs!$B:$B,1,FALSE)</f>
        <v>#N/A</v>
      </c>
    </row>
    <row r="267" spans="2:6" hidden="1" x14ac:dyDescent="0.3">
      <c r="B267" s="58" t="s">
        <v>271</v>
      </c>
      <c r="C267" s="58" t="s">
        <v>14</v>
      </c>
      <c r="D267" s="58" t="s">
        <v>69</v>
      </c>
      <c r="E267" s="58">
        <v>9</v>
      </c>
      <c r="F267" s="1" t="e">
        <f>VLOOKUP(B267,Calculs!$B:$B,1,FALSE)</f>
        <v>#N/A</v>
      </c>
    </row>
    <row r="268" spans="2:6" x14ac:dyDescent="0.3">
      <c r="B268" t="s">
        <v>265</v>
      </c>
      <c r="C268" s="58" t="s">
        <v>17</v>
      </c>
      <c r="D268" s="58" t="s">
        <v>69</v>
      </c>
      <c r="E268" s="58">
        <v>9</v>
      </c>
      <c r="F268" s="1" t="e">
        <f>VLOOKUP(B268,Calculs!$B:$B,1,FALSE)</f>
        <v>#N/A</v>
      </c>
    </row>
    <row r="269" spans="2:6" x14ac:dyDescent="0.3">
      <c r="B269" s="58" t="s">
        <v>427</v>
      </c>
      <c r="C269" s="58" t="s">
        <v>17</v>
      </c>
      <c r="D269" s="58" t="s">
        <v>61</v>
      </c>
      <c r="E269" s="58">
        <v>9</v>
      </c>
      <c r="F269" s="1" t="e">
        <f>VLOOKUP(B269,Calculs!$B:$B,1,FALSE)</f>
        <v>#N/A</v>
      </c>
    </row>
    <row r="270" spans="2:6" x14ac:dyDescent="0.3">
      <c r="B270" s="58" t="s">
        <v>160</v>
      </c>
      <c r="C270" s="58" t="s">
        <v>17</v>
      </c>
      <c r="D270" s="58" t="s">
        <v>72</v>
      </c>
      <c r="E270" s="58">
        <v>9</v>
      </c>
      <c r="F270" s="1" t="e">
        <f>VLOOKUP(B270,Calculs!$B:$B,1,FALSE)</f>
        <v>#N/A</v>
      </c>
    </row>
    <row r="271" spans="2:6" hidden="1" x14ac:dyDescent="0.3">
      <c r="B271" s="58" t="s">
        <v>318</v>
      </c>
      <c r="C271" s="58" t="s">
        <v>14</v>
      </c>
      <c r="D271" s="58" t="s">
        <v>69</v>
      </c>
      <c r="E271" s="58">
        <v>9</v>
      </c>
      <c r="F271" s="1" t="e">
        <f>VLOOKUP(B271,Calculs!$B:$B,1,FALSE)</f>
        <v>#N/A</v>
      </c>
    </row>
    <row r="272" spans="2:6" x14ac:dyDescent="0.3">
      <c r="B272" s="58" t="s">
        <v>428</v>
      </c>
      <c r="C272" s="58" t="s">
        <v>17</v>
      </c>
      <c r="D272" s="58" t="s">
        <v>355</v>
      </c>
      <c r="E272" s="58">
        <v>9</v>
      </c>
      <c r="F272" s="1" t="e">
        <f>VLOOKUP(B272,Calculs!$B:$B,1,FALSE)</f>
        <v>#N/A</v>
      </c>
    </row>
    <row r="273" spans="2:6" x14ac:dyDescent="0.3">
      <c r="B273" s="58" t="s">
        <v>429</v>
      </c>
      <c r="C273" s="58" t="s">
        <v>14</v>
      </c>
      <c r="D273" s="58" t="s">
        <v>61</v>
      </c>
      <c r="E273" s="58">
        <v>9</v>
      </c>
      <c r="F273" s="1" t="e">
        <f>VLOOKUP(B273,Calculs!$B:$B,1,FALSE)</f>
        <v>#N/A</v>
      </c>
    </row>
    <row r="274" spans="2:6" hidden="1" x14ac:dyDescent="0.3">
      <c r="B274" s="58" t="s">
        <v>430</v>
      </c>
      <c r="C274" s="58" t="s">
        <v>16</v>
      </c>
      <c r="D274" s="58" t="s">
        <v>360</v>
      </c>
      <c r="E274" s="58">
        <v>9</v>
      </c>
      <c r="F274" s="1" t="e">
        <f>VLOOKUP(B274,Calculs!$B:$B,1,FALSE)</f>
        <v>#N/A</v>
      </c>
    </row>
    <row r="275" spans="2:6" hidden="1" x14ac:dyDescent="0.3">
      <c r="B275" s="58" t="s">
        <v>263</v>
      </c>
      <c r="C275" s="58" t="s">
        <v>17</v>
      </c>
      <c r="D275" s="58" t="s">
        <v>69</v>
      </c>
      <c r="E275" s="58">
        <v>9</v>
      </c>
      <c r="F275" s="1" t="e">
        <f>VLOOKUP(B275,Calculs!$B:$B,1,FALSE)</f>
        <v>#N/A</v>
      </c>
    </row>
    <row r="276" spans="2:6" hidden="1" x14ac:dyDescent="0.3">
      <c r="B276" s="58" t="s">
        <v>304</v>
      </c>
      <c r="C276" s="58" t="s">
        <v>16</v>
      </c>
      <c r="D276" s="58" t="s">
        <v>73</v>
      </c>
      <c r="E276" s="58">
        <v>9</v>
      </c>
      <c r="F276" s="1" t="e">
        <f>VLOOKUP(B276,Calculs!$B:$B,1,FALSE)</f>
        <v>#N/A</v>
      </c>
    </row>
    <row r="277" spans="2:6" hidden="1" x14ac:dyDescent="0.3">
      <c r="B277" s="58" t="s">
        <v>91</v>
      </c>
      <c r="C277" s="58" t="s">
        <v>17</v>
      </c>
      <c r="D277" s="58" t="s">
        <v>62</v>
      </c>
      <c r="E277" s="58">
        <v>9</v>
      </c>
      <c r="F277" s="1" t="e">
        <f>VLOOKUP(B277,Calculs!$B:$B,1,FALSE)</f>
        <v>#N/A</v>
      </c>
    </row>
    <row r="278" spans="2:6" hidden="1" x14ac:dyDescent="0.3">
      <c r="B278" s="58" t="s">
        <v>431</v>
      </c>
      <c r="C278" s="58" t="s">
        <v>17</v>
      </c>
      <c r="D278" s="58" t="s">
        <v>82</v>
      </c>
      <c r="E278" s="58">
        <v>9</v>
      </c>
      <c r="F278" s="1" t="e">
        <f>VLOOKUP(B278,Calculs!$B:$B,1,FALSE)</f>
        <v>#N/A</v>
      </c>
    </row>
    <row r="279" spans="2:6" hidden="1" x14ac:dyDescent="0.3">
      <c r="B279" s="58" t="s">
        <v>432</v>
      </c>
      <c r="C279" s="58" t="s">
        <v>16</v>
      </c>
      <c r="D279" s="58" t="s">
        <v>70</v>
      </c>
      <c r="E279" s="58">
        <v>9</v>
      </c>
      <c r="F279" s="1" t="e">
        <f>VLOOKUP(B279,Calculs!$B:$B,1,FALSE)</f>
        <v>#N/A</v>
      </c>
    </row>
    <row r="280" spans="2:6" hidden="1" x14ac:dyDescent="0.3">
      <c r="B280" s="58" t="s">
        <v>253</v>
      </c>
      <c r="C280" s="58" t="s">
        <v>17</v>
      </c>
      <c r="D280" s="58" t="s">
        <v>71</v>
      </c>
      <c r="E280" s="58">
        <v>9</v>
      </c>
      <c r="F280" s="1" t="e">
        <f>VLOOKUP(B280,Calculs!$B:$B,1,FALSE)</f>
        <v>#N/A</v>
      </c>
    </row>
    <row r="281" spans="2:6" hidden="1" x14ac:dyDescent="0.3">
      <c r="B281" s="58" t="s">
        <v>433</v>
      </c>
      <c r="C281" s="58" t="s">
        <v>17</v>
      </c>
      <c r="D281" s="58" t="s">
        <v>360</v>
      </c>
      <c r="E281" s="58">
        <v>9</v>
      </c>
      <c r="F281" s="1" t="e">
        <f>VLOOKUP(B281,Calculs!$B:$B,1,FALSE)</f>
        <v>#N/A</v>
      </c>
    </row>
    <row r="282" spans="2:6" hidden="1" x14ac:dyDescent="0.3">
      <c r="B282" s="58" t="s">
        <v>153</v>
      </c>
      <c r="C282" s="58" t="s">
        <v>16</v>
      </c>
      <c r="D282" s="58" t="s">
        <v>64</v>
      </c>
      <c r="E282" s="58">
        <v>9</v>
      </c>
      <c r="F282" s="1" t="e">
        <f>VLOOKUP(B282,Calculs!$B:$B,1,FALSE)</f>
        <v>#N/A</v>
      </c>
    </row>
    <row r="283" spans="2:6" hidden="1" x14ac:dyDescent="0.3">
      <c r="B283" s="58" t="s">
        <v>147</v>
      </c>
      <c r="C283" s="58" t="s">
        <v>15</v>
      </c>
      <c r="D283" s="58" t="s">
        <v>64</v>
      </c>
      <c r="E283" s="58">
        <v>9</v>
      </c>
      <c r="F283" s="1" t="e">
        <f>VLOOKUP(B283,Calculs!$B:$B,1,FALSE)</f>
        <v>#N/A</v>
      </c>
    </row>
    <row r="284" spans="2:6" hidden="1" x14ac:dyDescent="0.3">
      <c r="B284" s="58" t="s">
        <v>434</v>
      </c>
      <c r="C284" s="58" t="s">
        <v>17</v>
      </c>
      <c r="D284" s="58" t="s">
        <v>360</v>
      </c>
      <c r="E284" s="58">
        <v>9</v>
      </c>
      <c r="F284" s="1" t="e">
        <f>VLOOKUP(B284,Calculs!$B:$B,1,FALSE)</f>
        <v>#N/A</v>
      </c>
    </row>
    <row r="285" spans="2:6" hidden="1" x14ac:dyDescent="0.3">
      <c r="B285" s="58" t="s">
        <v>256</v>
      </c>
      <c r="C285" s="58" t="s">
        <v>14</v>
      </c>
      <c r="D285" s="58" t="s">
        <v>71</v>
      </c>
      <c r="E285" s="58">
        <v>9</v>
      </c>
      <c r="F285" s="1" t="e">
        <f>VLOOKUP(B285,Calculs!$B:$B,1,FALSE)</f>
        <v>#N/A</v>
      </c>
    </row>
    <row r="286" spans="2:6" hidden="1" x14ac:dyDescent="0.3">
      <c r="B286" s="58" t="s">
        <v>435</v>
      </c>
      <c r="C286" s="58" t="s">
        <v>16</v>
      </c>
      <c r="D286" s="58" t="s">
        <v>61</v>
      </c>
      <c r="E286" s="58">
        <v>9</v>
      </c>
      <c r="F286" s="1" t="e">
        <f>VLOOKUP(B286,Calculs!$B:$B,1,FALSE)</f>
        <v>#N/A</v>
      </c>
    </row>
    <row r="287" spans="2:6" hidden="1" x14ac:dyDescent="0.3">
      <c r="B287" s="58" t="s">
        <v>83</v>
      </c>
      <c r="C287" s="58" t="s">
        <v>17</v>
      </c>
      <c r="D287" s="58" t="s">
        <v>81</v>
      </c>
      <c r="E287" s="58">
        <v>9</v>
      </c>
      <c r="F287" s="1" t="e">
        <f>VLOOKUP(B287,Calculs!$B:$B,1,FALSE)</f>
        <v>#N/A</v>
      </c>
    </row>
    <row r="288" spans="2:6" hidden="1" x14ac:dyDescent="0.3">
      <c r="B288" s="58" t="s">
        <v>436</v>
      </c>
      <c r="C288" s="58" t="s">
        <v>16</v>
      </c>
      <c r="D288" s="58" t="s">
        <v>72</v>
      </c>
      <c r="E288" s="58">
        <v>9</v>
      </c>
      <c r="F288" s="1" t="e">
        <f>VLOOKUP(B288,Calculs!$B:$B,1,FALSE)</f>
        <v>#N/A</v>
      </c>
    </row>
    <row r="289" spans="2:6" hidden="1" x14ac:dyDescent="0.3">
      <c r="B289" s="58" t="s">
        <v>46</v>
      </c>
      <c r="C289" s="58" t="s">
        <v>17</v>
      </c>
      <c r="D289" s="58" t="s">
        <v>62</v>
      </c>
      <c r="E289" s="58">
        <v>9</v>
      </c>
      <c r="F289" s="1" t="e">
        <f>VLOOKUP(B289,Calculs!$B:$B,1,FALSE)</f>
        <v>#N/A</v>
      </c>
    </row>
    <row r="290" spans="2:6" hidden="1" x14ac:dyDescent="0.3">
      <c r="B290" s="58" t="s">
        <v>168</v>
      </c>
      <c r="C290" s="58" t="s">
        <v>17</v>
      </c>
      <c r="D290" s="58" t="s">
        <v>68</v>
      </c>
      <c r="E290" s="58">
        <v>9</v>
      </c>
      <c r="F290" s="1" t="e">
        <f>VLOOKUP(B290,Calculs!$B:$B,1,FALSE)</f>
        <v>#N/A</v>
      </c>
    </row>
    <row r="291" spans="2:6" hidden="1" x14ac:dyDescent="0.3">
      <c r="B291" s="58" t="s">
        <v>262</v>
      </c>
      <c r="C291" s="58" t="s">
        <v>17</v>
      </c>
      <c r="D291" s="58" t="s">
        <v>69</v>
      </c>
      <c r="E291" s="58">
        <v>9</v>
      </c>
      <c r="F291" s="1" t="e">
        <f>VLOOKUP(B291,Calculs!$B:$B,1,FALSE)</f>
        <v>#N/A</v>
      </c>
    </row>
    <row r="292" spans="2:6" x14ac:dyDescent="0.3">
      <c r="B292" s="58" t="s">
        <v>437</v>
      </c>
      <c r="C292" s="58" t="s">
        <v>16</v>
      </c>
      <c r="D292" s="58" t="s">
        <v>68</v>
      </c>
      <c r="E292" s="58">
        <v>9</v>
      </c>
      <c r="F292" s="1" t="e">
        <f>VLOOKUP(B292,Calculs!$B:$B,1,FALSE)</f>
        <v>#N/A</v>
      </c>
    </row>
    <row r="293" spans="2:6" x14ac:dyDescent="0.3">
      <c r="B293" s="58" t="s">
        <v>438</v>
      </c>
      <c r="C293" s="58" t="s">
        <v>17</v>
      </c>
      <c r="D293" s="58" t="s">
        <v>73</v>
      </c>
      <c r="E293" s="58">
        <v>8</v>
      </c>
      <c r="F293" s="1" t="e">
        <f>VLOOKUP(B293,Calculs!$B:$B,1,FALSE)</f>
        <v>#N/A</v>
      </c>
    </row>
    <row r="294" spans="2:6" hidden="1" x14ac:dyDescent="0.3">
      <c r="B294" s="58" t="s">
        <v>279</v>
      </c>
      <c r="C294" s="58" t="s">
        <v>17</v>
      </c>
      <c r="D294" s="58" t="s">
        <v>70</v>
      </c>
      <c r="E294" s="58">
        <v>8</v>
      </c>
      <c r="F294" s="1" t="e">
        <f>VLOOKUP(B294,Calculs!$B:$B,1,FALSE)</f>
        <v>#N/A</v>
      </c>
    </row>
    <row r="295" spans="2:6" hidden="1" x14ac:dyDescent="0.3">
      <c r="B295" s="58" t="s">
        <v>333</v>
      </c>
      <c r="C295" s="58" t="s">
        <v>17</v>
      </c>
      <c r="D295" s="58" t="s">
        <v>71</v>
      </c>
      <c r="E295" s="58">
        <v>8</v>
      </c>
      <c r="F295" s="1" t="e">
        <f>VLOOKUP(B295,Calculs!$B:$B,1,FALSE)</f>
        <v>#N/A</v>
      </c>
    </row>
    <row r="296" spans="2:6" hidden="1" x14ac:dyDescent="0.3">
      <c r="B296" s="58" t="s">
        <v>439</v>
      </c>
      <c r="C296" s="58" t="s">
        <v>16</v>
      </c>
      <c r="D296" s="58" t="s">
        <v>360</v>
      </c>
      <c r="E296" s="58">
        <v>8</v>
      </c>
      <c r="F296" s="1" t="e">
        <f>VLOOKUP(B296,Calculs!$B:$B,1,FALSE)</f>
        <v>#N/A</v>
      </c>
    </row>
    <row r="297" spans="2:6" hidden="1" x14ac:dyDescent="0.3">
      <c r="B297" s="58" t="s">
        <v>316</v>
      </c>
      <c r="C297" s="58" t="s">
        <v>17</v>
      </c>
      <c r="D297" s="58" t="s">
        <v>81</v>
      </c>
      <c r="E297" s="58">
        <v>8</v>
      </c>
      <c r="F297" s="1" t="e">
        <f>VLOOKUP(B297,Calculs!$B:$B,1,FALSE)</f>
        <v>#N/A</v>
      </c>
    </row>
    <row r="298" spans="2:6" hidden="1" x14ac:dyDescent="0.3">
      <c r="B298" s="58" t="s">
        <v>129</v>
      </c>
      <c r="C298" s="58" t="s">
        <v>15</v>
      </c>
      <c r="D298" s="58" t="s">
        <v>63</v>
      </c>
      <c r="E298" s="58">
        <v>8</v>
      </c>
      <c r="F298" s="1" t="e">
        <f>VLOOKUP(B298,Calculs!$B:$B,1,FALSE)</f>
        <v>#N/A</v>
      </c>
    </row>
    <row r="299" spans="2:6" hidden="1" x14ac:dyDescent="0.3">
      <c r="B299" s="58" t="s">
        <v>117</v>
      </c>
      <c r="C299" s="58" t="s">
        <v>16</v>
      </c>
      <c r="D299" s="58" t="s">
        <v>60</v>
      </c>
      <c r="E299" s="58">
        <v>8</v>
      </c>
      <c r="F299" s="1" t="e">
        <f>VLOOKUP(B299,Calculs!$B:$B,1,FALSE)</f>
        <v>#N/A</v>
      </c>
    </row>
    <row r="300" spans="2:6" hidden="1" x14ac:dyDescent="0.3">
      <c r="B300" s="58" t="s">
        <v>322</v>
      </c>
      <c r="C300" s="58" t="s">
        <v>16</v>
      </c>
      <c r="D300" s="58" t="s">
        <v>81</v>
      </c>
      <c r="E300" s="58">
        <v>8</v>
      </c>
      <c r="F300" s="1" t="e">
        <f>VLOOKUP(B300,Calculs!$B:$B,1,FALSE)</f>
        <v>#N/A</v>
      </c>
    </row>
    <row r="301" spans="2:6" hidden="1" x14ac:dyDescent="0.3">
      <c r="B301" s="58" t="s">
        <v>440</v>
      </c>
      <c r="C301" s="58" t="s">
        <v>14</v>
      </c>
      <c r="D301" s="58" t="s">
        <v>74</v>
      </c>
      <c r="E301" s="58">
        <v>8</v>
      </c>
      <c r="F301" s="1" t="e">
        <f>VLOOKUP(B301,Calculs!$B:$B,1,FALSE)</f>
        <v>#N/A</v>
      </c>
    </row>
    <row r="302" spans="2:6" hidden="1" x14ac:dyDescent="0.3">
      <c r="B302" s="58" t="s">
        <v>441</v>
      </c>
      <c r="C302" s="58" t="s">
        <v>17</v>
      </c>
      <c r="D302" s="58" t="s">
        <v>59</v>
      </c>
      <c r="E302" s="58">
        <v>8</v>
      </c>
      <c r="F302" s="1" t="e">
        <f>VLOOKUP(B302,Calculs!$B:$B,1,FALSE)</f>
        <v>#N/A</v>
      </c>
    </row>
    <row r="303" spans="2:6" hidden="1" x14ac:dyDescent="0.3">
      <c r="B303" s="58" t="s">
        <v>442</v>
      </c>
      <c r="C303" s="58" t="s">
        <v>14</v>
      </c>
      <c r="D303" s="58" t="s">
        <v>67</v>
      </c>
      <c r="E303" s="58">
        <v>8</v>
      </c>
      <c r="F303" s="1" t="e">
        <f>VLOOKUP(B303,Calculs!$B:$B,1,FALSE)</f>
        <v>#N/A</v>
      </c>
    </row>
    <row r="304" spans="2:6" x14ac:dyDescent="0.3">
      <c r="B304" s="58" t="s">
        <v>443</v>
      </c>
      <c r="C304" s="58" t="s">
        <v>17</v>
      </c>
      <c r="D304" s="58" t="s">
        <v>81</v>
      </c>
      <c r="E304" s="58">
        <v>8</v>
      </c>
      <c r="F304" s="1" t="e">
        <f>VLOOKUP(B304,Calculs!$B:$B,1,FALSE)</f>
        <v>#N/A</v>
      </c>
    </row>
    <row r="305" spans="2:6" hidden="1" x14ac:dyDescent="0.3">
      <c r="B305" s="58" t="s">
        <v>444</v>
      </c>
      <c r="C305" s="58" t="s">
        <v>14</v>
      </c>
      <c r="D305" s="58" t="s">
        <v>70</v>
      </c>
      <c r="E305" s="58">
        <v>8</v>
      </c>
      <c r="F305" s="1" t="e">
        <f>VLOOKUP(B305,Calculs!$B:$B,1,FALSE)</f>
        <v>#N/A</v>
      </c>
    </row>
    <row r="306" spans="2:6" hidden="1" x14ac:dyDescent="0.3">
      <c r="B306" s="58" t="s">
        <v>251</v>
      </c>
      <c r="C306" s="58" t="s">
        <v>17</v>
      </c>
      <c r="D306" s="58" t="s">
        <v>71</v>
      </c>
      <c r="E306" s="58">
        <v>8</v>
      </c>
      <c r="F306" s="1" t="e">
        <f>VLOOKUP(B306,Calculs!$B:$B,1,FALSE)</f>
        <v>#N/A</v>
      </c>
    </row>
    <row r="307" spans="2:6" hidden="1" x14ac:dyDescent="0.3">
      <c r="B307" s="58" t="s">
        <v>104</v>
      </c>
      <c r="C307" s="58" t="s">
        <v>15</v>
      </c>
      <c r="D307" s="58" t="s">
        <v>60</v>
      </c>
      <c r="E307" s="58">
        <v>8</v>
      </c>
      <c r="F307" s="1" t="e">
        <f>VLOOKUP(B307,Calculs!$B:$B,1,FALSE)</f>
        <v>#N/A</v>
      </c>
    </row>
    <row r="308" spans="2:6" hidden="1" x14ac:dyDescent="0.3">
      <c r="B308" s="58" t="s">
        <v>134</v>
      </c>
      <c r="C308" s="58" t="s">
        <v>17</v>
      </c>
      <c r="D308" s="58" t="s">
        <v>63</v>
      </c>
      <c r="E308" s="58">
        <v>8</v>
      </c>
      <c r="F308" s="1" t="e">
        <f>VLOOKUP(B308,Calculs!$B:$B,1,FALSE)</f>
        <v>#N/A</v>
      </c>
    </row>
    <row r="309" spans="2:6" hidden="1" x14ac:dyDescent="0.3">
      <c r="B309" s="58" t="s">
        <v>202</v>
      </c>
      <c r="C309" s="58" t="s">
        <v>16</v>
      </c>
      <c r="D309" s="58" t="s">
        <v>65</v>
      </c>
      <c r="E309" s="58">
        <v>8</v>
      </c>
      <c r="F309" s="1" t="e">
        <f>VLOOKUP(B309,Calculs!$B:$B,1,FALSE)</f>
        <v>#N/A</v>
      </c>
    </row>
    <row r="310" spans="2:6" x14ac:dyDescent="0.3">
      <c r="B310" s="58" t="s">
        <v>655</v>
      </c>
      <c r="C310" s="58" t="s">
        <v>16</v>
      </c>
      <c r="D310" s="58" t="s">
        <v>67</v>
      </c>
      <c r="E310" s="58">
        <v>8</v>
      </c>
      <c r="F310" s="1" t="e">
        <f>VLOOKUP(B310,Calculs!$B:$B,1,FALSE)</f>
        <v>#N/A</v>
      </c>
    </row>
    <row r="311" spans="2:6" hidden="1" x14ac:dyDescent="0.3">
      <c r="B311" s="58" t="s">
        <v>646</v>
      </c>
      <c r="C311" s="58" t="s">
        <v>16</v>
      </c>
      <c r="D311" s="58" t="s">
        <v>73</v>
      </c>
      <c r="E311" s="58">
        <v>8</v>
      </c>
      <c r="F311" s="1" t="e">
        <f>VLOOKUP(B311,Calculs!$B:$B,1,FALSE)</f>
        <v>#N/A</v>
      </c>
    </row>
    <row r="312" spans="2:6" hidden="1" x14ac:dyDescent="0.3">
      <c r="B312" s="58" t="s">
        <v>306</v>
      </c>
      <c r="C312" s="58" t="s">
        <v>15</v>
      </c>
      <c r="D312" s="58" t="s">
        <v>82</v>
      </c>
      <c r="E312" s="58">
        <v>8</v>
      </c>
      <c r="F312" s="1" t="e">
        <f>VLOOKUP(B312,Calculs!$B:$B,1,FALSE)</f>
        <v>#N/A</v>
      </c>
    </row>
    <row r="313" spans="2:6" hidden="1" x14ac:dyDescent="0.3">
      <c r="B313" s="58" t="s">
        <v>288</v>
      </c>
      <c r="C313" s="58" t="s">
        <v>16</v>
      </c>
      <c r="D313" s="58" t="s">
        <v>70</v>
      </c>
      <c r="E313" s="58">
        <v>8</v>
      </c>
      <c r="F313" s="1" t="e">
        <f>VLOOKUP(B313,Calculs!$B:$B,1,FALSE)</f>
        <v>#N/A</v>
      </c>
    </row>
    <row r="314" spans="2:6" ht="28.8" x14ac:dyDescent="0.3">
      <c r="B314" s="58" t="s">
        <v>445</v>
      </c>
      <c r="C314" s="58" t="s">
        <v>17</v>
      </c>
      <c r="D314" s="58" t="s">
        <v>74</v>
      </c>
      <c r="E314" s="58">
        <v>8</v>
      </c>
      <c r="F314" s="1" t="e">
        <f>VLOOKUP(B314,Calculs!$B:$B,1,FALSE)</f>
        <v>#N/A</v>
      </c>
    </row>
    <row r="315" spans="2:6" hidden="1" x14ac:dyDescent="0.3">
      <c r="B315" s="58" t="s">
        <v>259</v>
      </c>
      <c r="C315" s="58" t="s">
        <v>16</v>
      </c>
      <c r="D315" s="58" t="s">
        <v>71</v>
      </c>
      <c r="E315" s="58">
        <v>8</v>
      </c>
      <c r="F315" s="1" t="e">
        <f>VLOOKUP(B315,Calculs!$B:$B,1,FALSE)</f>
        <v>#N/A</v>
      </c>
    </row>
    <row r="316" spans="2:6" hidden="1" x14ac:dyDescent="0.3">
      <c r="B316" s="58" t="s">
        <v>446</v>
      </c>
      <c r="C316" s="58" t="s">
        <v>17</v>
      </c>
      <c r="D316" s="58" t="s">
        <v>81</v>
      </c>
      <c r="E316" s="58">
        <v>8</v>
      </c>
      <c r="F316" s="1" t="e">
        <f>VLOOKUP(B316,Calculs!$B:$B,1,FALSE)</f>
        <v>#N/A</v>
      </c>
    </row>
    <row r="317" spans="2:6" hidden="1" x14ac:dyDescent="0.3">
      <c r="B317" s="58" t="s">
        <v>447</v>
      </c>
      <c r="C317" s="58" t="s">
        <v>16</v>
      </c>
      <c r="D317" s="58" t="s">
        <v>81</v>
      </c>
      <c r="E317" s="58">
        <v>8</v>
      </c>
      <c r="F317" s="1" t="e">
        <f>VLOOKUP(B317,Calculs!$B:$B,1,FALSE)</f>
        <v>#N/A</v>
      </c>
    </row>
    <row r="318" spans="2:6" hidden="1" x14ac:dyDescent="0.3">
      <c r="B318" s="58" t="s">
        <v>169</v>
      </c>
      <c r="C318" s="58" t="s">
        <v>17</v>
      </c>
      <c r="D318" s="58" t="s">
        <v>68</v>
      </c>
      <c r="E318" s="58">
        <v>8</v>
      </c>
      <c r="F318" s="1" t="e">
        <f>VLOOKUP(B318,Calculs!$B:$B,1,FALSE)</f>
        <v>#N/A</v>
      </c>
    </row>
    <row r="319" spans="2:6" hidden="1" x14ac:dyDescent="0.3">
      <c r="B319" s="58" t="s">
        <v>136</v>
      </c>
      <c r="C319" s="58" t="s">
        <v>14</v>
      </c>
      <c r="D319" s="58" t="s">
        <v>63</v>
      </c>
      <c r="E319" s="58">
        <v>8</v>
      </c>
      <c r="F319" s="1" t="e">
        <f>VLOOKUP(B319,Calculs!$B:$B,1,FALSE)</f>
        <v>#N/A</v>
      </c>
    </row>
    <row r="320" spans="2:6" hidden="1" x14ac:dyDescent="0.3">
      <c r="B320" s="58" t="s">
        <v>296</v>
      </c>
      <c r="C320" s="58" t="s">
        <v>14</v>
      </c>
      <c r="D320" s="58" t="s">
        <v>73</v>
      </c>
      <c r="E320" s="58">
        <v>8</v>
      </c>
      <c r="F320" s="1" t="e">
        <f>VLOOKUP(B320,Calculs!$B:$B,1,FALSE)</f>
        <v>#N/A</v>
      </c>
    </row>
    <row r="321" spans="2:6" hidden="1" x14ac:dyDescent="0.3">
      <c r="B321" s="58" t="s">
        <v>102</v>
      </c>
      <c r="C321" s="58" t="s">
        <v>16</v>
      </c>
      <c r="D321" s="58" t="s">
        <v>62</v>
      </c>
      <c r="E321" s="58">
        <v>8</v>
      </c>
      <c r="F321" s="1" t="e">
        <f>VLOOKUP(B321,Calculs!$B:$B,1,FALSE)</f>
        <v>#N/A</v>
      </c>
    </row>
    <row r="322" spans="2:6" hidden="1" x14ac:dyDescent="0.3">
      <c r="B322" s="58" t="s">
        <v>448</v>
      </c>
      <c r="C322" s="58" t="s">
        <v>14</v>
      </c>
      <c r="D322" s="58" t="s">
        <v>59</v>
      </c>
      <c r="E322" s="58">
        <v>8</v>
      </c>
      <c r="F322" s="1" t="e">
        <f>VLOOKUP(B322,Calculs!$B:$B,1,FALSE)</f>
        <v>#N/A</v>
      </c>
    </row>
    <row r="323" spans="2:6" hidden="1" x14ac:dyDescent="0.3">
      <c r="B323" s="58" t="s">
        <v>449</v>
      </c>
      <c r="C323" s="58" t="s">
        <v>16</v>
      </c>
      <c r="D323" s="58" t="s">
        <v>355</v>
      </c>
      <c r="E323" s="58">
        <v>8</v>
      </c>
      <c r="F323" s="1" t="e">
        <f>VLOOKUP(B323,Calculs!$B:$B,1,FALSE)</f>
        <v>#N/A</v>
      </c>
    </row>
    <row r="324" spans="2:6" hidden="1" x14ac:dyDescent="0.3">
      <c r="B324" s="58" t="s">
        <v>450</v>
      </c>
      <c r="C324" s="58" t="s">
        <v>14</v>
      </c>
      <c r="D324" s="58" t="s">
        <v>70</v>
      </c>
      <c r="E324" s="58">
        <v>8</v>
      </c>
      <c r="F324" s="1" t="e">
        <f>VLOOKUP(B324,Calculs!$B:$B,1,FALSE)</f>
        <v>#N/A</v>
      </c>
    </row>
    <row r="325" spans="2:6" hidden="1" x14ac:dyDescent="0.3">
      <c r="B325" s="58" t="s">
        <v>112</v>
      </c>
      <c r="C325" s="58" t="s">
        <v>14</v>
      </c>
      <c r="D325" s="58" t="s">
        <v>60</v>
      </c>
      <c r="E325" s="58">
        <v>8</v>
      </c>
      <c r="F325" s="1" t="e">
        <f>VLOOKUP(B325,Calculs!$B:$B,1,FALSE)</f>
        <v>#N/A</v>
      </c>
    </row>
    <row r="326" spans="2:6" x14ac:dyDescent="0.3">
      <c r="B326" s="58" t="s">
        <v>451</v>
      </c>
      <c r="C326" s="58" t="s">
        <v>14</v>
      </c>
      <c r="D326" s="58" t="s">
        <v>62</v>
      </c>
      <c r="E326" s="58">
        <v>8</v>
      </c>
      <c r="F326" s="1" t="e">
        <f>VLOOKUP(B326,Calculs!$B:$B,1,FALSE)</f>
        <v>#N/A</v>
      </c>
    </row>
    <row r="327" spans="2:6" x14ac:dyDescent="0.3">
      <c r="B327" s="58" t="s">
        <v>656</v>
      </c>
      <c r="C327" s="58" t="s">
        <v>16</v>
      </c>
      <c r="D327" s="58" t="s">
        <v>72</v>
      </c>
      <c r="E327" s="58">
        <v>8</v>
      </c>
      <c r="F327" s="1" t="e">
        <f>VLOOKUP(B327,Calculs!$B:$B,1,FALSE)</f>
        <v>#N/A</v>
      </c>
    </row>
    <row r="328" spans="2:6" hidden="1" x14ac:dyDescent="0.3">
      <c r="B328" s="58" t="s">
        <v>452</v>
      </c>
      <c r="C328" s="58" t="s">
        <v>14</v>
      </c>
      <c r="D328" s="58" t="s">
        <v>63</v>
      </c>
      <c r="E328" s="58">
        <v>8</v>
      </c>
      <c r="F328" s="1" t="e">
        <f>VLOOKUP(B328,Calculs!$B:$B,1,FALSE)</f>
        <v>#N/A</v>
      </c>
    </row>
    <row r="329" spans="2:6" hidden="1" x14ac:dyDescent="0.3">
      <c r="B329" s="58" t="s">
        <v>267</v>
      </c>
      <c r="C329" s="58" t="s">
        <v>14</v>
      </c>
      <c r="D329" s="58" t="s">
        <v>64</v>
      </c>
      <c r="E329" s="58">
        <v>8</v>
      </c>
      <c r="F329" s="1" t="e">
        <f>VLOOKUP(B329,Calculs!$B:$B,1,FALSE)</f>
        <v>#N/A</v>
      </c>
    </row>
    <row r="330" spans="2:6" hidden="1" x14ac:dyDescent="0.3">
      <c r="B330" s="58" t="s">
        <v>133</v>
      </c>
      <c r="C330" s="58" t="s">
        <v>17</v>
      </c>
      <c r="D330" s="58" t="s">
        <v>63</v>
      </c>
      <c r="E330" s="58">
        <v>8</v>
      </c>
      <c r="F330" s="1" t="e">
        <f>VLOOKUP(B330,Calculs!$B:$B,1,FALSE)</f>
        <v>#N/A</v>
      </c>
    </row>
    <row r="331" spans="2:6" hidden="1" x14ac:dyDescent="0.3">
      <c r="B331" s="58" t="s">
        <v>141</v>
      </c>
      <c r="C331" s="58" t="s">
        <v>14</v>
      </c>
      <c r="D331" s="58" t="s">
        <v>63</v>
      </c>
      <c r="E331" s="58">
        <v>8</v>
      </c>
      <c r="F331" s="1" t="e">
        <f>VLOOKUP(B331,Calculs!$B:$B,1,FALSE)</f>
        <v>#N/A</v>
      </c>
    </row>
    <row r="332" spans="2:6" hidden="1" x14ac:dyDescent="0.3">
      <c r="B332" s="58" t="s">
        <v>453</v>
      </c>
      <c r="C332" s="58" t="s">
        <v>16</v>
      </c>
      <c r="D332" s="58" t="s">
        <v>71</v>
      </c>
      <c r="E332" s="58">
        <v>8</v>
      </c>
      <c r="F332" s="1" t="e">
        <f>VLOOKUP(B332,Calculs!$B:$B,1,FALSE)</f>
        <v>#N/A</v>
      </c>
    </row>
    <row r="333" spans="2:6" hidden="1" x14ac:dyDescent="0.3">
      <c r="B333" s="58" t="s">
        <v>454</v>
      </c>
      <c r="C333" s="58" t="s">
        <v>14</v>
      </c>
      <c r="D333" s="58" t="s">
        <v>68</v>
      </c>
      <c r="E333" s="58">
        <v>8</v>
      </c>
      <c r="F333" s="1" t="e">
        <f>VLOOKUP(B333,Calculs!$B:$B,1,FALSE)</f>
        <v>#N/A</v>
      </c>
    </row>
    <row r="334" spans="2:6" hidden="1" x14ac:dyDescent="0.3">
      <c r="B334" s="58" t="s">
        <v>644</v>
      </c>
      <c r="C334" s="58" t="s">
        <v>14</v>
      </c>
      <c r="D334" s="58" t="s">
        <v>61</v>
      </c>
      <c r="E334" s="58">
        <v>7</v>
      </c>
      <c r="F334" s="1" t="e">
        <f>VLOOKUP(B334,Calculs!$B:$B,1,FALSE)</f>
        <v>#N/A</v>
      </c>
    </row>
    <row r="335" spans="2:6" hidden="1" x14ac:dyDescent="0.3">
      <c r="B335" s="58" t="s">
        <v>230</v>
      </c>
      <c r="C335" s="58" t="s">
        <v>14</v>
      </c>
      <c r="D335" s="58" t="s">
        <v>74</v>
      </c>
      <c r="E335" s="58">
        <v>7</v>
      </c>
      <c r="F335" s="1" t="e">
        <f>VLOOKUP(B335,Calculs!$B:$B,1,FALSE)</f>
        <v>#N/A</v>
      </c>
    </row>
    <row r="336" spans="2:6" hidden="1" x14ac:dyDescent="0.3">
      <c r="B336" s="58" t="s">
        <v>209</v>
      </c>
      <c r="C336" s="58" t="s">
        <v>17</v>
      </c>
      <c r="D336" s="58" t="s">
        <v>67</v>
      </c>
      <c r="E336" s="58">
        <v>7</v>
      </c>
      <c r="F336" s="1" t="e">
        <f>VLOOKUP(B336,Calculs!$B:$B,1,FALSE)</f>
        <v>#N/A</v>
      </c>
    </row>
    <row r="337" spans="2:6" hidden="1" x14ac:dyDescent="0.3">
      <c r="B337" s="58" t="s">
        <v>297</v>
      </c>
      <c r="C337" s="58" t="s">
        <v>14</v>
      </c>
      <c r="D337" s="58" t="s">
        <v>73</v>
      </c>
      <c r="E337" s="58">
        <v>7</v>
      </c>
      <c r="F337" s="1" t="e">
        <f>VLOOKUP(B337,Calculs!$B:$B,1,FALSE)</f>
        <v>#N/A</v>
      </c>
    </row>
    <row r="338" spans="2:6" hidden="1" x14ac:dyDescent="0.3">
      <c r="B338" s="58" t="s">
        <v>455</v>
      </c>
      <c r="C338" s="58" t="s">
        <v>14</v>
      </c>
      <c r="D338" s="58" t="s">
        <v>68</v>
      </c>
      <c r="E338" s="58">
        <v>7</v>
      </c>
      <c r="F338" s="1" t="e">
        <f>VLOOKUP(B338,Calculs!$B:$B,1,FALSE)</f>
        <v>#N/A</v>
      </c>
    </row>
    <row r="339" spans="2:6" hidden="1" x14ac:dyDescent="0.3">
      <c r="B339" s="58" t="s">
        <v>199</v>
      </c>
      <c r="C339" s="58" t="s">
        <v>14</v>
      </c>
      <c r="D339" s="58" t="s">
        <v>65</v>
      </c>
      <c r="E339" s="58">
        <v>7</v>
      </c>
      <c r="F339" s="1" t="e">
        <f>VLOOKUP(B339,Calculs!$B:$B,1,FALSE)</f>
        <v>#N/A</v>
      </c>
    </row>
    <row r="340" spans="2:6" x14ac:dyDescent="0.3">
      <c r="B340" s="58" t="s">
        <v>456</v>
      </c>
      <c r="C340" s="58" t="s">
        <v>15</v>
      </c>
      <c r="D340" s="58" t="s">
        <v>70</v>
      </c>
      <c r="E340" s="58">
        <v>7</v>
      </c>
      <c r="F340" s="1" t="e">
        <f>VLOOKUP(B340,Calculs!$B:$B,1,FALSE)</f>
        <v>#N/A</v>
      </c>
    </row>
    <row r="341" spans="2:6" hidden="1" x14ac:dyDescent="0.3">
      <c r="B341" s="58" t="s">
        <v>135</v>
      </c>
      <c r="C341" s="58" t="s">
        <v>17</v>
      </c>
      <c r="D341" s="58" t="s">
        <v>63</v>
      </c>
      <c r="E341" s="58">
        <v>7</v>
      </c>
      <c r="F341" s="1" t="e">
        <f>VLOOKUP(B341,Calculs!$B:$B,1,FALSE)</f>
        <v>#N/A</v>
      </c>
    </row>
    <row r="342" spans="2:6" hidden="1" x14ac:dyDescent="0.3">
      <c r="B342" s="58" t="s">
        <v>200</v>
      </c>
      <c r="C342" s="58" t="s">
        <v>14</v>
      </c>
      <c r="D342" s="58" t="s">
        <v>65</v>
      </c>
      <c r="E342" s="58">
        <v>7</v>
      </c>
      <c r="F342" s="1" t="e">
        <f>VLOOKUP(B342,Calculs!$B:$B,1,FALSE)</f>
        <v>#N/A</v>
      </c>
    </row>
    <row r="343" spans="2:6" hidden="1" x14ac:dyDescent="0.3">
      <c r="B343" s="58" t="s">
        <v>190</v>
      </c>
      <c r="C343" s="58" t="s">
        <v>16</v>
      </c>
      <c r="D343" s="58" t="s">
        <v>66</v>
      </c>
      <c r="E343" s="58">
        <v>7</v>
      </c>
      <c r="F343" s="1" t="e">
        <f>VLOOKUP(B343,Calculs!$B:$B,1,FALSE)</f>
        <v>#N/A</v>
      </c>
    </row>
    <row r="344" spans="2:6" hidden="1" x14ac:dyDescent="0.3">
      <c r="B344" s="58" t="s">
        <v>292</v>
      </c>
      <c r="C344" s="58" t="s">
        <v>17</v>
      </c>
      <c r="D344" s="58" t="s">
        <v>73</v>
      </c>
      <c r="E344" s="58">
        <v>7</v>
      </c>
      <c r="F344" s="1" t="e">
        <f>VLOOKUP(B344,Calculs!$B:$B,1,FALSE)</f>
        <v>#N/A</v>
      </c>
    </row>
    <row r="345" spans="2:6" hidden="1" x14ac:dyDescent="0.3">
      <c r="B345" s="58" t="s">
        <v>335</v>
      </c>
      <c r="C345" s="58" t="s">
        <v>17</v>
      </c>
      <c r="D345" s="58" t="s">
        <v>63</v>
      </c>
      <c r="E345" s="58">
        <v>7</v>
      </c>
      <c r="F345" s="1" t="e">
        <f>VLOOKUP(B345,Calculs!$B:$B,1,FALSE)</f>
        <v>#N/A</v>
      </c>
    </row>
    <row r="346" spans="2:6" hidden="1" x14ac:dyDescent="0.3">
      <c r="B346" s="58" t="s">
        <v>312</v>
      </c>
      <c r="C346" s="58" t="s">
        <v>14</v>
      </c>
      <c r="D346" s="58" t="s">
        <v>82</v>
      </c>
      <c r="E346" s="58">
        <v>7</v>
      </c>
      <c r="F346" s="1" t="e">
        <f>VLOOKUP(B346,Calculs!$B:$B,1,FALSE)</f>
        <v>#N/A</v>
      </c>
    </row>
    <row r="347" spans="2:6" x14ac:dyDescent="0.3">
      <c r="B347" s="58" t="s">
        <v>457</v>
      </c>
      <c r="C347" s="58" t="s">
        <v>16</v>
      </c>
      <c r="D347" s="58" t="s">
        <v>68</v>
      </c>
      <c r="E347" s="58">
        <v>7</v>
      </c>
      <c r="F347" s="1" t="e">
        <f>VLOOKUP(B347,Calculs!$B:$B,1,FALSE)</f>
        <v>#N/A</v>
      </c>
    </row>
    <row r="348" spans="2:6" hidden="1" x14ac:dyDescent="0.3">
      <c r="B348" s="58" t="s">
        <v>329</v>
      </c>
      <c r="C348" s="58" t="s">
        <v>17</v>
      </c>
      <c r="D348" s="58" t="s">
        <v>66</v>
      </c>
      <c r="E348" s="58">
        <v>7</v>
      </c>
      <c r="F348" s="1" t="e">
        <f>VLOOKUP(B348,Calculs!$B:$B,1,FALSE)</f>
        <v>#N/A</v>
      </c>
    </row>
    <row r="349" spans="2:6" hidden="1" x14ac:dyDescent="0.3">
      <c r="B349" s="58" t="s">
        <v>77</v>
      </c>
      <c r="C349" s="58" t="s">
        <v>17</v>
      </c>
      <c r="D349" s="58" t="s">
        <v>59</v>
      </c>
      <c r="E349" s="58">
        <v>7</v>
      </c>
      <c r="F349" s="1" t="e">
        <f>VLOOKUP(B349,Calculs!$B:$B,1,FALSE)</f>
        <v>#N/A</v>
      </c>
    </row>
    <row r="350" spans="2:6" hidden="1" x14ac:dyDescent="0.3">
      <c r="B350" s="58" t="s">
        <v>458</v>
      </c>
      <c r="C350" s="58" t="s">
        <v>16</v>
      </c>
      <c r="D350" s="58" t="s">
        <v>59</v>
      </c>
      <c r="E350" s="58">
        <v>7</v>
      </c>
      <c r="F350" s="1" t="e">
        <f>VLOOKUP(B350,Calculs!$B:$B,1,FALSE)</f>
        <v>#N/A</v>
      </c>
    </row>
    <row r="351" spans="2:6" x14ac:dyDescent="0.3">
      <c r="B351" s="58" t="s">
        <v>459</v>
      </c>
      <c r="C351" s="58" t="s">
        <v>14</v>
      </c>
      <c r="D351" s="58" t="s">
        <v>64</v>
      </c>
      <c r="E351" s="58">
        <v>7</v>
      </c>
      <c r="F351" s="1" t="e">
        <f>VLOOKUP(B351,Calculs!$B:$B,1,FALSE)</f>
        <v>#N/A</v>
      </c>
    </row>
    <row r="352" spans="2:6" x14ac:dyDescent="0.3">
      <c r="B352" s="58" t="s">
        <v>460</v>
      </c>
      <c r="C352" s="58" t="s">
        <v>17</v>
      </c>
      <c r="D352" s="58" t="s">
        <v>355</v>
      </c>
      <c r="E352" s="58">
        <v>7</v>
      </c>
      <c r="F352" s="1" t="e">
        <f>VLOOKUP(B352,Calculs!$B:$B,1,FALSE)</f>
        <v>#N/A</v>
      </c>
    </row>
    <row r="353" spans="2:6" x14ac:dyDescent="0.3">
      <c r="B353" s="58" t="s">
        <v>660</v>
      </c>
      <c r="C353" s="58" t="s">
        <v>17</v>
      </c>
      <c r="D353" s="58" t="s">
        <v>74</v>
      </c>
      <c r="E353" s="58">
        <v>7</v>
      </c>
      <c r="F353" s="1" t="e">
        <f>VLOOKUP(B353,Calculs!$B:$B,1,FALSE)</f>
        <v>#N/A</v>
      </c>
    </row>
    <row r="354" spans="2:6" hidden="1" x14ac:dyDescent="0.3">
      <c r="B354" s="58" t="s">
        <v>145</v>
      </c>
      <c r="C354" s="58" t="s">
        <v>16</v>
      </c>
      <c r="D354" s="58" t="s">
        <v>63</v>
      </c>
      <c r="E354" s="58">
        <v>7</v>
      </c>
      <c r="F354" s="1" t="e">
        <f>VLOOKUP(B354,Calculs!$B:$B,1,FALSE)</f>
        <v>#N/A</v>
      </c>
    </row>
    <row r="355" spans="2:6" hidden="1" x14ac:dyDescent="0.3">
      <c r="B355" s="58" t="s">
        <v>461</v>
      </c>
      <c r="C355" s="58" t="s">
        <v>14</v>
      </c>
      <c r="D355" s="58" t="s">
        <v>82</v>
      </c>
      <c r="E355" s="58">
        <v>7</v>
      </c>
      <c r="F355" s="1" t="e">
        <f>VLOOKUP(B355,Calculs!$B:$B,1,FALSE)</f>
        <v>#N/A</v>
      </c>
    </row>
    <row r="356" spans="2:6" hidden="1" x14ac:dyDescent="0.3">
      <c r="B356" s="58" t="s">
        <v>215</v>
      </c>
      <c r="C356" s="58" t="s">
        <v>14</v>
      </c>
      <c r="D356" s="58" t="s">
        <v>67</v>
      </c>
      <c r="E356" s="58">
        <v>7</v>
      </c>
      <c r="F356" s="1" t="e">
        <f>VLOOKUP(B356,Calculs!$B:$B,1,FALSE)</f>
        <v>#N/A</v>
      </c>
    </row>
    <row r="357" spans="2:6" x14ac:dyDescent="0.3">
      <c r="B357" s="58" t="s">
        <v>50</v>
      </c>
      <c r="C357" s="58" t="s">
        <v>16</v>
      </c>
      <c r="D357" s="58" t="s">
        <v>59</v>
      </c>
      <c r="E357" s="58">
        <v>7</v>
      </c>
      <c r="F357" s="1" t="e">
        <f>VLOOKUP(B357,Calculs!$B:$B,1,FALSE)</f>
        <v>#N/A</v>
      </c>
    </row>
    <row r="358" spans="2:6" hidden="1" x14ac:dyDescent="0.3">
      <c r="B358" s="58" t="s">
        <v>120</v>
      </c>
      <c r="C358" s="58" t="s">
        <v>17</v>
      </c>
      <c r="D358" s="58" t="s">
        <v>59</v>
      </c>
      <c r="E358" s="58">
        <v>7</v>
      </c>
      <c r="F358" s="1" t="e">
        <f>VLOOKUP(B358,Calculs!$B:$B,1,FALSE)</f>
        <v>#N/A</v>
      </c>
    </row>
    <row r="359" spans="2:6" hidden="1" x14ac:dyDescent="0.3">
      <c r="B359" s="58" t="s">
        <v>633</v>
      </c>
      <c r="C359" s="58" t="s">
        <v>14</v>
      </c>
      <c r="D359" s="58" t="s">
        <v>59</v>
      </c>
      <c r="E359" s="58">
        <v>7</v>
      </c>
      <c r="F359" s="1" t="e">
        <f>VLOOKUP(B359,Calculs!$B:$B,1,FALSE)</f>
        <v>#N/A</v>
      </c>
    </row>
    <row r="360" spans="2:6" hidden="1" x14ac:dyDescent="0.3">
      <c r="B360" s="58" t="s">
        <v>462</v>
      </c>
      <c r="C360" s="58" t="s">
        <v>17</v>
      </c>
      <c r="D360" s="58" t="s">
        <v>66</v>
      </c>
      <c r="E360" s="58">
        <v>7</v>
      </c>
      <c r="F360" s="1" t="e">
        <f>VLOOKUP(B360,Calculs!$B:$B,1,FALSE)</f>
        <v>#N/A</v>
      </c>
    </row>
    <row r="361" spans="2:6" hidden="1" x14ac:dyDescent="0.3">
      <c r="B361" s="58" t="s">
        <v>463</v>
      </c>
      <c r="C361" s="58" t="s">
        <v>16</v>
      </c>
      <c r="D361" s="58" t="s">
        <v>63</v>
      </c>
      <c r="E361" s="58">
        <v>7</v>
      </c>
      <c r="F361" s="1" t="e">
        <f>VLOOKUP(B361,Calculs!$B:$B,1,FALSE)</f>
        <v>#N/A</v>
      </c>
    </row>
    <row r="362" spans="2:6" hidden="1" x14ac:dyDescent="0.3">
      <c r="B362" s="58" t="s">
        <v>632</v>
      </c>
      <c r="C362" s="58" t="s">
        <v>17</v>
      </c>
      <c r="D362" s="58" t="s">
        <v>60</v>
      </c>
      <c r="E362" s="58">
        <v>7</v>
      </c>
      <c r="F362" s="1" t="e">
        <f>VLOOKUP(B362,Calculs!$B:$B,1,FALSE)</f>
        <v>#N/A</v>
      </c>
    </row>
    <row r="363" spans="2:6" hidden="1" x14ac:dyDescent="0.3">
      <c r="B363" s="58" t="s">
        <v>464</v>
      </c>
      <c r="C363" s="58" t="s">
        <v>14</v>
      </c>
      <c r="D363" s="58" t="s">
        <v>355</v>
      </c>
      <c r="E363" s="58">
        <v>7</v>
      </c>
      <c r="F363" s="1" t="e">
        <f>VLOOKUP(B363,Calculs!$B:$B,1,FALSE)</f>
        <v>#N/A</v>
      </c>
    </row>
    <row r="364" spans="2:6" x14ac:dyDescent="0.3">
      <c r="B364" s="58" t="s">
        <v>465</v>
      </c>
      <c r="C364" s="58" t="s">
        <v>16</v>
      </c>
      <c r="D364" s="58" t="s">
        <v>65</v>
      </c>
      <c r="E364" s="58">
        <v>7</v>
      </c>
      <c r="F364" s="1" t="e">
        <f>VLOOKUP(B364,Calculs!$B:$B,1,FALSE)</f>
        <v>#N/A</v>
      </c>
    </row>
    <row r="365" spans="2:6" hidden="1" x14ac:dyDescent="0.3">
      <c r="B365" s="58" t="s">
        <v>466</v>
      </c>
      <c r="C365" s="58" t="s">
        <v>16</v>
      </c>
      <c r="D365" s="58" t="s">
        <v>69</v>
      </c>
      <c r="E365" s="58">
        <v>7</v>
      </c>
      <c r="F365" s="1" t="e">
        <f>VLOOKUP(B365,Calculs!$B:$B,1,FALSE)</f>
        <v>#N/A</v>
      </c>
    </row>
    <row r="366" spans="2:6" hidden="1" x14ac:dyDescent="0.3">
      <c r="B366" s="58" t="s">
        <v>326</v>
      </c>
      <c r="C366" s="58" t="s">
        <v>16</v>
      </c>
      <c r="D366" s="58" t="s">
        <v>74</v>
      </c>
      <c r="E366" s="58">
        <v>7</v>
      </c>
      <c r="F366" s="1" t="e">
        <f>VLOOKUP(B366,Calculs!$B:$B,1,FALSE)</f>
        <v>#N/A</v>
      </c>
    </row>
    <row r="367" spans="2:6" hidden="1" x14ac:dyDescent="0.3">
      <c r="B367" s="58" t="s">
        <v>174</v>
      </c>
      <c r="C367" s="58" t="s">
        <v>14</v>
      </c>
      <c r="D367" s="58" t="s">
        <v>68</v>
      </c>
      <c r="E367" s="58">
        <v>7</v>
      </c>
      <c r="F367" s="1" t="e">
        <f>VLOOKUP(B367,Calculs!$B:$B,1,FALSE)</f>
        <v>#N/A</v>
      </c>
    </row>
    <row r="368" spans="2:6" x14ac:dyDescent="0.3">
      <c r="B368" s="58" t="s">
        <v>653</v>
      </c>
      <c r="C368" s="58" t="s">
        <v>14</v>
      </c>
      <c r="D368" s="58" t="s">
        <v>61</v>
      </c>
      <c r="E368" s="58">
        <v>7</v>
      </c>
      <c r="F368" s="1" t="e">
        <f>VLOOKUP(B368,Calculs!$B:$B,1,FALSE)</f>
        <v>#N/A</v>
      </c>
    </row>
    <row r="369" spans="2:6" x14ac:dyDescent="0.3">
      <c r="B369" s="58" t="s">
        <v>467</v>
      </c>
      <c r="C369" s="58" t="s">
        <v>17</v>
      </c>
      <c r="D369" s="58" t="s">
        <v>72</v>
      </c>
      <c r="E369" s="58">
        <v>7</v>
      </c>
      <c r="F369" s="1" t="e">
        <f>VLOOKUP(B369,Calculs!$B:$B,1,FALSE)</f>
        <v>#N/A</v>
      </c>
    </row>
    <row r="370" spans="2:6" hidden="1" x14ac:dyDescent="0.3">
      <c r="B370" s="58" t="s">
        <v>468</v>
      </c>
      <c r="C370" s="58" t="s">
        <v>14</v>
      </c>
      <c r="D370" s="58" t="s">
        <v>67</v>
      </c>
      <c r="E370" s="58">
        <v>7</v>
      </c>
      <c r="F370" s="1" t="e">
        <f>VLOOKUP(B370,Calculs!$B:$B,1,FALSE)</f>
        <v>#N/A</v>
      </c>
    </row>
    <row r="371" spans="2:6" hidden="1" x14ac:dyDescent="0.3">
      <c r="B371" s="58" t="s">
        <v>167</v>
      </c>
      <c r="C371" s="58" t="s">
        <v>15</v>
      </c>
      <c r="D371" s="58" t="s">
        <v>68</v>
      </c>
      <c r="E371" s="58">
        <v>7</v>
      </c>
      <c r="F371" s="1" t="e">
        <f>VLOOKUP(B371,Calculs!$B:$B,1,FALSE)</f>
        <v>#N/A</v>
      </c>
    </row>
    <row r="372" spans="2:6" hidden="1" x14ac:dyDescent="0.3">
      <c r="B372" s="58" t="s">
        <v>187</v>
      </c>
      <c r="C372" s="58" t="s">
        <v>14</v>
      </c>
      <c r="D372" s="58" t="s">
        <v>66</v>
      </c>
      <c r="E372" s="58">
        <v>7</v>
      </c>
      <c r="F372" s="1" t="e">
        <f>VLOOKUP(B372,Calculs!$B:$B,1,FALSE)</f>
        <v>#N/A</v>
      </c>
    </row>
    <row r="373" spans="2:6" hidden="1" x14ac:dyDescent="0.3">
      <c r="B373" s="58" t="s">
        <v>239</v>
      </c>
      <c r="C373" s="58" t="s">
        <v>17</v>
      </c>
      <c r="D373" s="58" t="s">
        <v>61</v>
      </c>
      <c r="E373" s="58">
        <v>7</v>
      </c>
      <c r="F373" s="1" t="e">
        <f>VLOOKUP(B373,Calculs!$B:$B,1,FALSE)</f>
        <v>#N/A</v>
      </c>
    </row>
    <row r="374" spans="2:6" hidden="1" x14ac:dyDescent="0.3">
      <c r="B374" s="58" t="s">
        <v>314</v>
      </c>
      <c r="C374" s="58" t="s">
        <v>16</v>
      </c>
      <c r="D374" s="58" t="s">
        <v>82</v>
      </c>
      <c r="E374" s="58">
        <v>7</v>
      </c>
      <c r="F374" s="1" t="e">
        <f>VLOOKUP(B374,Calculs!$B:$B,1,FALSE)</f>
        <v>#N/A</v>
      </c>
    </row>
    <row r="375" spans="2:6" hidden="1" x14ac:dyDescent="0.3">
      <c r="B375" s="58" t="s">
        <v>196</v>
      </c>
      <c r="C375" s="58" t="s">
        <v>17</v>
      </c>
      <c r="D375" s="58" t="s">
        <v>65</v>
      </c>
      <c r="E375" s="58">
        <v>7</v>
      </c>
      <c r="F375" s="1" t="e">
        <f>VLOOKUP(B375,Calculs!$B:$B,1,FALSE)</f>
        <v>#N/A</v>
      </c>
    </row>
    <row r="376" spans="2:6" hidden="1" x14ac:dyDescent="0.3">
      <c r="B376" s="58" t="s">
        <v>108</v>
      </c>
      <c r="C376" s="58" t="s">
        <v>17</v>
      </c>
      <c r="D376" s="58" t="s">
        <v>60</v>
      </c>
      <c r="E376" s="58">
        <v>7</v>
      </c>
      <c r="F376" s="1" t="e">
        <f>VLOOKUP(B376,Calculs!$B:$B,1,FALSE)</f>
        <v>#N/A</v>
      </c>
    </row>
    <row r="377" spans="2:6" hidden="1" x14ac:dyDescent="0.3">
      <c r="B377" s="58" t="s">
        <v>469</v>
      </c>
      <c r="C377" s="58" t="s">
        <v>14</v>
      </c>
      <c r="D377" s="58" t="s">
        <v>360</v>
      </c>
      <c r="E377" s="58">
        <v>7</v>
      </c>
      <c r="F377" s="1" t="e">
        <f>VLOOKUP(B377,Calculs!$B:$B,1,FALSE)</f>
        <v>#N/A</v>
      </c>
    </row>
    <row r="378" spans="2:6" hidden="1" x14ac:dyDescent="0.3">
      <c r="B378" s="58" t="s">
        <v>210</v>
      </c>
      <c r="C378" s="58" t="s">
        <v>17</v>
      </c>
      <c r="D378" s="58" t="s">
        <v>67</v>
      </c>
      <c r="E378" s="58">
        <v>7</v>
      </c>
      <c r="F378" s="1" t="e">
        <f>VLOOKUP(B378,Calculs!$B:$B,1,FALSE)</f>
        <v>#N/A</v>
      </c>
    </row>
    <row r="379" spans="2:6" x14ac:dyDescent="0.3">
      <c r="B379" s="58" t="s">
        <v>470</v>
      </c>
      <c r="C379" s="58" t="s">
        <v>15</v>
      </c>
      <c r="D379" s="58" t="s">
        <v>71</v>
      </c>
      <c r="E379" s="58">
        <v>7</v>
      </c>
      <c r="F379" s="1" t="e">
        <f>VLOOKUP(B379,Calculs!$B:$B,1,FALSE)</f>
        <v>#N/A</v>
      </c>
    </row>
    <row r="380" spans="2:6" hidden="1" x14ac:dyDescent="0.3">
      <c r="B380" s="58" t="s">
        <v>471</v>
      </c>
      <c r="C380" s="58" t="s">
        <v>14</v>
      </c>
      <c r="D380" s="58" t="s">
        <v>82</v>
      </c>
      <c r="E380" s="58">
        <v>7</v>
      </c>
      <c r="F380" s="1" t="e">
        <f>VLOOKUP(B380,Calculs!$B:$B,1,FALSE)</f>
        <v>#N/A</v>
      </c>
    </row>
    <row r="381" spans="2:6" hidden="1" x14ac:dyDescent="0.3">
      <c r="B381" s="58" t="s">
        <v>472</v>
      </c>
      <c r="C381" s="58" t="s">
        <v>17</v>
      </c>
      <c r="D381" s="58" t="s">
        <v>70</v>
      </c>
      <c r="E381" s="58">
        <v>6</v>
      </c>
      <c r="F381" s="1" t="e">
        <f>VLOOKUP(B381,Calculs!$B:$B,1,FALSE)</f>
        <v>#N/A</v>
      </c>
    </row>
    <row r="382" spans="2:6" x14ac:dyDescent="0.3">
      <c r="B382" s="58" t="s">
        <v>473</v>
      </c>
      <c r="C382" s="58" t="s">
        <v>17</v>
      </c>
      <c r="D382" s="58" t="s">
        <v>73</v>
      </c>
      <c r="E382" s="58">
        <v>6</v>
      </c>
      <c r="F382" s="1" t="e">
        <f>VLOOKUP(B382,Calculs!$B:$B,1,FALSE)</f>
        <v>#N/A</v>
      </c>
    </row>
    <row r="383" spans="2:6" hidden="1" x14ac:dyDescent="0.3">
      <c r="B383" s="58" t="s">
        <v>282</v>
      </c>
      <c r="C383" s="58" t="s">
        <v>17</v>
      </c>
      <c r="D383" s="58" t="s">
        <v>70</v>
      </c>
      <c r="E383" s="58">
        <v>6</v>
      </c>
      <c r="F383" s="1" t="e">
        <f>VLOOKUP(B383,Calculs!$B:$B,1,FALSE)</f>
        <v>#N/A</v>
      </c>
    </row>
    <row r="384" spans="2:6" hidden="1" x14ac:dyDescent="0.3">
      <c r="B384" s="58" t="s">
        <v>474</v>
      </c>
      <c r="C384" s="58" t="s">
        <v>14</v>
      </c>
      <c r="D384" s="58" t="s">
        <v>59</v>
      </c>
      <c r="E384" s="58">
        <v>6</v>
      </c>
      <c r="F384" s="1" t="e">
        <f>VLOOKUP(B384,Calculs!$B:$B,1,FALSE)</f>
        <v>#N/A</v>
      </c>
    </row>
    <row r="385" spans="2:6" hidden="1" x14ac:dyDescent="0.3">
      <c r="B385" s="58" t="s">
        <v>475</v>
      </c>
      <c r="C385" s="58" t="s">
        <v>17</v>
      </c>
      <c r="D385" s="58" t="s">
        <v>73</v>
      </c>
      <c r="E385" s="58">
        <v>6</v>
      </c>
      <c r="F385" s="1" t="e">
        <f>VLOOKUP(B385,Calculs!$B:$B,1,FALSE)</f>
        <v>#N/A</v>
      </c>
    </row>
    <row r="386" spans="2:6" hidden="1" x14ac:dyDescent="0.3">
      <c r="B386" s="58" t="s">
        <v>476</v>
      </c>
      <c r="C386" s="58" t="s">
        <v>17</v>
      </c>
      <c r="D386" s="58" t="s">
        <v>72</v>
      </c>
      <c r="E386" s="58">
        <v>6</v>
      </c>
      <c r="F386" s="1" t="e">
        <f>VLOOKUP(B386,Calculs!$B:$B,1,FALSE)</f>
        <v>#N/A</v>
      </c>
    </row>
    <row r="387" spans="2:6" x14ac:dyDescent="0.3">
      <c r="B387" s="58" t="s">
        <v>477</v>
      </c>
      <c r="C387" s="58" t="s">
        <v>17</v>
      </c>
      <c r="D387" s="58" t="s">
        <v>67</v>
      </c>
      <c r="E387" s="58">
        <v>6</v>
      </c>
      <c r="F387" s="1" t="e">
        <f>VLOOKUP(B387,Calculs!$B:$B,1,FALSE)</f>
        <v>#N/A</v>
      </c>
    </row>
    <row r="388" spans="2:6" hidden="1" x14ac:dyDescent="0.3">
      <c r="B388" s="58" t="s">
        <v>478</v>
      </c>
      <c r="C388" s="58" t="s">
        <v>14</v>
      </c>
      <c r="D388" s="58" t="s">
        <v>355</v>
      </c>
      <c r="E388" s="58">
        <v>6</v>
      </c>
      <c r="F388" s="1" t="e">
        <f>VLOOKUP(B388,Calculs!$B:$B,1,FALSE)</f>
        <v>#N/A</v>
      </c>
    </row>
    <row r="389" spans="2:6" hidden="1" x14ac:dyDescent="0.3">
      <c r="B389" s="58" t="s">
        <v>186</v>
      </c>
      <c r="C389" s="58" t="s">
        <v>14</v>
      </c>
      <c r="D389" s="58" t="s">
        <v>66</v>
      </c>
      <c r="E389" s="58">
        <v>6</v>
      </c>
      <c r="F389" s="1" t="e">
        <f>VLOOKUP(B389,Calculs!$B:$B,1,FALSE)</f>
        <v>#N/A</v>
      </c>
    </row>
    <row r="390" spans="2:6" hidden="1" x14ac:dyDescent="0.3">
      <c r="B390" s="58" t="s">
        <v>221</v>
      </c>
      <c r="C390" s="58" t="s">
        <v>15</v>
      </c>
      <c r="D390" s="58" t="s">
        <v>74</v>
      </c>
      <c r="E390" s="58">
        <v>6</v>
      </c>
      <c r="F390" s="1" t="e">
        <f>VLOOKUP(B390,Calculs!$B:$B,1,FALSE)</f>
        <v>#N/A</v>
      </c>
    </row>
    <row r="391" spans="2:6" hidden="1" x14ac:dyDescent="0.3">
      <c r="B391" s="58" t="s">
        <v>212</v>
      </c>
      <c r="C391" s="58" t="s">
        <v>14</v>
      </c>
      <c r="D391" s="58" t="s">
        <v>360</v>
      </c>
      <c r="E391" s="58">
        <v>6</v>
      </c>
      <c r="F391" s="1" t="e">
        <f>VLOOKUP(B391,Calculs!$B:$B,1,FALSE)</f>
        <v>#N/A</v>
      </c>
    </row>
    <row r="392" spans="2:6" hidden="1" x14ac:dyDescent="0.3">
      <c r="B392" s="58" t="s">
        <v>109</v>
      </c>
      <c r="C392" s="58" t="s">
        <v>14</v>
      </c>
      <c r="D392" s="58" t="s">
        <v>60</v>
      </c>
      <c r="E392" s="58">
        <v>6</v>
      </c>
      <c r="F392" s="1" t="e">
        <f>VLOOKUP(B392,Calculs!$B:$B,1,FALSE)</f>
        <v>#N/A</v>
      </c>
    </row>
    <row r="393" spans="2:6" hidden="1" x14ac:dyDescent="0.3">
      <c r="B393" s="58" t="s">
        <v>479</v>
      </c>
      <c r="C393" s="58" t="s">
        <v>17</v>
      </c>
      <c r="D393" s="58" t="s">
        <v>360</v>
      </c>
      <c r="E393" s="58">
        <v>6</v>
      </c>
      <c r="F393" s="1" t="e">
        <f>VLOOKUP(B393,Calculs!$B:$B,1,FALSE)</f>
        <v>#N/A</v>
      </c>
    </row>
    <row r="394" spans="2:6" hidden="1" x14ac:dyDescent="0.3">
      <c r="B394" s="58" t="s">
        <v>232</v>
      </c>
      <c r="C394" s="58" t="s">
        <v>14</v>
      </c>
      <c r="D394" s="58" t="s">
        <v>74</v>
      </c>
      <c r="E394" s="58">
        <v>6</v>
      </c>
      <c r="F394" s="1" t="e">
        <f>VLOOKUP(B394,Calculs!$B:$B,1,FALSE)</f>
        <v>#N/A</v>
      </c>
    </row>
    <row r="395" spans="2:6" hidden="1" x14ac:dyDescent="0.3">
      <c r="B395" s="58" t="s">
        <v>158</v>
      </c>
      <c r="C395" s="58" t="s">
        <v>15</v>
      </c>
      <c r="D395" s="58" t="s">
        <v>72</v>
      </c>
      <c r="E395" s="58">
        <v>6</v>
      </c>
      <c r="F395" s="1" t="e">
        <f>VLOOKUP(B395,Calculs!$B:$B,1,FALSE)</f>
        <v>#N/A</v>
      </c>
    </row>
    <row r="396" spans="2:6" hidden="1" x14ac:dyDescent="0.3">
      <c r="B396" s="58" t="s">
        <v>300</v>
      </c>
      <c r="C396" s="58" t="s">
        <v>14</v>
      </c>
      <c r="D396" s="58" t="s">
        <v>73</v>
      </c>
      <c r="E396" s="58">
        <v>6</v>
      </c>
      <c r="F396" s="1" t="e">
        <f>VLOOKUP(B396,Calculs!$B:$B,1,FALSE)</f>
        <v>#N/A</v>
      </c>
    </row>
    <row r="397" spans="2:6" x14ac:dyDescent="0.3">
      <c r="B397" s="58" t="s">
        <v>480</v>
      </c>
      <c r="C397" s="58" t="s">
        <v>16</v>
      </c>
      <c r="D397" s="58" t="s">
        <v>63</v>
      </c>
      <c r="E397" s="58">
        <v>6</v>
      </c>
      <c r="F397" s="1" t="e">
        <f>VLOOKUP(B397,Calculs!$B:$B,1,FALSE)</f>
        <v>#N/A</v>
      </c>
    </row>
    <row r="398" spans="2:6" hidden="1" x14ac:dyDescent="0.3">
      <c r="B398" s="58" t="s">
        <v>481</v>
      </c>
      <c r="C398" s="58" t="s">
        <v>17</v>
      </c>
      <c r="D398" s="58" t="s">
        <v>360</v>
      </c>
      <c r="E398" s="58">
        <v>6</v>
      </c>
      <c r="F398" s="1" t="e">
        <f>VLOOKUP(B398,Calculs!$B:$B,1,FALSE)</f>
        <v>#N/A</v>
      </c>
    </row>
    <row r="399" spans="2:6" hidden="1" x14ac:dyDescent="0.3">
      <c r="B399" s="58" t="s">
        <v>150</v>
      </c>
      <c r="C399" s="58" t="s">
        <v>17</v>
      </c>
      <c r="D399" s="58" t="s">
        <v>64</v>
      </c>
      <c r="E399" s="58">
        <v>6</v>
      </c>
      <c r="F399" s="1" t="e">
        <f>VLOOKUP(B399,Calculs!$B:$B,1,FALSE)</f>
        <v>#N/A</v>
      </c>
    </row>
    <row r="400" spans="2:6" ht="28.8" x14ac:dyDescent="0.3">
      <c r="B400" s="58" t="s">
        <v>482</v>
      </c>
      <c r="C400" s="58" t="s">
        <v>14</v>
      </c>
      <c r="D400" s="58" t="s">
        <v>60</v>
      </c>
      <c r="E400" s="58">
        <v>6</v>
      </c>
      <c r="F400" s="1" t="e">
        <f>VLOOKUP(B400,Calculs!$B:$B,1,FALSE)</f>
        <v>#N/A</v>
      </c>
    </row>
    <row r="401" spans="2:6" hidden="1" x14ac:dyDescent="0.3">
      <c r="B401" s="58" t="s">
        <v>483</v>
      </c>
      <c r="C401" s="58" t="s">
        <v>14</v>
      </c>
      <c r="D401" s="58" t="s">
        <v>355</v>
      </c>
      <c r="E401" s="58">
        <v>6</v>
      </c>
      <c r="F401" s="1" t="e">
        <f>VLOOKUP(B401,Calculs!$B:$B,1,FALSE)</f>
        <v>#N/A</v>
      </c>
    </row>
    <row r="402" spans="2:6" hidden="1" x14ac:dyDescent="0.3">
      <c r="B402" s="58" t="s">
        <v>227</v>
      </c>
      <c r="C402" s="58" t="s">
        <v>17</v>
      </c>
      <c r="D402" s="58" t="s">
        <v>74</v>
      </c>
      <c r="E402" s="58">
        <v>6</v>
      </c>
      <c r="F402" s="1" t="e">
        <f>VLOOKUP(B402,Calculs!$B:$B,1,FALSE)</f>
        <v>#N/A</v>
      </c>
    </row>
    <row r="403" spans="2:6" hidden="1" x14ac:dyDescent="0.3">
      <c r="B403" s="58" t="s">
        <v>261</v>
      </c>
      <c r="C403" s="58" t="s">
        <v>15</v>
      </c>
      <c r="D403" s="58" t="s">
        <v>69</v>
      </c>
      <c r="E403" s="58">
        <v>6</v>
      </c>
      <c r="F403" s="1" t="e">
        <f>VLOOKUP(B403,Calculs!$B:$B,1,FALSE)</f>
        <v>#N/A</v>
      </c>
    </row>
    <row r="404" spans="2:6" hidden="1" x14ac:dyDescent="0.3">
      <c r="B404" s="58" t="s">
        <v>484</v>
      </c>
      <c r="C404" s="58" t="s">
        <v>17</v>
      </c>
      <c r="D404" s="58" t="s">
        <v>61</v>
      </c>
      <c r="E404" s="58">
        <v>6</v>
      </c>
      <c r="F404" s="1" t="e">
        <f>VLOOKUP(B404,Calculs!$B:$B,1,FALSE)</f>
        <v>#N/A</v>
      </c>
    </row>
    <row r="405" spans="2:6" hidden="1" x14ac:dyDescent="0.3">
      <c r="B405" s="58" t="s">
        <v>277</v>
      </c>
      <c r="C405" s="58" t="s">
        <v>17</v>
      </c>
      <c r="D405" s="58" t="s">
        <v>70</v>
      </c>
      <c r="E405" s="58">
        <v>6</v>
      </c>
      <c r="F405" s="1" t="e">
        <f>VLOOKUP(B405,Calculs!$B:$B,1,FALSE)</f>
        <v>#N/A</v>
      </c>
    </row>
    <row r="406" spans="2:6" hidden="1" x14ac:dyDescent="0.3">
      <c r="B406" s="58" t="s">
        <v>485</v>
      </c>
      <c r="C406" s="58" t="s">
        <v>17</v>
      </c>
      <c r="D406" s="58" t="s">
        <v>69</v>
      </c>
      <c r="E406" s="58">
        <v>6</v>
      </c>
      <c r="F406" s="1" t="e">
        <f>VLOOKUP(B406,Calculs!$B:$B,1,FALSE)</f>
        <v>#N/A</v>
      </c>
    </row>
    <row r="407" spans="2:6" hidden="1" x14ac:dyDescent="0.3">
      <c r="B407" s="58" t="s">
        <v>486</v>
      </c>
      <c r="C407" s="58" t="s">
        <v>15</v>
      </c>
      <c r="D407" s="58" t="s">
        <v>360</v>
      </c>
      <c r="E407" s="58">
        <v>6</v>
      </c>
      <c r="F407" s="1" t="e">
        <f>VLOOKUP(B407,Calculs!$B:$B,1,FALSE)</f>
        <v>#N/A</v>
      </c>
    </row>
    <row r="408" spans="2:6" x14ac:dyDescent="0.3">
      <c r="B408" s="58" t="s">
        <v>487</v>
      </c>
      <c r="C408" s="58" t="s">
        <v>14</v>
      </c>
      <c r="D408" s="58" t="s">
        <v>360</v>
      </c>
      <c r="E408" s="58">
        <v>6</v>
      </c>
      <c r="F408" s="1" t="e">
        <f>VLOOKUP(B408,Calculs!$B:$B,1,FALSE)</f>
        <v>#N/A</v>
      </c>
    </row>
    <row r="409" spans="2:6" hidden="1" x14ac:dyDescent="0.3">
      <c r="B409" s="58" t="s">
        <v>137</v>
      </c>
      <c r="C409" s="58" t="s">
        <v>14</v>
      </c>
      <c r="D409" s="58" t="s">
        <v>63</v>
      </c>
      <c r="E409" s="58">
        <v>6</v>
      </c>
      <c r="F409" s="1" t="e">
        <f>VLOOKUP(B409,Calculs!$B:$B,1,FALSE)</f>
        <v>#N/A</v>
      </c>
    </row>
    <row r="410" spans="2:6" hidden="1" x14ac:dyDescent="0.3">
      <c r="B410" s="58" t="s">
        <v>488</v>
      </c>
      <c r="C410" s="58" t="s">
        <v>16</v>
      </c>
      <c r="D410" s="58" t="s">
        <v>59</v>
      </c>
      <c r="E410" s="58">
        <v>6</v>
      </c>
      <c r="F410" s="1" t="e">
        <f>VLOOKUP(B410,Calculs!$B:$B,1,FALSE)</f>
        <v>#N/A</v>
      </c>
    </row>
    <row r="411" spans="2:6" hidden="1" x14ac:dyDescent="0.3">
      <c r="B411" s="58" t="s">
        <v>193</v>
      </c>
      <c r="C411" s="58" t="s">
        <v>17</v>
      </c>
      <c r="D411" s="58" t="s">
        <v>65</v>
      </c>
      <c r="E411" s="58">
        <v>6</v>
      </c>
      <c r="F411" s="1" t="e">
        <f>VLOOKUP(B411,Calculs!$B:$B,1,FALSE)</f>
        <v>#N/A</v>
      </c>
    </row>
    <row r="412" spans="2:6" hidden="1" x14ac:dyDescent="0.3">
      <c r="B412" s="58" t="s">
        <v>489</v>
      </c>
      <c r="C412" s="58" t="s">
        <v>14</v>
      </c>
      <c r="D412" s="58" t="s">
        <v>72</v>
      </c>
      <c r="E412" s="58">
        <v>6</v>
      </c>
      <c r="F412" s="1" t="e">
        <f>VLOOKUP(B412,Calculs!$B:$B,1,FALSE)</f>
        <v>#N/A</v>
      </c>
    </row>
    <row r="413" spans="2:6" x14ac:dyDescent="0.3">
      <c r="B413" s="58" t="s">
        <v>490</v>
      </c>
      <c r="C413" s="58" t="s">
        <v>16</v>
      </c>
      <c r="D413" s="58" t="s">
        <v>360</v>
      </c>
      <c r="E413" s="58">
        <v>5</v>
      </c>
      <c r="F413" s="1" t="e">
        <f>VLOOKUP(B413,Calculs!$B:$B,1,FALSE)</f>
        <v>#N/A</v>
      </c>
    </row>
    <row r="414" spans="2:6" hidden="1" x14ac:dyDescent="0.3">
      <c r="B414" s="58" t="s">
        <v>163</v>
      </c>
      <c r="C414" s="58" t="s">
        <v>14</v>
      </c>
      <c r="D414" s="58" t="s">
        <v>72</v>
      </c>
      <c r="E414" s="58">
        <v>5</v>
      </c>
      <c r="F414" s="1" t="e">
        <f>VLOOKUP(B414,Calculs!$B:$B,1,FALSE)</f>
        <v>#N/A</v>
      </c>
    </row>
    <row r="415" spans="2:6" hidden="1" x14ac:dyDescent="0.3">
      <c r="B415" s="58" t="s">
        <v>491</v>
      </c>
      <c r="C415" s="58" t="s">
        <v>16</v>
      </c>
      <c r="D415" s="58" t="s">
        <v>71</v>
      </c>
      <c r="E415" s="58">
        <v>5</v>
      </c>
      <c r="F415" s="1" t="e">
        <f>VLOOKUP(B415,Calculs!$B:$B,1,FALSE)</f>
        <v>#N/A</v>
      </c>
    </row>
    <row r="416" spans="2:6" hidden="1" x14ac:dyDescent="0.3">
      <c r="B416" s="58" t="s">
        <v>198</v>
      </c>
      <c r="C416" s="58" t="s">
        <v>14</v>
      </c>
      <c r="D416" s="58" t="s">
        <v>65</v>
      </c>
      <c r="E416" s="58">
        <v>5</v>
      </c>
      <c r="F416" s="1" t="e">
        <f>VLOOKUP(B416,Calculs!$B:$B,1,FALSE)</f>
        <v>#N/A</v>
      </c>
    </row>
    <row r="417" spans="2:6" ht="28.8" x14ac:dyDescent="0.3">
      <c r="B417" s="58" t="s">
        <v>492</v>
      </c>
      <c r="C417" s="58" t="s">
        <v>14</v>
      </c>
      <c r="D417" s="58" t="s">
        <v>59</v>
      </c>
      <c r="E417" s="58">
        <v>5</v>
      </c>
      <c r="F417" s="1" t="e">
        <f>VLOOKUP(B417,Calculs!$B:$B,1,FALSE)</f>
        <v>#N/A</v>
      </c>
    </row>
    <row r="418" spans="2:6" hidden="1" x14ac:dyDescent="0.3">
      <c r="B418" s="58" t="s">
        <v>283</v>
      </c>
      <c r="C418" s="58" t="s">
        <v>17</v>
      </c>
      <c r="D418" s="58" t="s">
        <v>70</v>
      </c>
      <c r="E418" s="58">
        <v>5</v>
      </c>
      <c r="F418" s="1" t="e">
        <f>VLOOKUP(B418,Calculs!$B:$B,1,FALSE)</f>
        <v>#N/A</v>
      </c>
    </row>
    <row r="419" spans="2:6" x14ac:dyDescent="0.3">
      <c r="B419" s="58" t="s">
        <v>493</v>
      </c>
      <c r="C419" s="58" t="s">
        <v>17</v>
      </c>
      <c r="D419" s="58" t="s">
        <v>70</v>
      </c>
      <c r="E419" s="58">
        <v>5</v>
      </c>
      <c r="F419" s="1" t="e">
        <f>VLOOKUP(B419,Calculs!$B:$B,1,FALSE)</f>
        <v>#N/A</v>
      </c>
    </row>
    <row r="420" spans="2:6" hidden="1" x14ac:dyDescent="0.3">
      <c r="B420" s="58" t="s">
        <v>494</v>
      </c>
      <c r="C420" s="58" t="s">
        <v>16</v>
      </c>
      <c r="D420" s="58" t="s">
        <v>63</v>
      </c>
      <c r="E420" s="58">
        <v>5</v>
      </c>
      <c r="F420" s="1" t="e">
        <f>VLOOKUP(B420,Calculs!$B:$B,1,FALSE)</f>
        <v>#N/A</v>
      </c>
    </row>
    <row r="421" spans="2:6" hidden="1" x14ac:dyDescent="0.3">
      <c r="B421" s="58" t="s">
        <v>206</v>
      </c>
      <c r="C421" s="58" t="s">
        <v>15</v>
      </c>
      <c r="D421" s="58" t="s">
        <v>67</v>
      </c>
      <c r="E421" s="58">
        <v>5</v>
      </c>
      <c r="F421" s="1" t="e">
        <f>VLOOKUP(B421,Calculs!$B:$B,1,FALSE)</f>
        <v>#N/A</v>
      </c>
    </row>
    <row r="422" spans="2:6" hidden="1" x14ac:dyDescent="0.3">
      <c r="B422" s="58" t="s">
        <v>255</v>
      </c>
      <c r="C422" s="58" t="s">
        <v>14</v>
      </c>
      <c r="D422" s="58" t="s">
        <v>71</v>
      </c>
      <c r="E422" s="58">
        <v>5</v>
      </c>
      <c r="F422" s="1" t="e">
        <f>VLOOKUP(B422,Calculs!$B:$B,1,FALSE)</f>
        <v>#N/A</v>
      </c>
    </row>
    <row r="423" spans="2:6" hidden="1" x14ac:dyDescent="0.3">
      <c r="B423" s="58" t="s">
        <v>495</v>
      </c>
      <c r="C423" s="58" t="s">
        <v>17</v>
      </c>
      <c r="D423" s="58" t="s">
        <v>355</v>
      </c>
      <c r="E423" s="58">
        <v>5</v>
      </c>
      <c r="F423" s="1" t="e">
        <f>VLOOKUP(B423,Calculs!$B:$B,1,FALSE)</f>
        <v>#N/A</v>
      </c>
    </row>
    <row r="424" spans="2:6" hidden="1" x14ac:dyDescent="0.3">
      <c r="B424" s="58" t="s">
        <v>162</v>
      </c>
      <c r="C424" s="58" t="s">
        <v>14</v>
      </c>
      <c r="D424" s="58" t="s">
        <v>72</v>
      </c>
      <c r="E424" s="58">
        <v>5</v>
      </c>
      <c r="F424" s="1" t="e">
        <f>VLOOKUP(B424,Calculs!$B:$B,1,FALSE)</f>
        <v>#N/A</v>
      </c>
    </row>
    <row r="425" spans="2:6" x14ac:dyDescent="0.3">
      <c r="B425" s="58" t="s">
        <v>8</v>
      </c>
      <c r="C425" s="58" t="s">
        <v>17</v>
      </c>
      <c r="D425" s="58" t="s">
        <v>72</v>
      </c>
      <c r="E425" s="58">
        <v>5</v>
      </c>
      <c r="F425" s="1" t="e">
        <f>VLOOKUP(B425,Calculs!$B:$B,1,FALSE)</f>
        <v>#N/A</v>
      </c>
    </row>
    <row r="426" spans="2:6" x14ac:dyDescent="0.3">
      <c r="B426" s="58" t="s">
        <v>496</v>
      </c>
      <c r="C426" s="58" t="s">
        <v>14</v>
      </c>
      <c r="D426" s="58" t="s">
        <v>67</v>
      </c>
      <c r="E426" s="58">
        <v>5</v>
      </c>
      <c r="F426" s="1" t="e">
        <f>VLOOKUP(B426,Calculs!$B:$B,1,FALSE)</f>
        <v>#N/A</v>
      </c>
    </row>
    <row r="427" spans="2:6" x14ac:dyDescent="0.3">
      <c r="B427" s="58" t="s">
        <v>497</v>
      </c>
      <c r="C427" s="58" t="s">
        <v>16</v>
      </c>
      <c r="D427" s="58" t="s">
        <v>68</v>
      </c>
      <c r="E427" s="58">
        <v>5</v>
      </c>
      <c r="F427" s="1" t="e">
        <f>VLOOKUP(B427,Calculs!$B:$B,1,FALSE)</f>
        <v>#N/A</v>
      </c>
    </row>
    <row r="428" spans="2:6" x14ac:dyDescent="0.3">
      <c r="B428" s="58" t="s">
        <v>324</v>
      </c>
      <c r="C428" s="58" t="s">
        <v>16</v>
      </c>
      <c r="D428" s="58" t="s">
        <v>61</v>
      </c>
      <c r="E428" s="58">
        <v>5</v>
      </c>
      <c r="F428" s="1" t="e">
        <f>VLOOKUP(B428,Calculs!$B:$B,1,FALSE)</f>
        <v>#N/A</v>
      </c>
    </row>
    <row r="429" spans="2:6" x14ac:dyDescent="0.3">
      <c r="B429" s="58" t="s">
        <v>498</v>
      </c>
      <c r="C429" s="58" t="s">
        <v>14</v>
      </c>
      <c r="D429" s="58" t="s">
        <v>65</v>
      </c>
      <c r="E429" s="58">
        <v>5</v>
      </c>
      <c r="F429" s="1" t="e">
        <f>VLOOKUP(B429,Calculs!$B:$B,1,FALSE)</f>
        <v>#N/A</v>
      </c>
    </row>
    <row r="430" spans="2:6" hidden="1" x14ac:dyDescent="0.3">
      <c r="B430" s="58" t="s">
        <v>177</v>
      </c>
      <c r="C430" s="58" t="s">
        <v>16</v>
      </c>
      <c r="D430" s="58" t="s">
        <v>68</v>
      </c>
      <c r="E430" s="58">
        <v>5</v>
      </c>
      <c r="F430" s="1" t="e">
        <f>VLOOKUP(B430,Calculs!$B:$B,1,FALSE)</f>
        <v>#N/A</v>
      </c>
    </row>
    <row r="431" spans="2:6" hidden="1" x14ac:dyDescent="0.3">
      <c r="B431" s="58" t="s">
        <v>243</v>
      </c>
      <c r="C431" s="58" t="s">
        <v>17</v>
      </c>
      <c r="D431" s="58" t="s">
        <v>61</v>
      </c>
      <c r="E431" s="58">
        <v>5</v>
      </c>
      <c r="F431" s="1" t="e">
        <f>VLOOKUP(B431,Calculs!$B:$B,1,FALSE)</f>
        <v>#N/A</v>
      </c>
    </row>
    <row r="432" spans="2:6" hidden="1" x14ac:dyDescent="0.3">
      <c r="B432" s="58" t="s">
        <v>309</v>
      </c>
      <c r="C432" s="58" t="s">
        <v>17</v>
      </c>
      <c r="D432" s="58" t="s">
        <v>82</v>
      </c>
      <c r="E432" s="58">
        <v>5</v>
      </c>
      <c r="F432" s="1" t="e">
        <f>VLOOKUP(B432,Calculs!$B:$B,1,FALSE)</f>
        <v>#N/A</v>
      </c>
    </row>
    <row r="433" spans="2:6" hidden="1" x14ac:dyDescent="0.3">
      <c r="B433" s="58" t="s">
        <v>171</v>
      </c>
      <c r="C433" s="58" t="s">
        <v>17</v>
      </c>
      <c r="D433" s="58" t="s">
        <v>68</v>
      </c>
      <c r="E433" s="58">
        <v>5</v>
      </c>
      <c r="F433" s="1" t="e">
        <f>VLOOKUP(B433,Calculs!$B:$B,1,FALSE)</f>
        <v>#N/A</v>
      </c>
    </row>
    <row r="434" spans="2:6" hidden="1" x14ac:dyDescent="0.3">
      <c r="B434" s="58" t="s">
        <v>272</v>
      </c>
      <c r="C434" s="58" t="s">
        <v>14</v>
      </c>
      <c r="D434" s="58" t="s">
        <v>69</v>
      </c>
      <c r="E434" s="58">
        <v>5</v>
      </c>
      <c r="F434" s="1" t="e">
        <f>VLOOKUP(B434,Calculs!$B:$B,1,FALSE)</f>
        <v>#N/A</v>
      </c>
    </row>
    <row r="435" spans="2:6" hidden="1" x14ac:dyDescent="0.3">
      <c r="B435" s="58" t="s">
        <v>499</v>
      </c>
      <c r="C435" s="58" t="s">
        <v>16</v>
      </c>
      <c r="D435" s="58" t="s">
        <v>355</v>
      </c>
      <c r="E435" s="58">
        <v>5</v>
      </c>
      <c r="F435" s="1" t="e">
        <f>VLOOKUP(B435,Calculs!$B:$B,1,FALSE)</f>
        <v>#N/A</v>
      </c>
    </row>
    <row r="436" spans="2:6" x14ac:dyDescent="0.3">
      <c r="B436" s="58" t="s">
        <v>500</v>
      </c>
      <c r="C436" s="58" t="s">
        <v>14</v>
      </c>
      <c r="D436" s="58" t="s">
        <v>70</v>
      </c>
      <c r="E436" s="58">
        <v>5</v>
      </c>
      <c r="F436" s="1" t="e">
        <f>VLOOKUP(B436,Calculs!$B:$B,1,FALSE)</f>
        <v>#N/A</v>
      </c>
    </row>
    <row r="437" spans="2:6" hidden="1" x14ac:dyDescent="0.3">
      <c r="B437" s="58" t="s">
        <v>257</v>
      </c>
      <c r="C437" s="58" t="s">
        <v>14</v>
      </c>
      <c r="D437" s="58" t="s">
        <v>71</v>
      </c>
      <c r="E437" s="58">
        <v>5</v>
      </c>
      <c r="F437" s="1" t="e">
        <f>VLOOKUP(B437,Calculs!$B:$B,1,FALSE)</f>
        <v>#N/A</v>
      </c>
    </row>
    <row r="438" spans="2:6" hidden="1" x14ac:dyDescent="0.3">
      <c r="B438" s="58" t="s">
        <v>97</v>
      </c>
      <c r="C438" s="58" t="s">
        <v>14</v>
      </c>
      <c r="D438" s="58" t="s">
        <v>62</v>
      </c>
      <c r="E438" s="58">
        <v>5</v>
      </c>
      <c r="F438" s="1" t="e">
        <f>VLOOKUP(B438,Calculs!$B:$B,1,FALSE)</f>
        <v>#N/A</v>
      </c>
    </row>
    <row r="439" spans="2:6" hidden="1" x14ac:dyDescent="0.3">
      <c r="B439" s="58" t="s">
        <v>501</v>
      </c>
      <c r="C439" s="58" t="s">
        <v>14</v>
      </c>
      <c r="D439" s="58" t="s">
        <v>72</v>
      </c>
      <c r="E439" s="58">
        <v>5</v>
      </c>
      <c r="F439" s="1" t="e">
        <f>VLOOKUP(B439,Calculs!$B:$B,1,FALSE)</f>
        <v>#N/A</v>
      </c>
    </row>
    <row r="440" spans="2:6" hidden="1" x14ac:dyDescent="0.3">
      <c r="B440" s="58" t="s">
        <v>273</v>
      </c>
      <c r="C440" s="58" t="s">
        <v>17</v>
      </c>
      <c r="D440" s="58" t="s">
        <v>69</v>
      </c>
      <c r="E440" s="58">
        <v>5</v>
      </c>
      <c r="F440" s="1" t="e">
        <f>VLOOKUP(B440,Calculs!$B:$B,1,FALSE)</f>
        <v>#N/A</v>
      </c>
    </row>
    <row r="441" spans="2:6" x14ac:dyDescent="0.3">
      <c r="B441" s="58" t="s">
        <v>502</v>
      </c>
      <c r="C441" s="58" t="s">
        <v>14</v>
      </c>
      <c r="D441" s="58" t="s">
        <v>68</v>
      </c>
      <c r="E441" s="58">
        <v>5</v>
      </c>
      <c r="F441" s="1" t="e">
        <f>VLOOKUP(B441,Calculs!$B:$B,1,FALSE)</f>
        <v>#N/A</v>
      </c>
    </row>
    <row r="442" spans="2:6" hidden="1" x14ac:dyDescent="0.3">
      <c r="B442" s="58" t="s">
        <v>90</v>
      </c>
      <c r="C442" s="58" t="s">
        <v>17</v>
      </c>
      <c r="D442" s="58" t="s">
        <v>62</v>
      </c>
      <c r="E442" s="58">
        <v>4</v>
      </c>
      <c r="F442" s="1" t="e">
        <f>VLOOKUP(B442,Calculs!$B:$B,1,FALSE)</f>
        <v>#N/A</v>
      </c>
    </row>
    <row r="443" spans="2:6" hidden="1" x14ac:dyDescent="0.3">
      <c r="B443" s="58" t="s">
        <v>276</v>
      </c>
      <c r="C443" s="58" t="s">
        <v>16</v>
      </c>
      <c r="D443" s="58" t="s">
        <v>69</v>
      </c>
      <c r="E443" s="58">
        <v>4</v>
      </c>
      <c r="F443" s="1" t="e">
        <f>VLOOKUP(B443,Calculs!$B:$B,1,FALSE)</f>
        <v>#N/A</v>
      </c>
    </row>
    <row r="444" spans="2:6" hidden="1" x14ac:dyDescent="0.3">
      <c r="B444" s="58" t="s">
        <v>642</v>
      </c>
      <c r="C444" s="58" t="s">
        <v>14</v>
      </c>
      <c r="D444" s="58" t="s">
        <v>74</v>
      </c>
      <c r="E444" s="58">
        <v>4</v>
      </c>
      <c r="F444" s="1" t="e">
        <f>VLOOKUP(B444,Calculs!$B:$B,1,FALSE)</f>
        <v>#N/A</v>
      </c>
    </row>
    <row r="445" spans="2:6" hidden="1" x14ac:dyDescent="0.3">
      <c r="B445" s="58" t="s">
        <v>289</v>
      </c>
      <c r="C445" s="58" t="s">
        <v>15</v>
      </c>
      <c r="D445" s="58" t="s">
        <v>73</v>
      </c>
      <c r="E445" s="58">
        <v>4</v>
      </c>
      <c r="F445" s="1" t="e">
        <f>VLOOKUP(B445,Calculs!$B:$B,1,FALSE)</f>
        <v>#N/A</v>
      </c>
    </row>
    <row r="446" spans="2:6" x14ac:dyDescent="0.3">
      <c r="B446" s="58" t="s">
        <v>503</v>
      </c>
      <c r="C446" s="58" t="s">
        <v>17</v>
      </c>
      <c r="D446" s="58" t="s">
        <v>73</v>
      </c>
      <c r="E446" s="58">
        <v>4</v>
      </c>
      <c r="F446" s="1" t="e">
        <f>VLOOKUP(B446,Calculs!$B:$B,1,FALSE)</f>
        <v>#N/A</v>
      </c>
    </row>
    <row r="447" spans="2:6" x14ac:dyDescent="0.3">
      <c r="B447" s="58" t="s">
        <v>504</v>
      </c>
      <c r="C447" s="58" t="s">
        <v>15</v>
      </c>
      <c r="D447" s="58" t="s">
        <v>355</v>
      </c>
      <c r="E447" s="58">
        <v>4</v>
      </c>
      <c r="F447" s="1" t="e">
        <f>VLOOKUP(B447,Calculs!$B:$B,1,FALSE)</f>
        <v>#N/A</v>
      </c>
    </row>
    <row r="448" spans="2:6" x14ac:dyDescent="0.3">
      <c r="B448" s="58" t="s">
        <v>505</v>
      </c>
      <c r="C448" s="58" t="s">
        <v>15</v>
      </c>
      <c r="D448" s="58" t="s">
        <v>59</v>
      </c>
      <c r="E448" s="58">
        <v>4</v>
      </c>
      <c r="F448" s="1" t="e">
        <f>VLOOKUP(B448,Calculs!$B:$B,1,FALSE)</f>
        <v>#N/A</v>
      </c>
    </row>
    <row r="449" spans="2:6" hidden="1" x14ac:dyDescent="0.3">
      <c r="B449" s="58" t="s">
        <v>506</v>
      </c>
      <c r="C449" s="58" t="s">
        <v>17</v>
      </c>
      <c r="D449" s="58" t="s">
        <v>65</v>
      </c>
      <c r="E449" s="58">
        <v>4</v>
      </c>
      <c r="F449" s="1" t="e">
        <f>VLOOKUP(B449,Calculs!$B:$B,1,FALSE)</f>
        <v>#N/A</v>
      </c>
    </row>
    <row r="450" spans="2:6" hidden="1" x14ac:dyDescent="0.3">
      <c r="B450" s="58" t="s">
        <v>170</v>
      </c>
      <c r="C450" s="58" t="s">
        <v>17</v>
      </c>
      <c r="D450" s="58" t="s">
        <v>68</v>
      </c>
      <c r="E450" s="58">
        <v>4</v>
      </c>
      <c r="F450" s="1" t="e">
        <f>VLOOKUP(B450,Calculs!$B:$B,1,FALSE)</f>
        <v>#N/A</v>
      </c>
    </row>
    <row r="451" spans="2:6" hidden="1" x14ac:dyDescent="0.3">
      <c r="B451" s="58" t="s">
        <v>507</v>
      </c>
      <c r="C451" s="58" t="s">
        <v>16</v>
      </c>
      <c r="D451" s="58" t="s">
        <v>61</v>
      </c>
      <c r="E451" s="58">
        <v>4</v>
      </c>
      <c r="F451" s="1" t="e">
        <f>VLOOKUP(B451,Calculs!$B:$B,1,FALSE)</f>
        <v>#N/A</v>
      </c>
    </row>
    <row r="452" spans="2:6" hidden="1" x14ac:dyDescent="0.3">
      <c r="B452" s="58" t="s">
        <v>192</v>
      </c>
      <c r="C452" s="58" t="s">
        <v>15</v>
      </c>
      <c r="D452" s="58" t="s">
        <v>65</v>
      </c>
      <c r="E452" s="58">
        <v>4</v>
      </c>
      <c r="F452" s="1" t="e">
        <f>VLOOKUP(B452,Calculs!$B:$B,1,FALSE)</f>
        <v>#N/A</v>
      </c>
    </row>
    <row r="453" spans="2:6" hidden="1" x14ac:dyDescent="0.3">
      <c r="B453" s="58" t="s">
        <v>328</v>
      </c>
      <c r="C453" s="58" t="s">
        <v>16</v>
      </c>
      <c r="D453" s="58" t="s">
        <v>60</v>
      </c>
      <c r="E453" s="58">
        <v>4</v>
      </c>
      <c r="F453" s="1" t="e">
        <f>VLOOKUP(B453,Calculs!$B:$B,1,FALSE)</f>
        <v>#N/A</v>
      </c>
    </row>
    <row r="454" spans="2:6" x14ac:dyDescent="0.3">
      <c r="B454" s="58" t="s">
        <v>508</v>
      </c>
      <c r="C454" s="58" t="s">
        <v>14</v>
      </c>
      <c r="D454" s="58" t="s">
        <v>67</v>
      </c>
      <c r="E454" s="58">
        <v>4</v>
      </c>
      <c r="F454" s="1" t="e">
        <f>VLOOKUP(B454,Calculs!$B:$B,1,FALSE)</f>
        <v>#N/A</v>
      </c>
    </row>
    <row r="455" spans="2:6" hidden="1" x14ac:dyDescent="0.3">
      <c r="B455" s="58" t="s">
        <v>509</v>
      </c>
      <c r="C455" s="58" t="s">
        <v>14</v>
      </c>
      <c r="D455" s="58" t="s">
        <v>74</v>
      </c>
      <c r="E455" s="58">
        <v>4</v>
      </c>
      <c r="F455" s="1" t="e">
        <f>VLOOKUP(B455,Calculs!$B:$B,1,FALSE)</f>
        <v>#N/A</v>
      </c>
    </row>
    <row r="456" spans="2:6" hidden="1" x14ac:dyDescent="0.3">
      <c r="B456" s="58" t="s">
        <v>321</v>
      </c>
      <c r="C456" s="58" t="s">
        <v>16</v>
      </c>
      <c r="D456" s="58" t="s">
        <v>81</v>
      </c>
      <c r="E456" s="58">
        <v>4</v>
      </c>
      <c r="F456" s="1" t="e">
        <f>VLOOKUP(B456,Calculs!$B:$B,1,FALSE)</f>
        <v>#N/A</v>
      </c>
    </row>
    <row r="457" spans="2:6" x14ac:dyDescent="0.3">
      <c r="B457" s="58" t="s">
        <v>510</v>
      </c>
      <c r="C457" s="58" t="s">
        <v>17</v>
      </c>
      <c r="D457" s="58" t="s">
        <v>65</v>
      </c>
      <c r="E457" s="58">
        <v>4</v>
      </c>
      <c r="F457" s="1" t="e">
        <f>VLOOKUP(B457,Calculs!$B:$B,1,FALSE)</f>
        <v>#N/A</v>
      </c>
    </row>
    <row r="458" spans="2:6" hidden="1" x14ac:dyDescent="0.3">
      <c r="B458" s="58" t="s">
        <v>330</v>
      </c>
      <c r="C458" s="58" t="s">
        <v>14</v>
      </c>
      <c r="D458" s="58" t="s">
        <v>68</v>
      </c>
      <c r="E458" s="58">
        <v>4</v>
      </c>
      <c r="F458" s="1" t="e">
        <f>VLOOKUP(B458,Calculs!$B:$B,1,FALSE)</f>
        <v>#N/A</v>
      </c>
    </row>
    <row r="459" spans="2:6" hidden="1" x14ac:dyDescent="0.3">
      <c r="B459" s="58" t="s">
        <v>511</v>
      </c>
      <c r="C459" s="58" t="s">
        <v>14</v>
      </c>
      <c r="D459" s="58" t="s">
        <v>82</v>
      </c>
      <c r="E459" s="58">
        <v>4</v>
      </c>
      <c r="F459" s="1" t="e">
        <f>VLOOKUP(B459,Calculs!$B:$B,1,FALSE)</f>
        <v>#N/A</v>
      </c>
    </row>
    <row r="460" spans="2:6" x14ac:dyDescent="0.3">
      <c r="B460" s="58" t="s">
        <v>512</v>
      </c>
      <c r="C460" s="58" t="s">
        <v>17</v>
      </c>
      <c r="D460" s="58" t="s">
        <v>71</v>
      </c>
      <c r="E460" s="58">
        <v>3</v>
      </c>
      <c r="F460" s="1" t="e">
        <f>VLOOKUP(B460,Calculs!$B:$B,1,FALSE)</f>
        <v>#N/A</v>
      </c>
    </row>
    <row r="461" spans="2:6" x14ac:dyDescent="0.3">
      <c r="B461" s="58" t="s">
        <v>513</v>
      </c>
      <c r="C461" s="58" t="s">
        <v>14</v>
      </c>
      <c r="D461" s="58" t="s">
        <v>72</v>
      </c>
      <c r="E461" s="58">
        <v>3</v>
      </c>
      <c r="F461" s="1" t="e">
        <f>VLOOKUP(B461,Calculs!$B:$B,1,FALSE)</f>
        <v>#N/A</v>
      </c>
    </row>
    <row r="462" spans="2:6" hidden="1" x14ac:dyDescent="0.3">
      <c r="B462" s="58" t="s">
        <v>514</v>
      </c>
      <c r="C462" s="58" t="s">
        <v>14</v>
      </c>
      <c r="D462" s="58" t="s">
        <v>61</v>
      </c>
      <c r="E462" s="58">
        <v>3</v>
      </c>
      <c r="F462" s="1" t="e">
        <f>VLOOKUP(B462,Calculs!$B:$B,1,FALSE)</f>
        <v>#N/A</v>
      </c>
    </row>
    <row r="463" spans="2:6" hidden="1" x14ac:dyDescent="0.3">
      <c r="B463" s="58" t="s">
        <v>515</v>
      </c>
      <c r="C463" s="58" t="s">
        <v>15</v>
      </c>
      <c r="D463" s="58" t="s">
        <v>81</v>
      </c>
      <c r="E463" s="58">
        <v>3</v>
      </c>
      <c r="F463" s="1" t="e">
        <f>VLOOKUP(B463,Calculs!$B:$B,1,FALSE)</f>
        <v>#N/A</v>
      </c>
    </row>
    <row r="464" spans="2:6" x14ac:dyDescent="0.3">
      <c r="B464" s="58" t="s">
        <v>516</v>
      </c>
      <c r="C464" s="58" t="s">
        <v>17</v>
      </c>
      <c r="D464" s="58" t="s">
        <v>72</v>
      </c>
      <c r="E464" s="58">
        <v>3</v>
      </c>
      <c r="F464" s="1" t="e">
        <f>VLOOKUP(B464,Calculs!$B:$B,1,FALSE)</f>
        <v>#N/A</v>
      </c>
    </row>
    <row r="465" spans="2:6" hidden="1" x14ac:dyDescent="0.3">
      <c r="B465" s="58" t="s">
        <v>517</v>
      </c>
      <c r="C465" s="58" t="s">
        <v>14</v>
      </c>
      <c r="D465" s="58" t="s">
        <v>82</v>
      </c>
      <c r="E465" s="58">
        <v>3</v>
      </c>
      <c r="F465" s="1" t="e">
        <f>VLOOKUP(B465,Calculs!$B:$B,1,FALSE)</f>
        <v>#N/A</v>
      </c>
    </row>
    <row r="466" spans="2:6" x14ac:dyDescent="0.3">
      <c r="B466" s="58" t="s">
        <v>518</v>
      </c>
      <c r="C466" s="58" t="s">
        <v>14</v>
      </c>
      <c r="D466" s="58" t="s">
        <v>81</v>
      </c>
      <c r="E466" s="58">
        <v>3</v>
      </c>
      <c r="F466" s="1" t="e">
        <f>VLOOKUP(B466,Calculs!$B:$B,1,FALSE)</f>
        <v>#N/A</v>
      </c>
    </row>
    <row r="467" spans="2:6" x14ac:dyDescent="0.3">
      <c r="B467" s="58" t="s">
        <v>519</v>
      </c>
      <c r="C467" s="58" t="s">
        <v>14</v>
      </c>
      <c r="D467" s="58" t="s">
        <v>67</v>
      </c>
      <c r="E467" s="58">
        <v>3</v>
      </c>
      <c r="F467" s="1" t="e">
        <f>VLOOKUP(B467,Calculs!$B:$B,1,FALSE)</f>
        <v>#N/A</v>
      </c>
    </row>
    <row r="468" spans="2:6" hidden="1" x14ac:dyDescent="0.3">
      <c r="B468" s="58" t="s">
        <v>88</v>
      </c>
      <c r="C468" s="58" t="s">
        <v>17</v>
      </c>
      <c r="D468" s="58" t="s">
        <v>62</v>
      </c>
      <c r="E468" s="58">
        <v>3</v>
      </c>
      <c r="F468" s="1" t="e">
        <f>VLOOKUP(B468,Calculs!$B:$B,1,FALSE)</f>
        <v>#N/A</v>
      </c>
    </row>
    <row r="469" spans="2:6" x14ac:dyDescent="0.3">
      <c r="B469" s="58" t="s">
        <v>520</v>
      </c>
      <c r="C469" s="58" t="s">
        <v>17</v>
      </c>
      <c r="D469" s="58" t="s">
        <v>68</v>
      </c>
      <c r="E469" s="58">
        <v>3</v>
      </c>
      <c r="F469" s="1" t="e">
        <f>VLOOKUP(B469,Calculs!$B:$B,1,FALSE)</f>
        <v>#N/A</v>
      </c>
    </row>
    <row r="470" spans="2:6" x14ac:dyDescent="0.3">
      <c r="B470" s="58" t="s">
        <v>521</v>
      </c>
      <c r="C470" s="58" t="s">
        <v>15</v>
      </c>
      <c r="D470" s="58" t="s">
        <v>82</v>
      </c>
      <c r="E470" s="58">
        <v>3</v>
      </c>
      <c r="F470" s="1" t="e">
        <f>VLOOKUP(B470,Calculs!$B:$B,1,FALSE)</f>
        <v>#N/A</v>
      </c>
    </row>
    <row r="471" spans="2:6" hidden="1" x14ac:dyDescent="0.3">
      <c r="B471" s="58" t="s">
        <v>179</v>
      </c>
      <c r="C471" s="58" t="s">
        <v>15</v>
      </c>
      <c r="D471" s="58" t="s">
        <v>66</v>
      </c>
      <c r="E471" s="58">
        <v>3</v>
      </c>
      <c r="F471" s="1" t="e">
        <f>VLOOKUP(B471,Calculs!$B:$B,1,FALSE)</f>
        <v>#N/A</v>
      </c>
    </row>
    <row r="472" spans="2:6" x14ac:dyDescent="0.3">
      <c r="B472" s="58" t="s">
        <v>522</v>
      </c>
      <c r="C472" s="58" t="s">
        <v>14</v>
      </c>
      <c r="D472" s="58" t="s">
        <v>71</v>
      </c>
      <c r="E472" s="58">
        <v>3</v>
      </c>
      <c r="F472" s="1" t="e">
        <f>VLOOKUP(B472,Calculs!$B:$B,1,FALSE)</f>
        <v>#N/A</v>
      </c>
    </row>
    <row r="473" spans="2:6" hidden="1" x14ac:dyDescent="0.3">
      <c r="B473" s="58" t="s">
        <v>523</v>
      </c>
      <c r="C473" s="58" t="s">
        <v>14</v>
      </c>
      <c r="D473" s="58" t="s">
        <v>64</v>
      </c>
      <c r="E473" s="58">
        <v>3</v>
      </c>
      <c r="F473" s="1" t="e">
        <f>VLOOKUP(B473,Calculs!$B:$B,1,FALSE)</f>
        <v>#N/A</v>
      </c>
    </row>
    <row r="474" spans="2:6" hidden="1" x14ac:dyDescent="0.3">
      <c r="B474" s="58" t="s">
        <v>181</v>
      </c>
      <c r="C474" s="58" t="s">
        <v>17</v>
      </c>
      <c r="D474" s="58" t="s">
        <v>66</v>
      </c>
      <c r="E474" s="58">
        <v>3</v>
      </c>
      <c r="F474" s="1" t="e">
        <f>VLOOKUP(B474,Calculs!$B:$B,1,FALSE)</f>
        <v>#N/A</v>
      </c>
    </row>
    <row r="475" spans="2:6" hidden="1" x14ac:dyDescent="0.3">
      <c r="B475" s="58" t="s">
        <v>149</v>
      </c>
      <c r="C475" s="58" t="s">
        <v>17</v>
      </c>
      <c r="D475" s="58" t="s">
        <v>64</v>
      </c>
      <c r="E475" s="58">
        <v>3</v>
      </c>
      <c r="F475" s="1" t="e">
        <f>VLOOKUP(B475,Calculs!$B:$B,1,FALSE)</f>
        <v>#N/A</v>
      </c>
    </row>
    <row r="476" spans="2:6" hidden="1" x14ac:dyDescent="0.3">
      <c r="B476" s="58" t="s">
        <v>246</v>
      </c>
      <c r="C476" s="58" t="s">
        <v>15</v>
      </c>
      <c r="D476" s="58" t="s">
        <v>71</v>
      </c>
      <c r="E476" s="58">
        <v>3</v>
      </c>
      <c r="F476" s="1" t="e">
        <f>VLOOKUP(B476,Calculs!$B:$B,1,FALSE)</f>
        <v>#N/A</v>
      </c>
    </row>
    <row r="477" spans="2:6" hidden="1" x14ac:dyDescent="0.3">
      <c r="B477" s="58" t="s">
        <v>524</v>
      </c>
      <c r="C477" s="58" t="s">
        <v>16</v>
      </c>
      <c r="D477" s="58" t="s">
        <v>61</v>
      </c>
      <c r="E477" s="58">
        <v>3</v>
      </c>
      <c r="F477" s="1" t="e">
        <f>VLOOKUP(B477,Calculs!$B:$B,1,FALSE)</f>
        <v>#N/A</v>
      </c>
    </row>
    <row r="478" spans="2:6" x14ac:dyDescent="0.3">
      <c r="B478" s="58" t="s">
        <v>657</v>
      </c>
      <c r="C478" s="58" t="s">
        <v>16</v>
      </c>
      <c r="D478" s="58" t="s">
        <v>70</v>
      </c>
      <c r="E478" s="58">
        <v>3</v>
      </c>
      <c r="F478" s="1" t="e">
        <f>VLOOKUP(B478,Calculs!$B:$B,1,FALSE)</f>
        <v>#N/A</v>
      </c>
    </row>
    <row r="479" spans="2:6" hidden="1" x14ac:dyDescent="0.3">
      <c r="B479" s="58" t="s">
        <v>525</v>
      </c>
      <c r="C479" s="58" t="s">
        <v>14</v>
      </c>
      <c r="D479" s="58" t="s">
        <v>81</v>
      </c>
      <c r="E479" s="58">
        <v>3</v>
      </c>
      <c r="F479" s="1" t="e">
        <f>VLOOKUP(B479,Calculs!$B:$B,1,FALSE)</f>
        <v>#N/A</v>
      </c>
    </row>
    <row r="480" spans="2:6" hidden="1" x14ac:dyDescent="0.3">
      <c r="B480" s="58" t="s">
        <v>106</v>
      </c>
      <c r="C480" s="58" t="s">
        <v>17</v>
      </c>
      <c r="D480" s="58" t="s">
        <v>60</v>
      </c>
      <c r="E480" s="58">
        <v>3</v>
      </c>
      <c r="F480" s="1" t="e">
        <f>VLOOKUP(B480,Calculs!$B:$B,1,FALSE)</f>
        <v>#N/A</v>
      </c>
    </row>
    <row r="481" spans="2:6" hidden="1" x14ac:dyDescent="0.3">
      <c r="B481" s="58" t="s">
        <v>248</v>
      </c>
      <c r="C481" s="58" t="s">
        <v>17</v>
      </c>
      <c r="D481" s="58" t="s">
        <v>71</v>
      </c>
      <c r="E481" s="58">
        <v>2</v>
      </c>
      <c r="F481" s="1" t="e">
        <f>VLOOKUP(B481,Calculs!$B:$B,1,FALSE)</f>
        <v>#N/A</v>
      </c>
    </row>
    <row r="482" spans="2:6" hidden="1" x14ac:dyDescent="0.3">
      <c r="B482" s="58" t="s">
        <v>526</v>
      </c>
      <c r="C482" s="58" t="s">
        <v>17</v>
      </c>
      <c r="D482" s="58" t="s">
        <v>63</v>
      </c>
      <c r="E482" s="58">
        <v>2</v>
      </c>
      <c r="F482" s="1" t="e">
        <f>VLOOKUP(B482,Calculs!$B:$B,1,FALSE)</f>
        <v>#N/A</v>
      </c>
    </row>
    <row r="483" spans="2:6" hidden="1" x14ac:dyDescent="0.3">
      <c r="B483" s="58" t="s">
        <v>236</v>
      </c>
      <c r="C483" s="58" t="s">
        <v>15</v>
      </c>
      <c r="D483" s="58" t="s">
        <v>61</v>
      </c>
      <c r="E483" s="58">
        <v>2</v>
      </c>
      <c r="F483" s="1" t="e">
        <f>VLOOKUP(B483,Calculs!$B:$B,1,FALSE)</f>
        <v>#N/A</v>
      </c>
    </row>
    <row r="484" spans="2:6" x14ac:dyDescent="0.3">
      <c r="B484" s="58" t="s">
        <v>527</v>
      </c>
      <c r="C484" s="58" t="s">
        <v>17</v>
      </c>
      <c r="D484" s="58" t="s">
        <v>69</v>
      </c>
      <c r="E484" s="58">
        <v>2</v>
      </c>
      <c r="F484" s="1" t="e">
        <f>VLOOKUP(B484,Calculs!$B:$B,1,FALSE)</f>
        <v>#N/A</v>
      </c>
    </row>
    <row r="485" spans="2:6" hidden="1" x14ac:dyDescent="0.3">
      <c r="B485" s="58" t="s">
        <v>331</v>
      </c>
      <c r="C485" s="58" t="s">
        <v>17</v>
      </c>
      <c r="D485" s="58" t="s">
        <v>68</v>
      </c>
      <c r="E485" s="58">
        <v>2</v>
      </c>
      <c r="F485" s="1" t="e">
        <f>VLOOKUP(B485,Calculs!$B:$B,1,FALSE)</f>
        <v>#N/A</v>
      </c>
    </row>
    <row r="486" spans="2:6" x14ac:dyDescent="0.3">
      <c r="B486" s="58" t="s">
        <v>528</v>
      </c>
      <c r="C486" s="58" t="s">
        <v>16</v>
      </c>
      <c r="D486" s="58" t="s">
        <v>70</v>
      </c>
      <c r="E486" s="58">
        <v>2</v>
      </c>
      <c r="F486" s="1" t="e">
        <f>VLOOKUP(B486,Calculs!$B:$B,1,FALSE)</f>
        <v>#N/A</v>
      </c>
    </row>
    <row r="487" spans="2:6" hidden="1" x14ac:dyDescent="0.3">
      <c r="B487" s="58" t="s">
        <v>131</v>
      </c>
      <c r="C487" s="58" t="s">
        <v>15</v>
      </c>
      <c r="D487" s="58" t="s">
        <v>63</v>
      </c>
      <c r="E487" s="58">
        <v>2</v>
      </c>
      <c r="F487" s="1" t="e">
        <f>VLOOKUP(B487,Calculs!$B:$B,1,FALSE)</f>
        <v>#N/A</v>
      </c>
    </row>
    <row r="488" spans="2:6" hidden="1" x14ac:dyDescent="0.3">
      <c r="B488" s="58" t="s">
        <v>156</v>
      </c>
      <c r="C488" s="58" t="s">
        <v>15</v>
      </c>
      <c r="D488" s="58" t="s">
        <v>72</v>
      </c>
      <c r="E488" s="58">
        <v>2</v>
      </c>
      <c r="F488" s="1" t="e">
        <f>VLOOKUP(B488,Calculs!$B:$B,1,FALSE)</f>
        <v>#N/A</v>
      </c>
    </row>
    <row r="489" spans="2:6" x14ac:dyDescent="0.3">
      <c r="B489" s="58" t="s">
        <v>529</v>
      </c>
      <c r="C489" s="58" t="s">
        <v>14</v>
      </c>
      <c r="D489" s="58" t="s">
        <v>355</v>
      </c>
      <c r="E489" s="58">
        <v>2</v>
      </c>
      <c r="F489" s="1" t="e">
        <f>VLOOKUP(B489,Calculs!$B:$B,1,FALSE)</f>
        <v>#N/A</v>
      </c>
    </row>
    <row r="490" spans="2:6" x14ac:dyDescent="0.3">
      <c r="B490" s="58" t="s">
        <v>530</v>
      </c>
      <c r="C490" s="58" t="s">
        <v>17</v>
      </c>
      <c r="D490" s="58" t="s">
        <v>69</v>
      </c>
      <c r="E490" s="58">
        <v>2</v>
      </c>
      <c r="F490" s="1" t="e">
        <f>VLOOKUP(B490,Calculs!$B:$B,1,FALSE)</f>
        <v>#N/A</v>
      </c>
    </row>
    <row r="491" spans="2:6" hidden="1" x14ac:dyDescent="0.3">
      <c r="B491" s="58" t="s">
        <v>531</v>
      </c>
      <c r="C491" s="58" t="s">
        <v>17</v>
      </c>
      <c r="D491" s="58" t="s">
        <v>72</v>
      </c>
      <c r="E491" s="58">
        <v>2</v>
      </c>
      <c r="F491" s="1" t="e">
        <f>VLOOKUP(B491,Calculs!$B:$B,1,FALSE)</f>
        <v>#N/A</v>
      </c>
    </row>
    <row r="492" spans="2:6" hidden="1" x14ac:dyDescent="0.3">
      <c r="B492" s="58" t="s">
        <v>143</v>
      </c>
      <c r="C492" s="58" t="s">
        <v>14</v>
      </c>
      <c r="D492" s="58" t="s">
        <v>63</v>
      </c>
      <c r="E492" s="58">
        <v>2</v>
      </c>
      <c r="F492" s="1" t="e">
        <f>VLOOKUP(B492,Calculs!$B:$B,1,FALSE)</f>
        <v>#N/A</v>
      </c>
    </row>
    <row r="493" spans="2:6" x14ac:dyDescent="0.3">
      <c r="B493" s="58" t="s">
        <v>532</v>
      </c>
      <c r="C493" s="58" t="s">
        <v>15</v>
      </c>
      <c r="D493" s="58" t="s">
        <v>70</v>
      </c>
      <c r="E493" s="58">
        <v>2</v>
      </c>
      <c r="F493" s="1" t="e">
        <f>VLOOKUP(B493,Calculs!$B:$B,1,FALSE)</f>
        <v>#N/A</v>
      </c>
    </row>
    <row r="494" spans="2:6" x14ac:dyDescent="0.3">
      <c r="B494" s="58" t="s">
        <v>533</v>
      </c>
      <c r="C494" s="58" t="s">
        <v>15</v>
      </c>
      <c r="D494" s="58" t="s">
        <v>360</v>
      </c>
      <c r="E494" s="58">
        <v>2</v>
      </c>
      <c r="F494" s="1" t="e">
        <f>VLOOKUP(B494,Calculs!$B:$B,1,FALSE)</f>
        <v>#N/A</v>
      </c>
    </row>
    <row r="495" spans="2:6" x14ac:dyDescent="0.3">
      <c r="B495" s="58" t="s">
        <v>534</v>
      </c>
      <c r="C495" s="58" t="s">
        <v>17</v>
      </c>
      <c r="D495" s="58" t="s">
        <v>74</v>
      </c>
      <c r="E495" s="58">
        <v>2</v>
      </c>
      <c r="F495" s="1" t="e">
        <f>VLOOKUP(B495,Calculs!$B:$B,1,FALSE)</f>
        <v>#N/A</v>
      </c>
    </row>
    <row r="496" spans="2:6" hidden="1" x14ac:dyDescent="0.3">
      <c r="B496" s="58" t="s">
        <v>238</v>
      </c>
      <c r="C496" s="58" t="s">
        <v>15</v>
      </c>
      <c r="D496" s="58" t="s">
        <v>61</v>
      </c>
      <c r="E496" s="58">
        <v>2</v>
      </c>
      <c r="F496" s="1" t="e">
        <f>VLOOKUP(B496,Calculs!$B:$B,1,FALSE)</f>
        <v>#N/A</v>
      </c>
    </row>
    <row r="497" spans="2:6" hidden="1" x14ac:dyDescent="0.3">
      <c r="B497" s="58" t="s">
        <v>535</v>
      </c>
      <c r="C497" s="58" t="s">
        <v>14</v>
      </c>
      <c r="D497" s="58" t="s">
        <v>81</v>
      </c>
      <c r="E497" s="58">
        <v>2</v>
      </c>
      <c r="F497" s="1" t="e">
        <f>VLOOKUP(B497,Calculs!$B:$B,1,FALSE)</f>
        <v>#N/A</v>
      </c>
    </row>
    <row r="498" spans="2:6" x14ac:dyDescent="0.3">
      <c r="B498" s="58" t="s">
        <v>536</v>
      </c>
      <c r="C498" s="58" t="s">
        <v>17</v>
      </c>
      <c r="D498" s="58" t="s">
        <v>82</v>
      </c>
      <c r="E498" s="58">
        <v>1</v>
      </c>
      <c r="F498" s="1" t="e">
        <f>VLOOKUP(B498,Calculs!$B:$B,1,FALSE)</f>
        <v>#N/A</v>
      </c>
    </row>
    <row r="499" spans="2:6" x14ac:dyDescent="0.3">
      <c r="B499" s="58" t="s">
        <v>537</v>
      </c>
      <c r="C499" s="58" t="s">
        <v>14</v>
      </c>
      <c r="D499" s="58" t="s">
        <v>59</v>
      </c>
      <c r="E499" s="58">
        <v>1</v>
      </c>
      <c r="F499" s="1" t="e">
        <f>VLOOKUP(B499,Calculs!$B:$B,1,FALSE)</f>
        <v>#N/A</v>
      </c>
    </row>
    <row r="500" spans="2:6" x14ac:dyDescent="0.3">
      <c r="B500" s="58" t="s">
        <v>538</v>
      </c>
      <c r="C500" s="58" t="s">
        <v>14</v>
      </c>
      <c r="D500" s="58" t="s">
        <v>66</v>
      </c>
      <c r="E500" s="58">
        <v>1</v>
      </c>
      <c r="F500" s="1" t="e">
        <f>VLOOKUP(B500,Calculs!$B:$B,1,FALSE)</f>
        <v>#N/A</v>
      </c>
    </row>
    <row r="501" spans="2:6" x14ac:dyDescent="0.3">
      <c r="B501" s="58" t="s">
        <v>539</v>
      </c>
      <c r="C501" s="58" t="s">
        <v>14</v>
      </c>
      <c r="D501" s="58" t="s">
        <v>69</v>
      </c>
      <c r="E501" s="58">
        <v>1</v>
      </c>
      <c r="F501" s="1" t="e">
        <f>VLOOKUP(B501,Calculs!$B:$B,1,FALSE)</f>
        <v>#N/A</v>
      </c>
    </row>
    <row r="502" spans="2:6" x14ac:dyDescent="0.3">
      <c r="B502" s="58" t="s">
        <v>540</v>
      </c>
      <c r="C502" s="58" t="s">
        <v>14</v>
      </c>
      <c r="D502" s="58" t="s">
        <v>66</v>
      </c>
      <c r="E502" s="58">
        <v>1</v>
      </c>
      <c r="F502" s="1" t="e">
        <f>VLOOKUP(B502,Calculs!$B:$B,1,FALSE)</f>
        <v>#N/A</v>
      </c>
    </row>
    <row r="503" spans="2:6" x14ac:dyDescent="0.3">
      <c r="B503" s="58" t="s">
        <v>541</v>
      </c>
      <c r="C503" s="58" t="s">
        <v>17</v>
      </c>
      <c r="D503" s="58" t="s">
        <v>355</v>
      </c>
      <c r="E503" s="58">
        <v>1</v>
      </c>
      <c r="F503" s="1" t="e">
        <f>VLOOKUP(B503,Calculs!$B:$B,1,FALSE)</f>
        <v>#N/A</v>
      </c>
    </row>
    <row r="504" spans="2:6" x14ac:dyDescent="0.3">
      <c r="B504" s="58" t="s">
        <v>542</v>
      </c>
      <c r="C504" s="58" t="s">
        <v>17</v>
      </c>
      <c r="D504" s="58" t="s">
        <v>355</v>
      </c>
      <c r="E504" s="58">
        <v>1</v>
      </c>
      <c r="F504" s="1" t="e">
        <f>VLOOKUP(B504,Calculs!$B:$B,1,FALSE)</f>
        <v>#N/A</v>
      </c>
    </row>
    <row r="505" spans="2:6" x14ac:dyDescent="0.3">
      <c r="B505" s="58" t="s">
        <v>543</v>
      </c>
      <c r="C505" s="58" t="s">
        <v>15</v>
      </c>
      <c r="D505" s="58" t="s">
        <v>81</v>
      </c>
      <c r="E505" s="58">
        <v>1</v>
      </c>
      <c r="F505" s="1" t="e">
        <f>VLOOKUP(B505,Calculs!$B:$B,1,FALSE)</f>
        <v>#N/A</v>
      </c>
    </row>
    <row r="506" spans="2:6" ht="28.8" x14ac:dyDescent="0.3">
      <c r="B506" s="58" t="s">
        <v>544</v>
      </c>
      <c r="C506" s="58" t="s">
        <v>17</v>
      </c>
      <c r="D506" s="58" t="s">
        <v>82</v>
      </c>
      <c r="E506" s="58">
        <v>1</v>
      </c>
      <c r="F506" s="1" t="e">
        <f>VLOOKUP(B506,Calculs!$B:$B,1,FALSE)</f>
        <v>#N/A</v>
      </c>
    </row>
    <row r="507" spans="2:6" x14ac:dyDescent="0.3">
      <c r="B507" s="58" t="s">
        <v>545</v>
      </c>
      <c r="C507" s="58" t="s">
        <v>17</v>
      </c>
      <c r="D507" s="58" t="s">
        <v>74</v>
      </c>
      <c r="E507" s="58">
        <v>1</v>
      </c>
      <c r="F507" s="1" t="e">
        <f>VLOOKUP(B507,Calculs!$B:$B,1,FALSE)</f>
        <v>#N/A</v>
      </c>
    </row>
    <row r="508" spans="2:6" x14ac:dyDescent="0.3">
      <c r="B508" s="58" t="s">
        <v>546</v>
      </c>
      <c r="C508" s="58" t="s">
        <v>16</v>
      </c>
      <c r="D508" s="58" t="s">
        <v>360</v>
      </c>
      <c r="E508" s="58">
        <v>1</v>
      </c>
      <c r="F508" s="1" t="e">
        <f>VLOOKUP(B508,Calculs!$B:$B,1,FALSE)</f>
        <v>#N/A</v>
      </c>
    </row>
    <row r="509" spans="2:6" x14ac:dyDescent="0.3">
      <c r="B509" s="58" t="s">
        <v>547</v>
      </c>
      <c r="C509" s="58" t="s">
        <v>14</v>
      </c>
      <c r="D509" s="58" t="s">
        <v>68</v>
      </c>
      <c r="E509" s="58">
        <v>1</v>
      </c>
      <c r="F509" s="1" t="e">
        <f>VLOOKUP(B509,Calculs!$B:$B,1,FALSE)</f>
        <v>#N/A</v>
      </c>
    </row>
    <row r="510" spans="2:6" x14ac:dyDescent="0.3">
      <c r="B510" s="58" t="s">
        <v>548</v>
      </c>
      <c r="C510" s="58" t="s">
        <v>15</v>
      </c>
      <c r="D510" s="58" t="s">
        <v>66</v>
      </c>
      <c r="E510" s="58">
        <v>1</v>
      </c>
      <c r="F510" s="1" t="e">
        <f>VLOOKUP(B510,Calculs!$B:$B,1,FALSE)</f>
        <v>#N/A</v>
      </c>
    </row>
    <row r="511" spans="2:6" x14ac:dyDescent="0.3">
      <c r="B511" s="58" t="s">
        <v>549</v>
      </c>
      <c r="C511" s="58" t="s">
        <v>16</v>
      </c>
      <c r="D511" s="58" t="s">
        <v>70</v>
      </c>
      <c r="E511" s="58">
        <v>1</v>
      </c>
      <c r="F511" s="1" t="e">
        <f>VLOOKUP(B511,Calculs!$B:$B,1,FALSE)</f>
        <v>#N/A</v>
      </c>
    </row>
    <row r="512" spans="2:6" x14ac:dyDescent="0.3">
      <c r="B512" s="58" t="s">
        <v>550</v>
      </c>
      <c r="C512" s="58" t="s">
        <v>15</v>
      </c>
      <c r="D512" s="58" t="s">
        <v>74</v>
      </c>
      <c r="E512" s="58">
        <v>1</v>
      </c>
      <c r="F512" s="1" t="e">
        <f>VLOOKUP(B512,Calculs!$B:$B,1,FALSE)</f>
        <v>#N/A</v>
      </c>
    </row>
    <row r="513" spans="2:6" x14ac:dyDescent="0.3">
      <c r="B513" s="58" t="s">
        <v>551</v>
      </c>
      <c r="C513" s="58" t="s">
        <v>14</v>
      </c>
      <c r="D513" s="58" t="s">
        <v>360</v>
      </c>
      <c r="E513" s="58">
        <v>1</v>
      </c>
      <c r="F513" s="1" t="e">
        <f>VLOOKUP(B513,Calculs!$B:$B,1,FALSE)</f>
        <v>#N/A</v>
      </c>
    </row>
    <row r="514" spans="2:6" x14ac:dyDescent="0.3">
      <c r="B514" s="58" t="s">
        <v>552</v>
      </c>
      <c r="C514" s="58" t="s">
        <v>15</v>
      </c>
      <c r="D514" s="58" t="s">
        <v>62</v>
      </c>
      <c r="E514" s="58">
        <v>1</v>
      </c>
      <c r="F514" s="1" t="e">
        <f>VLOOKUP(B514,Calculs!$B:$B,1,FALSE)</f>
        <v>#N/A</v>
      </c>
    </row>
    <row r="515" spans="2:6" x14ac:dyDescent="0.3">
      <c r="B515" s="58" t="s">
        <v>553</v>
      </c>
      <c r="C515" s="58" t="s">
        <v>15</v>
      </c>
      <c r="D515" s="58" t="s">
        <v>69</v>
      </c>
      <c r="E515" s="58">
        <v>1</v>
      </c>
      <c r="F515" s="1" t="e">
        <f>VLOOKUP(B515,Calculs!$B:$B,1,FALSE)</f>
        <v>#N/A</v>
      </c>
    </row>
    <row r="516" spans="2:6" x14ac:dyDescent="0.3">
      <c r="B516" s="58" t="s">
        <v>554</v>
      </c>
      <c r="C516" s="58" t="s">
        <v>17</v>
      </c>
      <c r="D516" s="58" t="s">
        <v>355</v>
      </c>
      <c r="E516" s="58">
        <v>1</v>
      </c>
      <c r="F516" s="1" t="e">
        <f>VLOOKUP(B516,Calculs!$B:$B,1,FALSE)</f>
        <v>#N/A</v>
      </c>
    </row>
    <row r="517" spans="2:6" x14ac:dyDescent="0.3">
      <c r="B517" s="58" t="s">
        <v>555</v>
      </c>
      <c r="C517" s="58" t="s">
        <v>15</v>
      </c>
      <c r="D517" s="58" t="s">
        <v>71</v>
      </c>
      <c r="E517" s="58">
        <v>1</v>
      </c>
      <c r="F517" s="1" t="e">
        <f>VLOOKUP(B517,Calculs!$B:$B,1,FALSE)</f>
        <v>#N/A</v>
      </c>
    </row>
    <row r="518" spans="2:6" hidden="1" x14ac:dyDescent="0.3">
      <c r="B518" s="58" t="s">
        <v>556</v>
      </c>
      <c r="C518" s="58" t="s">
        <v>14</v>
      </c>
      <c r="D518" s="58" t="s">
        <v>64</v>
      </c>
      <c r="E518" s="58">
        <v>1</v>
      </c>
      <c r="F518" s="1" t="e">
        <f>VLOOKUP(B518,Calculs!$B:$B,1,FALSE)</f>
        <v>#N/A</v>
      </c>
    </row>
    <row r="519" spans="2:6" x14ac:dyDescent="0.3">
      <c r="B519" s="58" t="s">
        <v>557</v>
      </c>
      <c r="C519" s="58" t="s">
        <v>14</v>
      </c>
      <c r="D519" s="58" t="s">
        <v>60</v>
      </c>
      <c r="E519" s="58">
        <v>1</v>
      </c>
      <c r="F519" s="1" t="e">
        <f>VLOOKUP(B519,Calculs!$B:$B,1,FALSE)</f>
        <v>#N/A</v>
      </c>
    </row>
    <row r="520" spans="2:6" x14ac:dyDescent="0.3">
      <c r="B520" s="58" t="s">
        <v>558</v>
      </c>
      <c r="C520" s="58" t="s">
        <v>16</v>
      </c>
      <c r="D520" s="58" t="s">
        <v>62</v>
      </c>
      <c r="E520" s="58">
        <v>1</v>
      </c>
      <c r="F520" s="1" t="e">
        <f>VLOOKUP(B520,Calculs!$B:$B,1,FALSE)</f>
        <v>#N/A</v>
      </c>
    </row>
    <row r="521" spans="2:6" x14ac:dyDescent="0.3">
      <c r="B521" s="58" t="s">
        <v>559</v>
      </c>
      <c r="C521" s="58" t="s">
        <v>14</v>
      </c>
      <c r="D521" s="58" t="s">
        <v>64</v>
      </c>
      <c r="E521" s="58">
        <v>1</v>
      </c>
      <c r="F521" s="1" t="e">
        <f>VLOOKUP(B521,Calculs!$B:$B,1,FALSE)</f>
        <v>#N/A</v>
      </c>
    </row>
    <row r="522" spans="2:6" x14ac:dyDescent="0.3">
      <c r="B522" s="58" t="s">
        <v>560</v>
      </c>
      <c r="C522" s="58" t="s">
        <v>15</v>
      </c>
      <c r="D522" s="58" t="s">
        <v>63</v>
      </c>
      <c r="E522" s="58">
        <v>1</v>
      </c>
      <c r="F522" s="1" t="e">
        <f>VLOOKUP(B522,Calculs!$B:$B,1,FALSE)</f>
        <v>#N/A</v>
      </c>
    </row>
    <row r="523" spans="2:6" hidden="1" x14ac:dyDescent="0.3">
      <c r="B523" s="58" t="s">
        <v>250</v>
      </c>
      <c r="C523" s="58" t="s">
        <v>17</v>
      </c>
      <c r="D523" s="58" t="s">
        <v>71</v>
      </c>
      <c r="E523" s="58">
        <v>1</v>
      </c>
      <c r="F523" s="1" t="e">
        <f>VLOOKUP(B523,Calculs!$B:$B,1,FALSE)</f>
        <v>#N/A</v>
      </c>
    </row>
    <row r="524" spans="2:6" x14ac:dyDescent="0.3">
      <c r="B524" s="58" t="s">
        <v>561</v>
      </c>
      <c r="C524" s="58" t="s">
        <v>17</v>
      </c>
      <c r="D524" s="58" t="s">
        <v>67</v>
      </c>
      <c r="E524" s="58">
        <v>1</v>
      </c>
      <c r="F524" s="1" t="e">
        <f>VLOOKUP(B524,Calculs!$B:$B,1,FALSE)</f>
        <v>#N/A</v>
      </c>
    </row>
    <row r="525" spans="2:6" x14ac:dyDescent="0.3">
      <c r="B525" s="58" t="s">
        <v>562</v>
      </c>
      <c r="C525" s="58" t="s">
        <v>16</v>
      </c>
      <c r="D525" s="58" t="s">
        <v>68</v>
      </c>
      <c r="E525" s="58">
        <v>1</v>
      </c>
      <c r="F525" s="1" t="e">
        <f>VLOOKUP(B525,Calculs!$B:$B,1,FALSE)</f>
        <v>#N/A</v>
      </c>
    </row>
    <row r="526" spans="2:6" x14ac:dyDescent="0.3">
      <c r="B526" s="58" t="s">
        <v>563</v>
      </c>
      <c r="C526" s="58" t="s">
        <v>16</v>
      </c>
      <c r="D526" s="58" t="s">
        <v>65</v>
      </c>
      <c r="E526" s="58">
        <v>1</v>
      </c>
      <c r="F526" s="1" t="e">
        <f>VLOOKUP(B526,Calculs!$B:$B,1,FALSE)</f>
        <v>#N/A</v>
      </c>
    </row>
    <row r="527" spans="2:6" x14ac:dyDescent="0.3">
      <c r="B527" s="58" t="s">
        <v>564</v>
      </c>
      <c r="C527" s="58" t="s">
        <v>15</v>
      </c>
      <c r="D527" s="58" t="s">
        <v>62</v>
      </c>
      <c r="E527" s="58">
        <v>1</v>
      </c>
      <c r="F527" s="1" t="e">
        <f>VLOOKUP(B527,Calculs!$B:$B,1,FALSE)</f>
        <v>#N/A</v>
      </c>
    </row>
    <row r="528" spans="2:6" x14ac:dyDescent="0.3">
      <c r="B528" s="58" t="s">
        <v>565</v>
      </c>
      <c r="C528" s="58" t="s">
        <v>14</v>
      </c>
      <c r="D528" s="58" t="s">
        <v>61</v>
      </c>
      <c r="E528" s="58">
        <v>1</v>
      </c>
      <c r="F528" s="1" t="e">
        <f>VLOOKUP(B528,Calculs!$B:$B,1,FALSE)</f>
        <v>#N/A</v>
      </c>
    </row>
    <row r="529" spans="2:6" x14ac:dyDescent="0.3">
      <c r="B529" s="58" t="s">
        <v>566</v>
      </c>
      <c r="C529" s="58" t="s">
        <v>16</v>
      </c>
      <c r="D529" s="58" t="s">
        <v>60</v>
      </c>
      <c r="E529" s="58">
        <v>1</v>
      </c>
      <c r="F529" s="1" t="e">
        <f>VLOOKUP(B529,Calculs!$B:$B,1,FALSE)</f>
        <v>#N/A</v>
      </c>
    </row>
    <row r="530" spans="2:6" x14ac:dyDescent="0.3">
      <c r="B530" s="58" t="s">
        <v>567</v>
      </c>
      <c r="C530" s="58" t="s">
        <v>14</v>
      </c>
      <c r="D530" s="58" t="s">
        <v>72</v>
      </c>
      <c r="E530" s="58">
        <v>1</v>
      </c>
      <c r="F530" s="1" t="e">
        <f>VLOOKUP(B530,Calculs!$B:$B,1,FALSE)</f>
        <v>#N/A</v>
      </c>
    </row>
    <row r="531" spans="2:6" x14ac:dyDescent="0.3">
      <c r="B531" s="58" t="s">
        <v>568</v>
      </c>
      <c r="C531" s="58" t="s">
        <v>16</v>
      </c>
      <c r="D531" s="58" t="s">
        <v>59</v>
      </c>
      <c r="E531" s="58">
        <v>1</v>
      </c>
      <c r="F531" s="1" t="e">
        <f>VLOOKUP(B531,Calculs!$B:$B,1,FALSE)</f>
        <v>#N/A</v>
      </c>
    </row>
    <row r="532" spans="2:6" x14ac:dyDescent="0.3">
      <c r="B532" s="58" t="s">
        <v>569</v>
      </c>
      <c r="C532" s="58" t="s">
        <v>17</v>
      </c>
      <c r="D532" s="58" t="s">
        <v>61</v>
      </c>
      <c r="E532" s="58">
        <v>1</v>
      </c>
      <c r="F532" s="1" t="e">
        <f>VLOOKUP(B532,Calculs!$B:$B,1,FALSE)</f>
        <v>#N/A</v>
      </c>
    </row>
    <row r="533" spans="2:6" x14ac:dyDescent="0.3">
      <c r="B533" s="58" t="s">
        <v>570</v>
      </c>
      <c r="C533" s="58" t="s">
        <v>15</v>
      </c>
      <c r="D533" s="58" t="s">
        <v>81</v>
      </c>
      <c r="E533" s="58">
        <v>1</v>
      </c>
      <c r="F533" s="1" t="e">
        <f>VLOOKUP(B533,Calculs!$B:$B,1,FALSE)</f>
        <v>#N/A</v>
      </c>
    </row>
    <row r="534" spans="2:6" x14ac:dyDescent="0.3">
      <c r="B534" s="58" t="s">
        <v>571</v>
      </c>
      <c r="C534" s="58" t="s">
        <v>17</v>
      </c>
      <c r="D534" s="58" t="s">
        <v>81</v>
      </c>
      <c r="E534" s="58">
        <v>1</v>
      </c>
      <c r="F534" s="1" t="e">
        <f>VLOOKUP(B534,Calculs!$B:$B,1,FALSE)</f>
        <v>#N/A</v>
      </c>
    </row>
    <row r="535" spans="2:6" x14ac:dyDescent="0.3">
      <c r="B535" s="58" t="s">
        <v>572</v>
      </c>
      <c r="C535" s="58" t="s">
        <v>17</v>
      </c>
      <c r="D535" s="58" t="s">
        <v>59</v>
      </c>
      <c r="E535" s="58">
        <v>1</v>
      </c>
      <c r="F535" s="1" t="e">
        <f>VLOOKUP(B535,Calculs!$B:$B,1,FALSE)</f>
        <v>#N/A</v>
      </c>
    </row>
    <row r="536" spans="2:6" hidden="1" x14ac:dyDescent="0.3">
      <c r="B536" s="58" t="s">
        <v>208</v>
      </c>
      <c r="C536" s="58" t="s">
        <v>15</v>
      </c>
      <c r="D536" s="58" t="s">
        <v>67</v>
      </c>
      <c r="E536" s="58">
        <v>1</v>
      </c>
      <c r="F536" s="1" t="e">
        <f>VLOOKUP(B536,Calculs!$B:$B,1,FALSE)</f>
        <v>#N/A</v>
      </c>
    </row>
    <row r="537" spans="2:6" x14ac:dyDescent="0.3">
      <c r="B537" s="58" t="s">
        <v>573</v>
      </c>
      <c r="C537" s="58" t="s">
        <v>16</v>
      </c>
      <c r="D537" s="58" t="s">
        <v>81</v>
      </c>
      <c r="E537" s="58">
        <v>1</v>
      </c>
      <c r="F537" s="1" t="e">
        <f>VLOOKUP(B537,Calculs!$B:$B,1,FALSE)</f>
        <v>#N/A</v>
      </c>
    </row>
    <row r="538" spans="2:6" x14ac:dyDescent="0.3">
      <c r="B538" s="58" t="s">
        <v>574</v>
      </c>
      <c r="C538" s="58" t="s">
        <v>17</v>
      </c>
      <c r="D538" s="58" t="s">
        <v>65</v>
      </c>
      <c r="E538" s="58">
        <v>1</v>
      </c>
      <c r="F538" s="1" t="e">
        <f>VLOOKUP(B538,Calculs!$B:$B,1,FALSE)</f>
        <v>#N/A</v>
      </c>
    </row>
    <row r="539" spans="2:6" x14ac:dyDescent="0.3">
      <c r="B539" s="58" t="s">
        <v>575</v>
      </c>
      <c r="C539" s="58" t="s">
        <v>17</v>
      </c>
      <c r="D539" s="58" t="s">
        <v>71</v>
      </c>
      <c r="E539" s="58">
        <v>1</v>
      </c>
      <c r="F539" s="1" t="e">
        <f>VLOOKUP(B539,Calculs!$B:$B,1,FALSE)</f>
        <v>#N/A</v>
      </c>
    </row>
    <row r="540" spans="2:6" x14ac:dyDescent="0.3">
      <c r="B540" s="58" t="s">
        <v>576</v>
      </c>
      <c r="C540" s="58" t="s">
        <v>16</v>
      </c>
      <c r="D540" s="58" t="s">
        <v>60</v>
      </c>
      <c r="E540" s="58">
        <v>1</v>
      </c>
      <c r="F540" s="1" t="e">
        <f>VLOOKUP(B540,Calculs!$B:$B,1,FALSE)</f>
        <v>#N/A</v>
      </c>
    </row>
    <row r="541" spans="2:6" x14ac:dyDescent="0.3">
      <c r="B541" s="58" t="s">
        <v>577</v>
      </c>
      <c r="C541" s="58" t="s">
        <v>14</v>
      </c>
      <c r="D541" s="58" t="s">
        <v>360</v>
      </c>
      <c r="E541" s="58">
        <v>1</v>
      </c>
      <c r="F541" s="1" t="e">
        <f>VLOOKUP(B541,Calculs!$B:$B,1,FALSE)</f>
        <v>#N/A</v>
      </c>
    </row>
    <row r="542" spans="2:6" hidden="1" x14ac:dyDescent="0.3">
      <c r="B542" s="58" t="s">
        <v>578</v>
      </c>
      <c r="C542" s="58" t="s">
        <v>16</v>
      </c>
      <c r="D542" s="58" t="s">
        <v>64</v>
      </c>
      <c r="E542" s="58">
        <v>1</v>
      </c>
      <c r="F542" s="1" t="e">
        <f>VLOOKUP(B542,Calculs!$B:$B,1,FALSE)</f>
        <v>#N/A</v>
      </c>
    </row>
    <row r="543" spans="2:6" x14ac:dyDescent="0.3">
      <c r="B543" s="58" t="s">
        <v>579</v>
      </c>
      <c r="C543" s="58" t="s">
        <v>14</v>
      </c>
      <c r="D543" s="58" t="s">
        <v>360</v>
      </c>
      <c r="E543" s="58">
        <v>1</v>
      </c>
      <c r="F543" s="1" t="e">
        <f>VLOOKUP(B543,Calculs!$B:$B,1,FALSE)</f>
        <v>#N/A</v>
      </c>
    </row>
    <row r="544" spans="2:6" hidden="1" x14ac:dyDescent="0.3">
      <c r="B544" s="58" t="s">
        <v>218</v>
      </c>
      <c r="C544" s="58" t="s">
        <v>14</v>
      </c>
      <c r="D544" s="58" t="s">
        <v>67</v>
      </c>
      <c r="E544" s="58">
        <v>1</v>
      </c>
      <c r="F544" s="1" t="e">
        <f>VLOOKUP(B544,Calculs!$B:$B,1,FALSE)</f>
        <v>#N/A</v>
      </c>
    </row>
    <row r="545" spans="2:6" x14ac:dyDescent="0.3">
      <c r="B545" s="58" t="s">
        <v>580</v>
      </c>
      <c r="C545" s="58" t="s">
        <v>16</v>
      </c>
      <c r="D545" s="58" t="s">
        <v>69</v>
      </c>
      <c r="E545" s="58">
        <v>1</v>
      </c>
      <c r="F545" s="1" t="e">
        <f>VLOOKUP(B545,Calculs!$B:$B,1,FALSE)</f>
        <v>#N/A</v>
      </c>
    </row>
    <row r="546" spans="2:6" x14ac:dyDescent="0.3">
      <c r="B546" s="58" t="s">
        <v>581</v>
      </c>
      <c r="C546" s="58" t="s">
        <v>14</v>
      </c>
      <c r="D546" s="58" t="s">
        <v>66</v>
      </c>
      <c r="E546" s="58">
        <v>1</v>
      </c>
      <c r="F546" s="1" t="e">
        <f>VLOOKUP(B546,Calculs!$B:$B,1,FALSE)</f>
        <v>#N/A</v>
      </c>
    </row>
    <row r="547" spans="2:6" hidden="1" x14ac:dyDescent="0.3">
      <c r="B547" s="58" t="s">
        <v>204</v>
      </c>
      <c r="C547" s="58" t="s">
        <v>16</v>
      </c>
      <c r="D547" s="58" t="s">
        <v>65</v>
      </c>
      <c r="E547" s="58">
        <v>1</v>
      </c>
      <c r="F547" s="1" t="e">
        <f>VLOOKUP(B547,Calculs!$B:$B,1,FALSE)</f>
        <v>#N/A</v>
      </c>
    </row>
    <row r="548" spans="2:6" x14ac:dyDescent="0.3">
      <c r="B548" s="58" t="s">
        <v>582</v>
      </c>
      <c r="C548" s="58" t="s">
        <v>14</v>
      </c>
      <c r="D548" s="58" t="s">
        <v>74</v>
      </c>
      <c r="E548" s="58">
        <v>1</v>
      </c>
      <c r="F548" s="1" t="e">
        <f>VLOOKUP(B548,Calculs!$B:$B,1,FALSE)</f>
        <v>#N/A</v>
      </c>
    </row>
    <row r="549" spans="2:6" x14ac:dyDescent="0.3">
      <c r="B549" s="58" t="s">
        <v>583</v>
      </c>
      <c r="C549" s="58" t="s">
        <v>15</v>
      </c>
      <c r="D549" s="58" t="s">
        <v>355</v>
      </c>
      <c r="E549" s="58">
        <v>1</v>
      </c>
      <c r="F549" s="1" t="e">
        <f>VLOOKUP(B549,Calculs!$B:$B,1,FALSE)</f>
        <v>#N/A</v>
      </c>
    </row>
    <row r="550" spans="2:6" x14ac:dyDescent="0.3">
      <c r="B550" s="58" t="s">
        <v>584</v>
      </c>
      <c r="C550" s="58" t="s">
        <v>17</v>
      </c>
      <c r="D550" s="58" t="s">
        <v>63</v>
      </c>
      <c r="E550" s="58">
        <v>1</v>
      </c>
      <c r="F550" s="1" t="e">
        <f>VLOOKUP(B550,Calculs!$B:$B,1,FALSE)</f>
        <v>#N/A</v>
      </c>
    </row>
    <row r="551" spans="2:6" x14ac:dyDescent="0.3">
      <c r="B551" s="58" t="s">
        <v>585</v>
      </c>
      <c r="C551" s="58" t="s">
        <v>15</v>
      </c>
      <c r="D551" s="58" t="s">
        <v>68</v>
      </c>
      <c r="E551" s="58">
        <v>1</v>
      </c>
      <c r="F551" s="1" t="e">
        <f>VLOOKUP(B551,Calculs!$B:$B,1,FALSE)</f>
        <v>#N/A</v>
      </c>
    </row>
    <row r="552" spans="2:6" x14ac:dyDescent="0.3">
      <c r="B552" s="58" t="s">
        <v>586</v>
      </c>
      <c r="C552" s="58" t="s">
        <v>14</v>
      </c>
      <c r="D552" s="58" t="s">
        <v>62</v>
      </c>
      <c r="E552" s="58">
        <v>1</v>
      </c>
      <c r="F552" s="1" t="e">
        <f>VLOOKUP(B552,Calculs!$B:$B,1,FALSE)</f>
        <v>#N/A</v>
      </c>
    </row>
    <row r="553" spans="2:6" x14ac:dyDescent="0.3">
      <c r="B553" s="58" t="s">
        <v>587</v>
      </c>
      <c r="C553" s="58" t="s">
        <v>17</v>
      </c>
      <c r="D553" s="58" t="s">
        <v>71</v>
      </c>
      <c r="E553" s="58">
        <v>1</v>
      </c>
      <c r="F553" s="1" t="e">
        <f>VLOOKUP(B553,Calculs!$B:$B,1,FALSE)</f>
        <v>#N/A</v>
      </c>
    </row>
    <row r="554" spans="2:6" x14ac:dyDescent="0.3">
      <c r="B554" s="58" t="s">
        <v>588</v>
      </c>
      <c r="C554" s="58" t="s">
        <v>17</v>
      </c>
      <c r="D554" s="58" t="s">
        <v>61</v>
      </c>
      <c r="E554" s="58">
        <v>1</v>
      </c>
      <c r="F554" s="1" t="e">
        <f>VLOOKUP(B554,Calculs!$B:$B,1,FALSE)</f>
        <v>#N/A</v>
      </c>
    </row>
    <row r="555" spans="2:6" x14ac:dyDescent="0.3">
      <c r="B555" s="58" t="s">
        <v>589</v>
      </c>
      <c r="C555" s="58" t="s">
        <v>17</v>
      </c>
      <c r="D555" s="58" t="s">
        <v>59</v>
      </c>
      <c r="E555" s="58">
        <v>1</v>
      </c>
      <c r="F555" s="1" t="e">
        <f>VLOOKUP(B555,Calculs!$B:$B,1,FALSE)</f>
        <v>#N/A</v>
      </c>
    </row>
    <row r="556" spans="2:6" x14ac:dyDescent="0.3">
      <c r="B556" s="58" t="s">
        <v>590</v>
      </c>
      <c r="C556" s="58" t="s">
        <v>14</v>
      </c>
      <c r="D556" s="58" t="s">
        <v>74</v>
      </c>
      <c r="E556" s="58">
        <v>1</v>
      </c>
      <c r="F556" s="1" t="e">
        <f>VLOOKUP(B556,Calculs!$B:$B,1,FALSE)</f>
        <v>#N/A</v>
      </c>
    </row>
    <row r="557" spans="2:6" x14ac:dyDescent="0.3">
      <c r="B557" s="58" t="s">
        <v>591</v>
      </c>
      <c r="C557" s="58" t="s">
        <v>14</v>
      </c>
      <c r="D557" s="58" t="s">
        <v>61</v>
      </c>
      <c r="E557" s="58">
        <v>1</v>
      </c>
      <c r="F557" s="1" t="e">
        <f>VLOOKUP(B557,Calculs!$B:$B,1,FALSE)</f>
        <v>#N/A</v>
      </c>
    </row>
    <row r="558" spans="2:6" x14ac:dyDescent="0.3">
      <c r="B558" s="58" t="s">
        <v>592</v>
      </c>
      <c r="C558" s="58" t="s">
        <v>14</v>
      </c>
      <c r="D558" s="58" t="s">
        <v>81</v>
      </c>
      <c r="E558" s="58">
        <v>1</v>
      </c>
      <c r="F558" s="1" t="e">
        <f>VLOOKUP(B558,Calculs!$B:$B,1,FALSE)</f>
        <v>#N/A</v>
      </c>
    </row>
    <row r="559" spans="2:6" x14ac:dyDescent="0.3">
      <c r="B559" s="58" t="s">
        <v>593</v>
      </c>
      <c r="C559" s="58" t="s">
        <v>16</v>
      </c>
      <c r="D559" s="58" t="s">
        <v>68</v>
      </c>
      <c r="E559" s="58">
        <v>1</v>
      </c>
      <c r="F559" s="1" t="e">
        <f>VLOOKUP(B559,Calculs!$B:$B,1,FALSE)</f>
        <v>#N/A</v>
      </c>
    </row>
    <row r="560" spans="2:6" x14ac:dyDescent="0.3">
      <c r="B560" s="58" t="s">
        <v>594</v>
      </c>
      <c r="C560" s="58" t="s">
        <v>15</v>
      </c>
      <c r="D560" s="58" t="s">
        <v>73</v>
      </c>
      <c r="E560" s="58">
        <v>1</v>
      </c>
      <c r="F560" s="1" t="e">
        <f>VLOOKUP(B560,Calculs!$B:$B,1,FALSE)</f>
        <v>#N/A</v>
      </c>
    </row>
    <row r="561" spans="2:6" hidden="1" x14ac:dyDescent="0.3">
      <c r="B561" s="58" t="s">
        <v>213</v>
      </c>
      <c r="C561" s="58" t="s">
        <v>17</v>
      </c>
      <c r="D561" s="58" t="s">
        <v>67</v>
      </c>
      <c r="E561" s="58">
        <v>1</v>
      </c>
      <c r="F561" s="1" t="e">
        <f>VLOOKUP(B561,Calculs!$B:$B,1,FALSE)</f>
        <v>#N/A</v>
      </c>
    </row>
    <row r="562" spans="2:6" hidden="1" x14ac:dyDescent="0.3">
      <c r="B562" s="58" t="s">
        <v>223</v>
      </c>
      <c r="C562" s="58" t="s">
        <v>15</v>
      </c>
      <c r="D562" s="58" t="s">
        <v>74</v>
      </c>
      <c r="E562" s="58">
        <v>1</v>
      </c>
      <c r="F562" s="1" t="e">
        <f>VLOOKUP(B562,Calculs!$B:$B,1,FALSE)</f>
        <v>#N/A</v>
      </c>
    </row>
    <row r="563" spans="2:6" x14ac:dyDescent="0.3">
      <c r="B563" s="58" t="s">
        <v>595</v>
      </c>
      <c r="C563" s="58" t="s">
        <v>16</v>
      </c>
      <c r="D563" s="58" t="s">
        <v>65</v>
      </c>
      <c r="E563" s="58">
        <v>1</v>
      </c>
      <c r="F563" s="1" t="e">
        <f>VLOOKUP(B563,Calculs!$B:$B,1,FALSE)</f>
        <v>#N/A</v>
      </c>
    </row>
    <row r="564" spans="2:6" x14ac:dyDescent="0.3">
      <c r="B564" s="58" t="s">
        <v>596</v>
      </c>
      <c r="C564" s="58" t="s">
        <v>17</v>
      </c>
      <c r="D564" s="58" t="s">
        <v>72</v>
      </c>
      <c r="E564" s="58">
        <v>1</v>
      </c>
      <c r="F564" s="1" t="e">
        <f>VLOOKUP(B564,Calculs!$B:$B,1,FALSE)</f>
        <v>#N/A</v>
      </c>
    </row>
    <row r="565" spans="2:6" x14ac:dyDescent="0.3">
      <c r="B565" s="58" t="s">
        <v>597</v>
      </c>
      <c r="C565" s="58" t="s">
        <v>17</v>
      </c>
      <c r="D565" s="58" t="s">
        <v>64</v>
      </c>
      <c r="E565" s="58">
        <v>1</v>
      </c>
      <c r="F565" s="1" t="e">
        <f>VLOOKUP(B565,Calculs!$B:$B,1,FALSE)</f>
        <v>#N/A</v>
      </c>
    </row>
    <row r="566" spans="2:6" x14ac:dyDescent="0.3">
      <c r="B566" s="58" t="s">
        <v>598</v>
      </c>
      <c r="C566" s="58" t="s">
        <v>17</v>
      </c>
      <c r="D566" s="58" t="s">
        <v>61</v>
      </c>
      <c r="E566" s="58">
        <v>1</v>
      </c>
      <c r="F566" s="1" t="e">
        <f>VLOOKUP(B566,Calculs!$B:$B,1,FALSE)</f>
        <v>#N/A</v>
      </c>
    </row>
    <row r="567" spans="2:6" hidden="1" x14ac:dyDescent="0.3">
      <c r="B567" s="58" t="s">
        <v>185</v>
      </c>
      <c r="C567" s="58" t="s">
        <v>17</v>
      </c>
      <c r="D567" s="58" t="s">
        <v>66</v>
      </c>
      <c r="E567" s="58">
        <v>1</v>
      </c>
      <c r="F567" s="1" t="e">
        <f>VLOOKUP(B567,Calculs!$B:$B,1,FALSE)</f>
        <v>#N/A</v>
      </c>
    </row>
    <row r="568" spans="2:6" x14ac:dyDescent="0.3">
      <c r="B568" s="58" t="s">
        <v>599</v>
      </c>
      <c r="C568" s="58" t="s">
        <v>15</v>
      </c>
      <c r="D568" s="58" t="s">
        <v>82</v>
      </c>
      <c r="E568" s="58">
        <v>1</v>
      </c>
      <c r="F568" s="1" t="e">
        <f>VLOOKUP(B568,Calculs!$B:$B,1,FALSE)</f>
        <v>#N/A</v>
      </c>
    </row>
    <row r="569" spans="2:6" x14ac:dyDescent="0.3">
      <c r="B569" s="58" t="s">
        <v>600</v>
      </c>
      <c r="C569" s="58" t="s">
        <v>17</v>
      </c>
      <c r="D569" s="58" t="s">
        <v>63</v>
      </c>
      <c r="E569" s="58">
        <v>1</v>
      </c>
      <c r="F569" s="1" t="e">
        <f>VLOOKUP(B569,Calculs!$B:$B,1,FALSE)</f>
        <v>#N/A</v>
      </c>
    </row>
    <row r="570" spans="2:6" x14ac:dyDescent="0.3">
      <c r="B570" s="58" t="s">
        <v>601</v>
      </c>
      <c r="C570" s="58" t="s">
        <v>17</v>
      </c>
      <c r="D570" s="58" t="s">
        <v>62</v>
      </c>
      <c r="E570" s="58">
        <v>1</v>
      </c>
      <c r="F570" s="1" t="e">
        <f>VLOOKUP(B570,Calculs!$B:$B,1,FALSE)</f>
        <v>#N/A</v>
      </c>
    </row>
    <row r="571" spans="2:6" x14ac:dyDescent="0.3">
      <c r="B571" s="58" t="s">
        <v>602</v>
      </c>
      <c r="C571" s="58" t="s">
        <v>14</v>
      </c>
      <c r="D571" s="58" t="s">
        <v>355</v>
      </c>
      <c r="E571" s="58">
        <v>1</v>
      </c>
      <c r="F571" s="1" t="e">
        <f>VLOOKUP(B571,Calculs!$B:$B,1,FALSE)</f>
        <v>#N/A</v>
      </c>
    </row>
    <row r="572" spans="2:6" x14ac:dyDescent="0.3">
      <c r="B572" s="58" t="s">
        <v>603</v>
      </c>
      <c r="C572" s="58" t="s">
        <v>16</v>
      </c>
      <c r="D572" s="58" t="s">
        <v>60</v>
      </c>
      <c r="E572" s="58">
        <v>1</v>
      </c>
      <c r="F572" s="1" t="e">
        <f>VLOOKUP(B572,Calculs!$B:$B,1,FALSE)</f>
        <v>#N/A</v>
      </c>
    </row>
    <row r="573" spans="2:6" ht="28.8" x14ac:dyDescent="0.3">
      <c r="B573" s="58" t="s">
        <v>604</v>
      </c>
      <c r="C573" s="58" t="s">
        <v>16</v>
      </c>
      <c r="D573" s="58" t="s">
        <v>66</v>
      </c>
      <c r="E573" s="58">
        <v>1</v>
      </c>
      <c r="F573" s="1" t="e">
        <f>VLOOKUP(B573,Calculs!$B:$B,1,FALSE)</f>
        <v>#N/A</v>
      </c>
    </row>
    <row r="574" spans="2:6" x14ac:dyDescent="0.3">
      <c r="B574" s="58" t="s">
        <v>605</v>
      </c>
      <c r="C574" s="58" t="s">
        <v>16</v>
      </c>
      <c r="D574" s="58" t="s">
        <v>59</v>
      </c>
      <c r="E574" s="58">
        <v>1</v>
      </c>
      <c r="F574" s="1" t="e">
        <f>VLOOKUP(B574,Calculs!$B:$B,1,FALSE)</f>
        <v>#N/A</v>
      </c>
    </row>
    <row r="575" spans="2:6" x14ac:dyDescent="0.3">
      <c r="B575" s="58" t="s">
        <v>606</v>
      </c>
      <c r="C575" s="58" t="s">
        <v>15</v>
      </c>
      <c r="D575" s="58" t="s">
        <v>68</v>
      </c>
      <c r="E575" s="58">
        <v>1</v>
      </c>
      <c r="F575" s="1" t="e">
        <f>VLOOKUP(B575,Calculs!$B:$B,1,FALSE)</f>
        <v>#N/A</v>
      </c>
    </row>
    <row r="576" spans="2:6" x14ac:dyDescent="0.3">
      <c r="B576" s="58" t="s">
        <v>607</v>
      </c>
      <c r="C576" s="58" t="s">
        <v>14</v>
      </c>
      <c r="D576" s="58" t="s">
        <v>81</v>
      </c>
      <c r="E576" s="58">
        <v>1</v>
      </c>
      <c r="F576" s="1" t="e">
        <f>VLOOKUP(B576,Calculs!$B:$B,1,FALSE)</f>
        <v>#N/A</v>
      </c>
    </row>
    <row r="577" spans="2:6" x14ac:dyDescent="0.3">
      <c r="B577" s="58" t="s">
        <v>608</v>
      </c>
      <c r="C577" s="58" t="s">
        <v>15</v>
      </c>
      <c r="D577" s="58" t="s">
        <v>60</v>
      </c>
      <c r="E577" s="58">
        <v>1</v>
      </c>
      <c r="F577" s="1" t="e">
        <f>VLOOKUP(B577,Calculs!$B:$B,1,FALSE)</f>
        <v>#N/A</v>
      </c>
    </row>
    <row r="578" spans="2:6" x14ac:dyDescent="0.3">
      <c r="B578" s="58" t="s">
        <v>609</v>
      </c>
      <c r="C578" s="58" t="s">
        <v>17</v>
      </c>
      <c r="D578" s="58" t="s">
        <v>59</v>
      </c>
      <c r="E578" s="58">
        <v>1</v>
      </c>
      <c r="F578" s="1" t="e">
        <f>VLOOKUP(B578,Calculs!$B:$B,1,FALSE)</f>
        <v>#N/A</v>
      </c>
    </row>
    <row r="579" spans="2:6" x14ac:dyDescent="0.3">
      <c r="B579" s="58" t="s">
        <v>610</v>
      </c>
      <c r="C579" s="58" t="s">
        <v>17</v>
      </c>
      <c r="D579" s="58" t="s">
        <v>62</v>
      </c>
      <c r="E579" s="58">
        <v>1</v>
      </c>
      <c r="F579" s="1" t="e">
        <f>VLOOKUP(B579,Calculs!$B:$B,1,FALSE)</f>
        <v>#N/A</v>
      </c>
    </row>
    <row r="580" spans="2:6" x14ac:dyDescent="0.3">
      <c r="B580" s="58" t="s">
        <v>611</v>
      </c>
      <c r="C580" s="58" t="s">
        <v>14</v>
      </c>
      <c r="D580" s="58" t="s">
        <v>74</v>
      </c>
      <c r="E580" s="58">
        <v>1</v>
      </c>
      <c r="F580" s="1" t="e">
        <f>VLOOKUP(B580,Calculs!$B:$B,1,FALSE)</f>
        <v>#N/A</v>
      </c>
    </row>
    <row r="581" spans="2:6" x14ac:dyDescent="0.3">
      <c r="B581" s="58" t="s">
        <v>612</v>
      </c>
      <c r="C581" s="58" t="s">
        <v>14</v>
      </c>
      <c r="D581" s="58" t="s">
        <v>67</v>
      </c>
      <c r="E581" s="58">
        <v>1</v>
      </c>
      <c r="F581" s="1" t="e">
        <f>VLOOKUP(B581,Calculs!$B:$B,1,FALSE)</f>
        <v>#N/A</v>
      </c>
    </row>
    <row r="582" spans="2:6" x14ac:dyDescent="0.3">
      <c r="B582" s="58" t="s">
        <v>613</v>
      </c>
      <c r="C582" s="58" t="s">
        <v>16</v>
      </c>
      <c r="D582" s="58" t="s">
        <v>72</v>
      </c>
      <c r="E582" s="58">
        <v>1</v>
      </c>
      <c r="F582" s="1" t="e">
        <f>VLOOKUP(B582,Calculs!$B:$B,1,FALSE)</f>
        <v>#N/A</v>
      </c>
    </row>
    <row r="583" spans="2:6" hidden="1" x14ac:dyDescent="0.3">
      <c r="B583" s="58" t="s">
        <v>614</v>
      </c>
      <c r="C583" s="58" t="s">
        <v>14</v>
      </c>
      <c r="D583" s="58" t="s">
        <v>73</v>
      </c>
      <c r="E583" s="58">
        <v>1</v>
      </c>
      <c r="F583" s="1" t="e">
        <f>VLOOKUP(B583,Calculs!$B:$B,1,FALSE)</f>
        <v>#N/A</v>
      </c>
    </row>
    <row r="584" spans="2:6" x14ac:dyDescent="0.3">
      <c r="B584" s="58" t="s">
        <v>615</v>
      </c>
      <c r="C584" s="58" t="s">
        <v>17</v>
      </c>
      <c r="D584" s="58" t="s">
        <v>64</v>
      </c>
      <c r="E584" s="58">
        <v>1</v>
      </c>
      <c r="F584" s="1" t="e">
        <f>VLOOKUP(B584,Calculs!$B:$B,1,FALSE)</f>
        <v>#N/A</v>
      </c>
    </row>
    <row r="585" spans="2:6" hidden="1" x14ac:dyDescent="0.3">
      <c r="B585" s="58" t="s">
        <v>189</v>
      </c>
      <c r="C585" s="58" t="s">
        <v>14</v>
      </c>
      <c r="D585" s="58" t="s">
        <v>66</v>
      </c>
      <c r="E585" s="58">
        <v>1</v>
      </c>
      <c r="F585" s="1" t="e">
        <f>VLOOKUP(B585,Calculs!$B:$B,1,FALSE)</f>
        <v>#N/A</v>
      </c>
    </row>
    <row r="586" spans="2:6" hidden="1" x14ac:dyDescent="0.3">
      <c r="B586" s="58" t="s">
        <v>616</v>
      </c>
      <c r="C586" s="58" t="s">
        <v>17</v>
      </c>
      <c r="D586" s="58" t="s">
        <v>61</v>
      </c>
      <c r="E586" s="58">
        <v>1</v>
      </c>
      <c r="F586" s="1" t="e">
        <f>VLOOKUP(B586,Calculs!$B:$B,1,FALSE)</f>
        <v>#N/A</v>
      </c>
    </row>
    <row r="587" spans="2:6" hidden="1" x14ac:dyDescent="0.3">
      <c r="B587" s="58" t="s">
        <v>648</v>
      </c>
      <c r="C587" s="58" t="s">
        <v>14</v>
      </c>
      <c r="D587" s="58" t="s">
        <v>355</v>
      </c>
      <c r="E587" s="58">
        <v>1</v>
      </c>
      <c r="F587" s="1" t="e">
        <f>VLOOKUP(B587,Calculs!$B:$B,1,FALSE)</f>
        <v>#N/A</v>
      </c>
    </row>
    <row r="588" spans="2:6" hidden="1" x14ac:dyDescent="0.3">
      <c r="B588" s="58" t="s">
        <v>234</v>
      </c>
      <c r="C588" s="58" t="s">
        <v>16</v>
      </c>
      <c r="D588" s="58" t="s">
        <v>74</v>
      </c>
      <c r="E588" s="58">
        <v>1</v>
      </c>
      <c r="F588" s="1" t="e">
        <f>VLOOKUP(B588,Calculs!$B:$B,1,FALSE)</f>
        <v>#N/A</v>
      </c>
    </row>
    <row r="589" spans="2:6" x14ac:dyDescent="0.3">
      <c r="B589" s="58" t="s">
        <v>617</v>
      </c>
      <c r="C589" s="58" t="s">
        <v>17</v>
      </c>
      <c r="D589" s="58" t="s">
        <v>82</v>
      </c>
      <c r="E589" s="58">
        <v>1</v>
      </c>
      <c r="F589" s="1" t="e">
        <f>VLOOKUP(B589,Calculs!$B:$B,1,FALSE)</f>
        <v>#N/A</v>
      </c>
    </row>
    <row r="590" spans="2:6" hidden="1" x14ac:dyDescent="0.3">
      <c r="B590" s="58" t="s">
        <v>191</v>
      </c>
      <c r="C590" s="58" t="s">
        <v>16</v>
      </c>
      <c r="D590" s="58" t="s">
        <v>66</v>
      </c>
      <c r="E590" s="58">
        <v>1</v>
      </c>
      <c r="F590" s="1" t="e">
        <f>VLOOKUP(B590,Calculs!$B:$B,1,FALSE)</f>
        <v>#N/A</v>
      </c>
    </row>
    <row r="591" spans="2:6" hidden="1" x14ac:dyDescent="0.3">
      <c r="B591" s="58" t="s">
        <v>618</v>
      </c>
      <c r="C591" s="58" t="s">
        <v>16</v>
      </c>
      <c r="D591" s="58" t="s">
        <v>66</v>
      </c>
      <c r="E591" s="58">
        <v>1</v>
      </c>
      <c r="F591" s="1" t="e">
        <f>VLOOKUP(B591,Calculs!$B:$B,1,FALSE)</f>
        <v>#N/A</v>
      </c>
    </row>
    <row r="592" spans="2:6" x14ac:dyDescent="0.3">
      <c r="B592" s="58" t="s">
        <v>619</v>
      </c>
      <c r="C592" s="58" t="s">
        <v>17</v>
      </c>
      <c r="D592" s="58" t="s">
        <v>60</v>
      </c>
      <c r="E592" s="58">
        <v>1</v>
      </c>
      <c r="F592" s="1" t="e">
        <f>VLOOKUP(B592,Calculs!$B:$B,1,FALSE)</f>
        <v>#N/A</v>
      </c>
    </row>
    <row r="593" spans="2:6" hidden="1" x14ac:dyDescent="0.3">
      <c r="B593" s="58" t="s">
        <v>620</v>
      </c>
      <c r="C593" s="58" t="s">
        <v>15</v>
      </c>
      <c r="D593" s="58" t="s">
        <v>360</v>
      </c>
      <c r="E593" s="58">
        <v>1</v>
      </c>
      <c r="F593" s="1" t="e">
        <f>VLOOKUP(B593,Calculs!$B:$B,1,FALSE)</f>
        <v>#N/A</v>
      </c>
    </row>
    <row r="594" spans="2:6" x14ac:dyDescent="0.3">
      <c r="B594" s="58" t="s">
        <v>621</v>
      </c>
      <c r="C594" s="58" t="s">
        <v>17</v>
      </c>
      <c r="D594" s="58" t="s">
        <v>81</v>
      </c>
      <c r="E594" s="58">
        <v>1</v>
      </c>
      <c r="F594" s="1" t="e">
        <f>VLOOKUP(B594,Calculs!$B:$B,1,FALSE)</f>
        <v>#N/A</v>
      </c>
    </row>
    <row r="595" spans="2:6" x14ac:dyDescent="0.3">
      <c r="B595" s="58" t="s">
        <v>622</v>
      </c>
      <c r="C595" s="58" t="s">
        <v>16</v>
      </c>
      <c r="D595" s="58" t="s">
        <v>65</v>
      </c>
      <c r="E595" s="58">
        <v>1</v>
      </c>
      <c r="F595" s="1" t="e">
        <f>VLOOKUP(B595,Calculs!$B:$B,1,FALSE)</f>
        <v>#N/A</v>
      </c>
    </row>
    <row r="596" spans="2:6" x14ac:dyDescent="0.3">
      <c r="B596" s="58" t="s">
        <v>623</v>
      </c>
      <c r="C596" s="58" t="s">
        <v>14</v>
      </c>
      <c r="D596" s="58" t="s">
        <v>72</v>
      </c>
      <c r="E596" s="58">
        <v>1</v>
      </c>
      <c r="F596" s="1" t="e">
        <f>VLOOKUP(B596,Calculs!$B:$B,1,FALSE)</f>
        <v>#N/A</v>
      </c>
    </row>
    <row r="597" spans="2:6" x14ac:dyDescent="0.3">
      <c r="B597" s="58" t="s">
        <v>624</v>
      </c>
      <c r="C597" s="58" t="s">
        <v>17</v>
      </c>
      <c r="D597" s="58" t="s">
        <v>66</v>
      </c>
      <c r="E597" s="58">
        <v>1</v>
      </c>
      <c r="F597" s="1" t="e">
        <f>VLOOKUP(B597,Calculs!$B:$B,1,FALSE)</f>
        <v>#N/A</v>
      </c>
    </row>
    <row r="598" spans="2:6" x14ac:dyDescent="0.3">
      <c r="B598" s="58" t="s">
        <v>625</v>
      </c>
      <c r="C598" s="58" t="s">
        <v>15</v>
      </c>
      <c r="D598" s="58" t="s">
        <v>65</v>
      </c>
      <c r="E598" s="58">
        <v>1</v>
      </c>
      <c r="F598" s="1" t="e">
        <f>VLOOKUP(B598,Calculs!$B:$B,1,FALSE)</f>
        <v>#N/A</v>
      </c>
    </row>
    <row r="599" spans="2:6" hidden="1" x14ac:dyDescent="0.3">
      <c r="B599" s="58" t="s">
        <v>225</v>
      </c>
      <c r="C599" s="58" t="s">
        <v>17</v>
      </c>
      <c r="D599" s="58" t="s">
        <v>74</v>
      </c>
      <c r="E599" s="58">
        <v>1</v>
      </c>
      <c r="F599" s="1" t="e">
        <f>VLOOKUP(B599,Calculs!$B:$B,1,FALSE)</f>
        <v>#N/A</v>
      </c>
    </row>
  </sheetData>
  <autoFilter ref="B2:F599" xr:uid="{00000000-0009-0000-0000-000003000000}">
    <filterColumn colId="4">
      <filters>
        <filter val="#N/A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Q650"/>
  <sheetViews>
    <sheetView workbookViewId="0">
      <selection activeCell="B5" sqref="B5"/>
    </sheetView>
  </sheetViews>
  <sheetFormatPr baseColWidth="10" defaultColWidth="11.44140625" defaultRowHeight="14.4" x14ac:dyDescent="0.3"/>
  <cols>
    <col min="1" max="1" width="11.44140625" style="1"/>
    <col min="2" max="2" width="19.44140625" style="1" bestFit="1" customWidth="1"/>
    <col min="3" max="3" width="11.44140625" style="1"/>
    <col min="4" max="4" width="14.44140625" style="1" bestFit="1" customWidth="1"/>
    <col min="5" max="5" width="13.5546875" style="1" bestFit="1" customWidth="1"/>
    <col min="6" max="6" width="11.44140625" style="1"/>
    <col min="7" max="11" width="11.44140625" style="25"/>
    <col min="12" max="12" width="11.44140625" style="1"/>
    <col min="13" max="13" width="11.44140625" style="25"/>
    <col min="14" max="16384" width="11.44140625" style="1"/>
  </cols>
  <sheetData>
    <row r="1" spans="1:17" x14ac:dyDescent="0.3">
      <c r="A1" s="25"/>
    </row>
    <row r="2" spans="1:17" s="26" customFormat="1" x14ac:dyDescent="0.3">
      <c r="B2" s="26" t="s">
        <v>19</v>
      </c>
      <c r="C2" s="26" t="s">
        <v>4</v>
      </c>
      <c r="D2" s="26" t="s">
        <v>7</v>
      </c>
      <c r="E2" s="26" t="s">
        <v>26</v>
      </c>
      <c r="F2" s="26" t="s">
        <v>6</v>
      </c>
      <c r="G2" s="27" t="s">
        <v>28</v>
      </c>
      <c r="H2" s="27" t="s">
        <v>30</v>
      </c>
      <c r="I2" s="27" t="s">
        <v>27</v>
      </c>
      <c r="J2" s="27" t="s">
        <v>29</v>
      </c>
      <c r="K2" s="27" t="s">
        <v>31</v>
      </c>
      <c r="L2" s="26" t="s">
        <v>18</v>
      </c>
      <c r="M2" s="27" t="s">
        <v>33</v>
      </c>
      <c r="P2" s="48" t="s">
        <v>0</v>
      </c>
      <c r="Q2" s="49">
        <f>COUNTIF(C:C,P2)</f>
        <v>0</v>
      </c>
    </row>
    <row r="3" spans="1:17" x14ac:dyDescent="0.3">
      <c r="B3" s="1">
        <f>BDD!C6</f>
        <v>0</v>
      </c>
      <c r="C3" s="1">
        <f>BDD!B6</f>
        <v>0</v>
      </c>
      <c r="D3" s="1">
        <f>BDD!A6</f>
        <v>0</v>
      </c>
      <c r="E3" s="1">
        <f>BDD!D6</f>
        <v>0</v>
      </c>
      <c r="F3" s="1">
        <f>BDD!F6</f>
        <v>0</v>
      </c>
      <c r="G3" s="25">
        <f>'ButsMPG + Var'!$I$39*IF(C3="A",COUNTIF(BDD!H6:AR6,10)*'ButsMPG + Var'!$K$12+COUNTIF(BDD!H6:AR6,9)*'ButsMPG + Var'!$K$11+COUNTIF(BDD!H6:AR6,8)*'ButsMPG + Var'!$K$10+COUNTIF(BDD!H6:AR6,7)*'ButsMPG + Var'!$K$9+COUNTIF(BDD!H6:AR6,6)*'ButsMPG + Var'!$K$8+COUNTIF(BDD!H6:AR6,5)*'ButsMPG + Var'!$K$7+COUNTIF(BDD!H6:AR6,4)*'ButsMPG + Var'!$K$6+COUNTIF(BDD!H6:AR6,3)*'ButsMPG + Var'!$K$5+COUNTIF(BDD!H6:AR6,2)*'ButsMPG + Var'!$K$4+COUNTIF(BDD!H6:AR6,1)*'ButsMPG + Var'!$K$3,IF(C3="M",COUNTIF(BDD!H6:AR6,10)*'ButsMPG + Var'!$K$22+COUNTIF(BDD!H6:AR6,9)*'ButsMPG + Var'!$K$21+COUNTIF(BDD!H6:AR6,8)*'ButsMPG + Var'!$K$20+COUNTIF(BDD!H6:AR6,7)*'ButsMPG + Var'!$K$19+COUNTIF(BDD!H6:AR6,6)*'ButsMPG + Var'!$K$18+COUNTIF(BDD!H6:AR6,5)*'ButsMPG + Var'!$K$17+COUNTIF(BDD!H6:AR6,4)*'ButsMPG + Var'!$K$16+COUNTIF(BDD!H6:AR6,3)*'ButsMPG + Var'!$K$15+COUNTIF(BDD!H6:AR6,2)*'ButsMPG + Var'!$K$14+COUNTIF(BDD!H6:AR6,1)*'ButsMPG + Var'!$K$13,IF(C3="D",COUNTIF(BDD!H6:AR6,10)*'ButsMPG + Var'!$K$32+COUNTIF(BDD!H6:AR6,9)*'ButsMPG + Var'!$K$31+COUNTIF(BDD!H6:AR6,8)*'ButsMPG + Var'!$K$30+COUNTIF(BDD!H6:AR6,7)*'ButsMPG + Var'!$K$29+COUNTIF(BDD!H6:AR6,6)*'ButsMPG + Var'!$K$28+COUNTIF(BDD!H6:AR6,5)*'ButsMPG + Var'!$K$27+COUNTIF(BDD!H6:AR6,4)*'ButsMPG + Var'!$K$26+COUNTIF(BDD!H6:AR6,3)*'ButsMPG + Var'!$K$25+COUNTIF(BDD!H6:AR6,2)*'ButsMPG + Var'!$K$24+COUNTIF(BDD!H6:AR6,1)*'ButsMPG + Var'!$K$23,0)))</f>
        <v>0</v>
      </c>
      <c r="H3" s="25">
        <f>SUM(F3:G3)</f>
        <v>0</v>
      </c>
      <c r="I3" s="25">
        <f>BDD!G6</f>
        <v>0</v>
      </c>
      <c r="J3" s="25">
        <f>SUMPRODUCT(BDD!H6:AS6,'ButsMPG + Var'!$B$46:$AM$46)</f>
        <v>0</v>
      </c>
      <c r="K3" s="25" t="e">
        <f>10*('ButsMPG + Var'!$H$37*J3/MAX(J:J)+'ButsMPG + Var'!$G$37*H3/MAX(H:H))</f>
        <v>#DIV/0!</v>
      </c>
      <c r="L3" s="1">
        <f>IF(ISNA(VLOOKUP(B3,PrixMini!$B$3:$E$573,4,FALSE)),1,VLOOKUP(B3,PrixMini!$B$3:$E$573,4,FALSE))</f>
        <v>1</v>
      </c>
      <c r="M3" s="25" t="e">
        <f>IF(ROUND(CalculCotation!$D$3*EXP(CalculCotation!$C$3*K3)-CalculCotation!$D$3+1,0)&gt;L3,ROUND(CalculCotation!$D$3*EXP(CalculCotation!$C$3*K3)-CalculCotation!$D$3+1,0),L3)</f>
        <v>#DIV/0!</v>
      </c>
      <c r="P3" s="48" t="s">
        <v>1</v>
      </c>
      <c r="Q3" s="49">
        <f t="shared" ref="Q3:Q5" si="0">COUNTIF(C:C,P3)</f>
        <v>0</v>
      </c>
    </row>
    <row r="4" spans="1:17" x14ac:dyDescent="0.3">
      <c r="B4" s="1">
        <f>BDD!C7</f>
        <v>0</v>
      </c>
      <c r="C4" s="1">
        <f>BDD!B7</f>
        <v>0</v>
      </c>
      <c r="D4" s="1">
        <f>BDD!A7</f>
        <v>0</v>
      </c>
      <c r="E4" s="1">
        <f>BDD!D7</f>
        <v>0</v>
      </c>
      <c r="F4" s="1">
        <f>BDD!F7</f>
        <v>0</v>
      </c>
      <c r="G4" s="25">
        <f>'ButsMPG + Var'!$I$39*IF(C4="A",COUNTIF(BDD!H7:AR7,10)*'ButsMPG + Var'!$K$12+COUNTIF(BDD!H7:AR7,9)*'ButsMPG + Var'!$K$11+COUNTIF(BDD!H7:AR7,8)*'ButsMPG + Var'!$K$10+COUNTIF(BDD!H7:AR7,7)*'ButsMPG + Var'!$K$9+COUNTIF(BDD!H7:AR7,6)*'ButsMPG + Var'!$K$8+COUNTIF(BDD!H7:AR7,5)*'ButsMPG + Var'!$K$7+COUNTIF(BDD!H7:AR7,4)*'ButsMPG + Var'!$K$6+COUNTIF(BDD!H7:AR7,3)*'ButsMPG + Var'!$K$5+COUNTIF(BDD!H7:AR7,2)*'ButsMPG + Var'!$K$4+COUNTIF(BDD!H7:AR7,1)*'ButsMPG + Var'!$K$3,IF(C4="M",COUNTIF(BDD!H7:AR7,10)*'ButsMPG + Var'!$K$22+COUNTIF(BDD!H7:AR7,9)*'ButsMPG + Var'!$K$21+COUNTIF(BDD!H7:AR7,8)*'ButsMPG + Var'!$K$20+COUNTIF(BDD!H7:AR7,7)*'ButsMPG + Var'!$K$19+COUNTIF(BDD!H7:AR7,6)*'ButsMPG + Var'!$K$18+COUNTIF(BDD!H7:AR7,5)*'ButsMPG + Var'!$K$17+COUNTIF(BDD!H7:AR7,4)*'ButsMPG + Var'!$K$16+COUNTIF(BDD!H7:AR7,3)*'ButsMPG + Var'!$K$15+COUNTIF(BDD!H7:AR7,2)*'ButsMPG + Var'!$K$14+COUNTIF(BDD!H7:AR7,1)*'ButsMPG + Var'!$K$13,IF(C4="D",COUNTIF(BDD!H7:AR7,10)*'ButsMPG + Var'!$K$32+COUNTIF(BDD!H7:AR7,9)*'ButsMPG + Var'!$K$31+COUNTIF(BDD!H7:AR7,8)*'ButsMPG + Var'!$K$30+COUNTIF(BDD!H7:AR7,7)*'ButsMPG + Var'!$K$29+COUNTIF(BDD!H7:AR7,6)*'ButsMPG + Var'!$K$28+COUNTIF(BDD!H7:AR7,5)*'ButsMPG + Var'!$K$27+COUNTIF(BDD!H7:AR7,4)*'ButsMPG + Var'!$K$26+COUNTIF(BDD!H7:AR7,3)*'ButsMPG + Var'!$K$25+COUNTIF(BDD!H7:AR7,2)*'ButsMPG + Var'!$K$24+COUNTIF(BDD!H7:AR7,1)*'ButsMPG + Var'!$K$23,0)))</f>
        <v>0</v>
      </c>
      <c r="H4" s="25">
        <f t="shared" ref="H4:H67" si="1">SUM(F4:G4)</f>
        <v>0</v>
      </c>
      <c r="I4" s="25">
        <f>BDD!G7</f>
        <v>0</v>
      </c>
      <c r="J4" s="25">
        <f>SUMPRODUCT(BDD!H7:AS7,'ButsMPG + Var'!$B$46:$AM$46)</f>
        <v>0</v>
      </c>
      <c r="K4" s="25" t="e">
        <f>10*('ButsMPG + Var'!$H$37*J4/MAX(J:J)+'ButsMPG + Var'!$G$37*H4/MAX(H:H))</f>
        <v>#DIV/0!</v>
      </c>
      <c r="L4" s="1">
        <f>IF(ISNA(VLOOKUP(B4,PrixMini!$B$3:$E$573,4,FALSE)),1,VLOOKUP(B4,PrixMini!$B$3:$E$573,4,FALSE))</f>
        <v>1</v>
      </c>
      <c r="M4" s="25" t="e">
        <f>IF(ROUND(CalculCotation!$D$3*EXP(CalculCotation!$C$3*K4)-CalculCotation!$D$3+1,0)&gt;L4,ROUND(CalculCotation!$D$3*EXP(CalculCotation!$C$3*K4)-CalculCotation!$D$3+1,0),L4)</f>
        <v>#DIV/0!</v>
      </c>
      <c r="P4" s="48" t="s">
        <v>2</v>
      </c>
      <c r="Q4" s="49">
        <f t="shared" si="0"/>
        <v>0</v>
      </c>
    </row>
    <row r="5" spans="1:17" x14ac:dyDescent="0.3">
      <c r="B5" s="1">
        <f>BDD!C8</f>
        <v>0</v>
      </c>
      <c r="C5" s="1">
        <f>BDD!B8</f>
        <v>0</v>
      </c>
      <c r="D5" s="1">
        <f>BDD!A8</f>
        <v>0</v>
      </c>
      <c r="E5" s="1">
        <f>BDD!D8</f>
        <v>0</v>
      </c>
      <c r="F5" s="1">
        <f>BDD!F8</f>
        <v>0</v>
      </c>
      <c r="G5" s="25">
        <f>'ButsMPG + Var'!$I$39*IF(C5="A",COUNTIF(BDD!H8:AR8,10)*'ButsMPG + Var'!$K$12+COUNTIF(BDD!H8:AR8,9)*'ButsMPG + Var'!$K$11+COUNTIF(BDD!H8:AR8,8)*'ButsMPG + Var'!$K$10+COUNTIF(BDD!H8:AR8,7)*'ButsMPG + Var'!$K$9+COUNTIF(BDD!H8:AR8,6)*'ButsMPG + Var'!$K$8+COUNTIF(BDD!H8:AR8,5)*'ButsMPG + Var'!$K$7+COUNTIF(BDD!H8:AR8,4)*'ButsMPG + Var'!$K$6+COUNTIF(BDD!H8:AR8,3)*'ButsMPG + Var'!$K$5+COUNTIF(BDD!H8:AR8,2)*'ButsMPG + Var'!$K$4+COUNTIF(BDD!H8:AR8,1)*'ButsMPG + Var'!$K$3,IF(C5="M",COUNTIF(BDD!H8:AR8,10)*'ButsMPG + Var'!$K$22+COUNTIF(BDD!H8:AR8,9)*'ButsMPG + Var'!$K$21+COUNTIF(BDD!H8:AR8,8)*'ButsMPG + Var'!$K$20+COUNTIF(BDD!H8:AR8,7)*'ButsMPG + Var'!$K$19+COUNTIF(BDD!H8:AR8,6)*'ButsMPG + Var'!$K$18+COUNTIF(BDD!H8:AR8,5)*'ButsMPG + Var'!$K$17+COUNTIF(BDD!H8:AR8,4)*'ButsMPG + Var'!$K$16+COUNTIF(BDD!H8:AR8,3)*'ButsMPG + Var'!$K$15+COUNTIF(BDD!H8:AR8,2)*'ButsMPG + Var'!$K$14+COUNTIF(BDD!H8:AR8,1)*'ButsMPG + Var'!$K$13,IF(C5="D",COUNTIF(BDD!H8:AR8,10)*'ButsMPG + Var'!$K$32+COUNTIF(BDD!H8:AR8,9)*'ButsMPG + Var'!$K$31+COUNTIF(BDD!H8:AR8,8)*'ButsMPG + Var'!$K$30+COUNTIF(BDD!H8:AR8,7)*'ButsMPG + Var'!$K$29+COUNTIF(BDD!H8:AR8,6)*'ButsMPG + Var'!$K$28+COUNTIF(BDD!H8:AR8,5)*'ButsMPG + Var'!$K$27+COUNTIF(BDD!H8:AR8,4)*'ButsMPG + Var'!$K$26+COUNTIF(BDD!H8:AR8,3)*'ButsMPG + Var'!$K$25+COUNTIF(BDD!H8:AR8,2)*'ButsMPG + Var'!$K$24+COUNTIF(BDD!H8:AR8,1)*'ButsMPG + Var'!$K$23,0)))</f>
        <v>0</v>
      </c>
      <c r="H5" s="25">
        <f t="shared" si="1"/>
        <v>0</v>
      </c>
      <c r="I5" s="25">
        <f>BDD!G8</f>
        <v>0</v>
      </c>
      <c r="J5" s="25">
        <f>SUMPRODUCT(BDD!H8:AS8,'ButsMPG + Var'!$B$46:$AM$46)</f>
        <v>0</v>
      </c>
      <c r="K5" s="25" t="e">
        <f>10*('ButsMPG + Var'!$H$37*J5/MAX(J:J)+'ButsMPG + Var'!$G$37*H5/MAX(H:H))</f>
        <v>#DIV/0!</v>
      </c>
      <c r="L5" s="1">
        <f>IF(ISNA(VLOOKUP(B5,PrixMini!$B$3:$E$573,4,FALSE)),1,VLOOKUP(B5,PrixMini!$B$3:$E$573,4,FALSE))</f>
        <v>1</v>
      </c>
      <c r="M5" s="25" t="e">
        <f>IF(ROUND(CalculCotation!$D$3*EXP(CalculCotation!$C$3*K5)-CalculCotation!$D$3+1,0)&gt;L5,ROUND(CalculCotation!$D$3*EXP(CalculCotation!$C$3*K5)-CalculCotation!$D$3+1,0),L5)</f>
        <v>#DIV/0!</v>
      </c>
      <c r="P5" s="48" t="s">
        <v>3</v>
      </c>
      <c r="Q5" s="49">
        <f t="shared" si="0"/>
        <v>0</v>
      </c>
    </row>
    <row r="6" spans="1:17" x14ac:dyDescent="0.3">
      <c r="B6" s="1">
        <f>BDD!C9</f>
        <v>0</v>
      </c>
      <c r="C6" s="1">
        <f>BDD!B9</f>
        <v>0</v>
      </c>
      <c r="D6" s="1">
        <f>BDD!A9</f>
        <v>0</v>
      </c>
      <c r="E6" s="1">
        <f>BDD!D9</f>
        <v>0</v>
      </c>
      <c r="F6" s="1">
        <f>BDD!F9</f>
        <v>0</v>
      </c>
      <c r="G6" s="25">
        <f>'ButsMPG + Var'!$I$39*IF(C6="A",COUNTIF(BDD!H9:AR9,10)*'ButsMPG + Var'!$K$12+COUNTIF(BDD!H9:AR9,9)*'ButsMPG + Var'!$K$11+COUNTIF(BDD!H9:AR9,8)*'ButsMPG + Var'!$K$10+COUNTIF(BDD!H9:AR9,7)*'ButsMPG + Var'!$K$9+COUNTIF(BDD!H9:AR9,6)*'ButsMPG + Var'!$K$8+COUNTIF(BDD!H9:AR9,5)*'ButsMPG + Var'!$K$7+COUNTIF(BDD!H9:AR9,4)*'ButsMPG + Var'!$K$6+COUNTIF(BDD!H9:AR9,3)*'ButsMPG + Var'!$K$5+COUNTIF(BDD!H9:AR9,2)*'ButsMPG + Var'!$K$4+COUNTIF(BDD!H9:AR9,1)*'ButsMPG + Var'!$K$3,IF(C6="M",COUNTIF(BDD!H9:AR9,10)*'ButsMPG + Var'!$K$22+COUNTIF(BDD!H9:AR9,9)*'ButsMPG + Var'!$K$21+COUNTIF(BDD!H9:AR9,8)*'ButsMPG + Var'!$K$20+COUNTIF(BDD!H9:AR9,7)*'ButsMPG + Var'!$K$19+COUNTIF(BDD!H9:AR9,6)*'ButsMPG + Var'!$K$18+COUNTIF(BDD!H9:AR9,5)*'ButsMPG + Var'!$K$17+COUNTIF(BDD!H9:AR9,4)*'ButsMPG + Var'!$K$16+COUNTIF(BDD!H9:AR9,3)*'ButsMPG + Var'!$K$15+COUNTIF(BDD!H9:AR9,2)*'ButsMPG + Var'!$K$14+COUNTIF(BDD!H9:AR9,1)*'ButsMPG + Var'!$K$13,IF(C6="D",COUNTIF(BDD!H9:AR9,10)*'ButsMPG + Var'!$K$32+COUNTIF(BDD!H9:AR9,9)*'ButsMPG + Var'!$K$31+COUNTIF(BDD!H9:AR9,8)*'ButsMPG + Var'!$K$30+COUNTIF(BDD!H9:AR9,7)*'ButsMPG + Var'!$K$29+COUNTIF(BDD!H9:AR9,6)*'ButsMPG + Var'!$K$28+COUNTIF(BDD!H9:AR9,5)*'ButsMPG + Var'!$K$27+COUNTIF(BDD!H9:AR9,4)*'ButsMPG + Var'!$K$26+COUNTIF(BDD!H9:AR9,3)*'ButsMPG + Var'!$K$25+COUNTIF(BDD!H9:AR9,2)*'ButsMPG + Var'!$K$24+COUNTIF(BDD!H9:AR9,1)*'ButsMPG + Var'!$K$23,0)))</f>
        <v>0</v>
      </c>
      <c r="H6" s="25">
        <f t="shared" si="1"/>
        <v>0</v>
      </c>
      <c r="I6" s="25">
        <f>BDD!G9</f>
        <v>0</v>
      </c>
      <c r="J6" s="25">
        <f>SUMPRODUCT(BDD!H9:AS9,'ButsMPG + Var'!$B$46:$AM$46)</f>
        <v>0</v>
      </c>
      <c r="K6" s="25" t="e">
        <f>10*('ButsMPG + Var'!$H$37*J6/MAX(J:J)+'ButsMPG + Var'!$G$37*H6/MAX(H:H))</f>
        <v>#DIV/0!</v>
      </c>
      <c r="L6" s="1">
        <f>IF(ISNA(VLOOKUP(B6,PrixMini!$B$3:$E$573,4,FALSE)),1,VLOOKUP(B6,PrixMini!$B$3:$E$573,4,FALSE))</f>
        <v>1</v>
      </c>
      <c r="M6" s="25" t="e">
        <f>IF(ROUND(CalculCotation!$D$3*EXP(CalculCotation!$C$3*K6)-CalculCotation!$D$3+1,0)&gt;L6,ROUND(CalculCotation!$D$3*EXP(CalculCotation!$C$3*K6)-CalculCotation!$D$3+1,0),L6)</f>
        <v>#DIV/0!</v>
      </c>
    </row>
    <row r="7" spans="1:17" x14ac:dyDescent="0.3">
      <c r="B7" s="1">
        <f>BDD!C10</f>
        <v>0</v>
      </c>
      <c r="C7" s="1">
        <f>BDD!B10</f>
        <v>0</v>
      </c>
      <c r="D7" s="1">
        <f>BDD!A10</f>
        <v>0</v>
      </c>
      <c r="E7" s="1">
        <f>BDD!D10</f>
        <v>0</v>
      </c>
      <c r="F7" s="1">
        <f>BDD!F10</f>
        <v>0</v>
      </c>
      <c r="G7" s="25">
        <f>'ButsMPG + Var'!$I$39*IF(C7="A",COUNTIF(BDD!H10:AR10,10)*'ButsMPG + Var'!$K$12+COUNTIF(BDD!H10:AR10,9)*'ButsMPG + Var'!$K$11+COUNTIF(BDD!H10:AR10,8)*'ButsMPG + Var'!$K$10+COUNTIF(BDD!H10:AR10,7)*'ButsMPG + Var'!$K$9+COUNTIF(BDD!H10:AR10,6)*'ButsMPG + Var'!$K$8+COUNTIF(BDD!H10:AR10,5)*'ButsMPG + Var'!$K$7+COUNTIF(BDD!H10:AR10,4)*'ButsMPG + Var'!$K$6+COUNTIF(BDD!H10:AR10,3)*'ButsMPG + Var'!$K$5+COUNTIF(BDD!H10:AR10,2)*'ButsMPG + Var'!$K$4+COUNTIF(BDD!H10:AR10,1)*'ButsMPG + Var'!$K$3,IF(C7="M",COUNTIF(BDD!H10:AR10,10)*'ButsMPG + Var'!$K$22+COUNTIF(BDD!H10:AR10,9)*'ButsMPG + Var'!$K$21+COUNTIF(BDD!H10:AR10,8)*'ButsMPG + Var'!$K$20+COUNTIF(BDD!H10:AR10,7)*'ButsMPG + Var'!$K$19+COUNTIF(BDD!H10:AR10,6)*'ButsMPG + Var'!$K$18+COUNTIF(BDD!H10:AR10,5)*'ButsMPG + Var'!$K$17+COUNTIF(BDD!H10:AR10,4)*'ButsMPG + Var'!$K$16+COUNTIF(BDD!H10:AR10,3)*'ButsMPG + Var'!$K$15+COUNTIF(BDD!H10:AR10,2)*'ButsMPG + Var'!$K$14+COUNTIF(BDD!H10:AR10,1)*'ButsMPG + Var'!$K$13,IF(C7="D",COUNTIF(BDD!H10:AR10,10)*'ButsMPG + Var'!$K$32+COUNTIF(BDD!H10:AR10,9)*'ButsMPG + Var'!$K$31+COUNTIF(BDD!H10:AR10,8)*'ButsMPG + Var'!$K$30+COUNTIF(BDD!H10:AR10,7)*'ButsMPG + Var'!$K$29+COUNTIF(BDD!H10:AR10,6)*'ButsMPG + Var'!$K$28+COUNTIF(BDD!H10:AR10,5)*'ButsMPG + Var'!$K$27+COUNTIF(BDD!H10:AR10,4)*'ButsMPG + Var'!$K$26+COUNTIF(BDD!H10:AR10,3)*'ButsMPG + Var'!$K$25+COUNTIF(BDD!H10:AR10,2)*'ButsMPG + Var'!$K$24+COUNTIF(BDD!H10:AR10,1)*'ButsMPG + Var'!$K$23,0)))</f>
        <v>0</v>
      </c>
      <c r="H7" s="25">
        <f t="shared" si="1"/>
        <v>0</v>
      </c>
      <c r="I7" s="25">
        <f>BDD!G10</f>
        <v>0</v>
      </c>
      <c r="J7" s="25">
        <f>SUMPRODUCT(BDD!H10:AS10,'ButsMPG + Var'!$B$46:$AM$46)</f>
        <v>0</v>
      </c>
      <c r="K7" s="25" t="e">
        <f>10*('ButsMPG + Var'!$H$37*J7/MAX(J:J)+'ButsMPG + Var'!$G$37*H7/MAX(H:H))</f>
        <v>#DIV/0!</v>
      </c>
      <c r="L7" s="1">
        <f>IF(ISNA(VLOOKUP(B7,PrixMini!$B$3:$E$573,4,FALSE)),1,VLOOKUP(B7,PrixMini!$B$3:$E$573,4,FALSE))</f>
        <v>1</v>
      </c>
      <c r="M7" s="25" t="e">
        <f>IF(ROUND(CalculCotation!$D$3*EXP(CalculCotation!$C$3*K7)-CalculCotation!$D$3+1,0)&gt;L7,ROUND(CalculCotation!$D$3*EXP(CalculCotation!$C$3*K7)-CalculCotation!$D$3+1,0),L7)</f>
        <v>#DIV/0!</v>
      </c>
    </row>
    <row r="8" spans="1:17" x14ac:dyDescent="0.3">
      <c r="B8" s="1">
        <f>BDD!C11</f>
        <v>0</v>
      </c>
      <c r="C8" s="1">
        <f>BDD!B11</f>
        <v>0</v>
      </c>
      <c r="D8" s="1">
        <f>BDD!A11</f>
        <v>0</v>
      </c>
      <c r="E8" s="1">
        <f>BDD!D11</f>
        <v>0</v>
      </c>
      <c r="F8" s="1">
        <f>BDD!F11</f>
        <v>0</v>
      </c>
      <c r="G8" s="25">
        <f>'ButsMPG + Var'!$I$39*IF(C8="A",COUNTIF(BDD!H11:AR11,10)*'ButsMPG + Var'!$K$12+COUNTIF(BDD!H11:AR11,9)*'ButsMPG + Var'!$K$11+COUNTIF(BDD!H11:AR11,8)*'ButsMPG + Var'!$K$10+COUNTIF(BDD!H11:AR11,7)*'ButsMPG + Var'!$K$9+COUNTIF(BDD!H11:AR11,6)*'ButsMPG + Var'!$K$8+COUNTIF(BDD!H11:AR11,5)*'ButsMPG + Var'!$K$7+COUNTIF(BDD!H11:AR11,4)*'ButsMPG + Var'!$K$6+COUNTIF(BDD!H11:AR11,3)*'ButsMPG + Var'!$K$5+COUNTIF(BDD!H11:AR11,2)*'ButsMPG + Var'!$K$4+COUNTIF(BDD!H11:AR11,1)*'ButsMPG + Var'!$K$3,IF(C8="M",COUNTIF(BDD!H11:AR11,10)*'ButsMPG + Var'!$K$22+COUNTIF(BDD!H11:AR11,9)*'ButsMPG + Var'!$K$21+COUNTIF(BDD!H11:AR11,8)*'ButsMPG + Var'!$K$20+COUNTIF(BDD!H11:AR11,7)*'ButsMPG + Var'!$K$19+COUNTIF(BDD!H11:AR11,6)*'ButsMPG + Var'!$K$18+COUNTIF(BDD!H11:AR11,5)*'ButsMPG + Var'!$K$17+COUNTIF(BDD!H11:AR11,4)*'ButsMPG + Var'!$K$16+COUNTIF(BDD!H11:AR11,3)*'ButsMPG + Var'!$K$15+COUNTIF(BDD!H11:AR11,2)*'ButsMPG + Var'!$K$14+COUNTIF(BDD!H11:AR11,1)*'ButsMPG + Var'!$K$13,IF(C8="D",COUNTIF(BDD!H11:AR11,10)*'ButsMPG + Var'!$K$32+COUNTIF(BDD!H11:AR11,9)*'ButsMPG + Var'!$K$31+COUNTIF(BDD!H11:AR11,8)*'ButsMPG + Var'!$K$30+COUNTIF(BDD!H11:AR11,7)*'ButsMPG + Var'!$K$29+COUNTIF(BDD!H11:AR11,6)*'ButsMPG + Var'!$K$28+COUNTIF(BDD!H11:AR11,5)*'ButsMPG + Var'!$K$27+COUNTIF(BDD!H11:AR11,4)*'ButsMPG + Var'!$K$26+COUNTIF(BDD!H11:AR11,3)*'ButsMPG + Var'!$K$25+COUNTIF(BDD!H11:AR11,2)*'ButsMPG + Var'!$K$24+COUNTIF(BDD!H11:AR11,1)*'ButsMPG + Var'!$K$23,0)))</f>
        <v>0</v>
      </c>
      <c r="H8" s="25">
        <f t="shared" si="1"/>
        <v>0</v>
      </c>
      <c r="I8" s="25">
        <f>BDD!G11</f>
        <v>0</v>
      </c>
      <c r="J8" s="25">
        <f>SUMPRODUCT(BDD!H11:AS11,'ButsMPG + Var'!$B$46:$AM$46)</f>
        <v>0</v>
      </c>
      <c r="K8" s="25" t="e">
        <f>10*('ButsMPG + Var'!$H$37*J8/MAX(J:J)+'ButsMPG + Var'!$G$37*H8/MAX(H:H))</f>
        <v>#DIV/0!</v>
      </c>
      <c r="L8" s="1">
        <f>IF(ISNA(VLOOKUP(B8,PrixMini!$B$3:$E$573,4,FALSE)),1,VLOOKUP(B8,PrixMini!$B$3:$E$573,4,FALSE))</f>
        <v>1</v>
      </c>
      <c r="M8" s="25" t="e">
        <f>IF(ROUND(CalculCotation!$D$3*EXP(CalculCotation!$C$3*K8)-CalculCotation!$D$3+1,0)&gt;L8,ROUND(CalculCotation!$D$3*EXP(CalculCotation!$C$3*K8)-CalculCotation!$D$3+1,0),L8)</f>
        <v>#DIV/0!</v>
      </c>
    </row>
    <row r="9" spans="1:17" x14ac:dyDescent="0.3">
      <c r="B9" s="1">
        <f>BDD!C12</f>
        <v>0</v>
      </c>
      <c r="C9" s="1">
        <f>BDD!B12</f>
        <v>0</v>
      </c>
      <c r="D9" s="1">
        <f>BDD!A12</f>
        <v>0</v>
      </c>
      <c r="E9" s="1">
        <f>BDD!D12</f>
        <v>0</v>
      </c>
      <c r="F9" s="1">
        <f>BDD!F12</f>
        <v>0</v>
      </c>
      <c r="G9" s="25">
        <f>'ButsMPG + Var'!$I$39*IF(C9="A",COUNTIF(BDD!H12:AR12,10)*'ButsMPG + Var'!$K$12+COUNTIF(BDD!H12:AR12,9)*'ButsMPG + Var'!$K$11+COUNTIF(BDD!H12:AR12,8)*'ButsMPG + Var'!$K$10+COUNTIF(BDD!H12:AR12,7)*'ButsMPG + Var'!$K$9+COUNTIF(BDD!H12:AR12,6)*'ButsMPG + Var'!$K$8+COUNTIF(BDD!H12:AR12,5)*'ButsMPG + Var'!$K$7+COUNTIF(BDD!H12:AR12,4)*'ButsMPG + Var'!$K$6+COUNTIF(BDD!H12:AR12,3)*'ButsMPG + Var'!$K$5+COUNTIF(BDD!H12:AR12,2)*'ButsMPG + Var'!$K$4+COUNTIF(BDD!H12:AR12,1)*'ButsMPG + Var'!$K$3,IF(C9="M",COUNTIF(BDD!H12:AR12,10)*'ButsMPG + Var'!$K$22+COUNTIF(BDD!H12:AR12,9)*'ButsMPG + Var'!$K$21+COUNTIF(BDD!H12:AR12,8)*'ButsMPG + Var'!$K$20+COUNTIF(BDD!H12:AR12,7)*'ButsMPG + Var'!$K$19+COUNTIF(BDD!H12:AR12,6)*'ButsMPG + Var'!$K$18+COUNTIF(BDD!H12:AR12,5)*'ButsMPG + Var'!$K$17+COUNTIF(BDD!H12:AR12,4)*'ButsMPG + Var'!$K$16+COUNTIF(BDD!H12:AR12,3)*'ButsMPG + Var'!$K$15+COUNTIF(BDD!H12:AR12,2)*'ButsMPG + Var'!$K$14+COUNTIF(BDD!H12:AR12,1)*'ButsMPG + Var'!$K$13,IF(C9="D",COUNTIF(BDD!H12:AR12,10)*'ButsMPG + Var'!$K$32+COUNTIF(BDD!H12:AR12,9)*'ButsMPG + Var'!$K$31+COUNTIF(BDD!H12:AR12,8)*'ButsMPG + Var'!$K$30+COUNTIF(BDD!H12:AR12,7)*'ButsMPG + Var'!$K$29+COUNTIF(BDD!H12:AR12,6)*'ButsMPG + Var'!$K$28+COUNTIF(BDD!H12:AR12,5)*'ButsMPG + Var'!$K$27+COUNTIF(BDD!H12:AR12,4)*'ButsMPG + Var'!$K$26+COUNTIF(BDD!H12:AR12,3)*'ButsMPG + Var'!$K$25+COUNTIF(BDD!H12:AR12,2)*'ButsMPG + Var'!$K$24+COUNTIF(BDD!H12:AR12,1)*'ButsMPG + Var'!$K$23,0)))</f>
        <v>0</v>
      </c>
      <c r="H9" s="25">
        <f t="shared" si="1"/>
        <v>0</v>
      </c>
      <c r="I9" s="25">
        <f>BDD!G12</f>
        <v>0</v>
      </c>
      <c r="J9" s="25">
        <f>SUMPRODUCT(BDD!H12:AS12,'ButsMPG + Var'!$B$46:$AM$46)</f>
        <v>0</v>
      </c>
      <c r="K9" s="25" t="e">
        <f>10*('ButsMPG + Var'!$H$37*J9/MAX(J:J)+'ButsMPG + Var'!$G$37*H9/MAX(H:H))</f>
        <v>#DIV/0!</v>
      </c>
      <c r="L9" s="1">
        <f>IF(ISNA(VLOOKUP(B9,PrixMini!$B$3:$E$573,4,FALSE)),1,VLOOKUP(B9,PrixMini!$B$3:$E$573,4,FALSE))</f>
        <v>1</v>
      </c>
      <c r="M9" s="25" t="e">
        <f>IF(ROUND(CalculCotation!$D$3*EXP(CalculCotation!$C$3*K9)-CalculCotation!$D$3+1,0)&gt;L9,ROUND(CalculCotation!$D$3*EXP(CalculCotation!$C$3*K9)-CalculCotation!$D$3+1,0),L9)</f>
        <v>#DIV/0!</v>
      </c>
    </row>
    <row r="10" spans="1:17" x14ac:dyDescent="0.3">
      <c r="B10" s="1">
        <f>BDD!C13</f>
        <v>0</v>
      </c>
      <c r="C10" s="1">
        <f>BDD!B13</f>
        <v>0</v>
      </c>
      <c r="D10" s="1">
        <f>BDD!A13</f>
        <v>0</v>
      </c>
      <c r="E10" s="1">
        <f>BDD!D13</f>
        <v>0</v>
      </c>
      <c r="F10" s="1">
        <f>BDD!F13</f>
        <v>0</v>
      </c>
      <c r="G10" s="25">
        <f>'ButsMPG + Var'!$I$39*IF(C10="A",COUNTIF(BDD!H13:AR13,10)*'ButsMPG + Var'!$K$12+COUNTIF(BDD!H13:AR13,9)*'ButsMPG + Var'!$K$11+COUNTIF(BDD!H13:AR13,8)*'ButsMPG + Var'!$K$10+COUNTIF(BDD!H13:AR13,7)*'ButsMPG + Var'!$K$9+COUNTIF(BDD!H13:AR13,6)*'ButsMPG + Var'!$K$8+COUNTIF(BDD!H13:AR13,5)*'ButsMPG + Var'!$K$7+COUNTIF(BDD!H13:AR13,4)*'ButsMPG + Var'!$K$6+COUNTIF(BDD!H13:AR13,3)*'ButsMPG + Var'!$K$5+COUNTIF(BDD!H13:AR13,2)*'ButsMPG + Var'!$K$4+COUNTIF(BDD!H13:AR13,1)*'ButsMPG + Var'!$K$3,IF(C10="M",COUNTIF(BDD!H13:AR13,10)*'ButsMPG + Var'!$K$22+COUNTIF(BDD!H13:AR13,9)*'ButsMPG + Var'!$K$21+COUNTIF(BDD!H13:AR13,8)*'ButsMPG + Var'!$K$20+COUNTIF(BDD!H13:AR13,7)*'ButsMPG + Var'!$K$19+COUNTIF(BDD!H13:AR13,6)*'ButsMPG + Var'!$K$18+COUNTIF(BDD!H13:AR13,5)*'ButsMPG + Var'!$K$17+COUNTIF(BDD!H13:AR13,4)*'ButsMPG + Var'!$K$16+COUNTIF(BDD!H13:AR13,3)*'ButsMPG + Var'!$K$15+COUNTIF(BDD!H13:AR13,2)*'ButsMPG + Var'!$K$14+COUNTIF(BDD!H13:AR13,1)*'ButsMPG + Var'!$K$13,IF(C10="D",COUNTIF(BDD!H13:AR13,10)*'ButsMPG + Var'!$K$32+COUNTIF(BDD!H13:AR13,9)*'ButsMPG + Var'!$K$31+COUNTIF(BDD!H13:AR13,8)*'ButsMPG + Var'!$K$30+COUNTIF(BDD!H13:AR13,7)*'ButsMPG + Var'!$K$29+COUNTIF(BDD!H13:AR13,6)*'ButsMPG + Var'!$K$28+COUNTIF(BDD!H13:AR13,5)*'ButsMPG + Var'!$K$27+COUNTIF(BDD!H13:AR13,4)*'ButsMPG + Var'!$K$26+COUNTIF(BDD!H13:AR13,3)*'ButsMPG + Var'!$K$25+COUNTIF(BDD!H13:AR13,2)*'ButsMPG + Var'!$K$24+COUNTIF(BDD!H13:AR13,1)*'ButsMPG + Var'!$K$23,0)))</f>
        <v>0</v>
      </c>
      <c r="H10" s="25">
        <f t="shared" si="1"/>
        <v>0</v>
      </c>
      <c r="I10" s="25">
        <f>BDD!G13</f>
        <v>0</v>
      </c>
      <c r="J10" s="25">
        <f>SUMPRODUCT(BDD!H13:AS13,'ButsMPG + Var'!$B$46:$AM$46)</f>
        <v>0</v>
      </c>
      <c r="K10" s="25" t="e">
        <f>10*('ButsMPG + Var'!$H$37*J10/MAX(J:J)+'ButsMPG + Var'!$G$37*H10/MAX(H:H))</f>
        <v>#DIV/0!</v>
      </c>
      <c r="L10" s="1">
        <f>IF(ISNA(VLOOKUP(B10,PrixMini!$B$3:$E$573,4,FALSE)),1,VLOOKUP(B10,PrixMini!$B$3:$E$573,4,FALSE))</f>
        <v>1</v>
      </c>
      <c r="M10" s="25" t="e">
        <f>IF(ROUND(CalculCotation!$D$3*EXP(CalculCotation!$C$3*K10)-CalculCotation!$D$3+1,0)&gt;L10,ROUND(CalculCotation!$D$3*EXP(CalculCotation!$C$3*K10)-CalculCotation!$D$3+1,0),L10)</f>
        <v>#DIV/0!</v>
      </c>
    </row>
    <row r="11" spans="1:17" x14ac:dyDescent="0.3">
      <c r="B11" s="1">
        <f>BDD!C14</f>
        <v>0</v>
      </c>
      <c r="C11" s="1">
        <f>BDD!B14</f>
        <v>0</v>
      </c>
      <c r="D11" s="1">
        <f>BDD!A14</f>
        <v>0</v>
      </c>
      <c r="E11" s="1">
        <f>BDD!D14</f>
        <v>0</v>
      </c>
      <c r="F11" s="1">
        <f>BDD!F14</f>
        <v>0</v>
      </c>
      <c r="G11" s="25">
        <f>'ButsMPG + Var'!$I$39*IF(C11="A",COUNTIF(BDD!H14:AR14,10)*'ButsMPG + Var'!$K$12+COUNTIF(BDD!H14:AR14,9)*'ButsMPG + Var'!$K$11+COUNTIF(BDD!H14:AR14,8)*'ButsMPG + Var'!$K$10+COUNTIF(BDD!H14:AR14,7)*'ButsMPG + Var'!$K$9+COUNTIF(BDD!H14:AR14,6)*'ButsMPG + Var'!$K$8+COUNTIF(BDD!H14:AR14,5)*'ButsMPG + Var'!$K$7+COUNTIF(BDD!H14:AR14,4)*'ButsMPG + Var'!$K$6+COUNTIF(BDD!H14:AR14,3)*'ButsMPG + Var'!$K$5+COUNTIF(BDD!H14:AR14,2)*'ButsMPG + Var'!$K$4+COUNTIF(BDD!H14:AR14,1)*'ButsMPG + Var'!$K$3,IF(C11="M",COUNTIF(BDD!H14:AR14,10)*'ButsMPG + Var'!$K$22+COUNTIF(BDD!H14:AR14,9)*'ButsMPG + Var'!$K$21+COUNTIF(BDD!H14:AR14,8)*'ButsMPG + Var'!$K$20+COUNTIF(BDD!H14:AR14,7)*'ButsMPG + Var'!$K$19+COUNTIF(BDD!H14:AR14,6)*'ButsMPG + Var'!$K$18+COUNTIF(BDD!H14:AR14,5)*'ButsMPG + Var'!$K$17+COUNTIF(BDD!H14:AR14,4)*'ButsMPG + Var'!$K$16+COUNTIF(BDD!H14:AR14,3)*'ButsMPG + Var'!$K$15+COUNTIF(BDD!H14:AR14,2)*'ButsMPG + Var'!$K$14+COUNTIF(BDD!H14:AR14,1)*'ButsMPG + Var'!$K$13,IF(C11="D",COUNTIF(BDD!H14:AR14,10)*'ButsMPG + Var'!$K$32+COUNTIF(BDD!H14:AR14,9)*'ButsMPG + Var'!$K$31+COUNTIF(BDD!H14:AR14,8)*'ButsMPG + Var'!$K$30+COUNTIF(BDD!H14:AR14,7)*'ButsMPG + Var'!$K$29+COUNTIF(BDD!H14:AR14,6)*'ButsMPG + Var'!$K$28+COUNTIF(BDD!H14:AR14,5)*'ButsMPG + Var'!$K$27+COUNTIF(BDD!H14:AR14,4)*'ButsMPG + Var'!$K$26+COUNTIF(BDD!H14:AR14,3)*'ButsMPG + Var'!$K$25+COUNTIF(BDD!H14:AR14,2)*'ButsMPG + Var'!$K$24+COUNTIF(BDD!H14:AR14,1)*'ButsMPG + Var'!$K$23,0)))</f>
        <v>0</v>
      </c>
      <c r="H11" s="25">
        <f t="shared" si="1"/>
        <v>0</v>
      </c>
      <c r="I11" s="25">
        <f>BDD!G14</f>
        <v>0</v>
      </c>
      <c r="J11" s="25">
        <f>SUMPRODUCT(BDD!H14:AS14,'ButsMPG + Var'!$B$46:$AM$46)</f>
        <v>0</v>
      </c>
      <c r="K11" s="25" t="e">
        <f>10*('ButsMPG + Var'!$H$37*J11/MAX(J:J)+'ButsMPG + Var'!$G$37*H11/MAX(H:H))</f>
        <v>#DIV/0!</v>
      </c>
      <c r="L11" s="1">
        <f>IF(ISNA(VLOOKUP(B11,PrixMini!$B$3:$E$573,4,FALSE)),1,VLOOKUP(B11,PrixMini!$B$3:$E$573,4,FALSE))</f>
        <v>1</v>
      </c>
      <c r="M11" s="25" t="e">
        <f>IF(ROUND(CalculCotation!$D$3*EXP(CalculCotation!$C$3*K11)-CalculCotation!$D$3+1,0)&gt;L11,ROUND(CalculCotation!$D$3*EXP(CalculCotation!$C$3*K11)-CalculCotation!$D$3+1,0),L11)</f>
        <v>#DIV/0!</v>
      </c>
    </row>
    <row r="12" spans="1:17" x14ac:dyDescent="0.3">
      <c r="B12" s="1">
        <f>BDD!C15</f>
        <v>0</v>
      </c>
      <c r="C12" s="1">
        <f>BDD!B15</f>
        <v>0</v>
      </c>
      <c r="D12" s="1">
        <f>BDD!A15</f>
        <v>0</v>
      </c>
      <c r="E12" s="1">
        <f>BDD!D15</f>
        <v>0</v>
      </c>
      <c r="F12" s="1">
        <f>BDD!F15</f>
        <v>0</v>
      </c>
      <c r="G12" s="25">
        <f>'ButsMPG + Var'!$I$39*IF(C12="A",COUNTIF(BDD!H15:AR15,10)*'ButsMPG + Var'!$K$12+COUNTIF(BDD!H15:AR15,9)*'ButsMPG + Var'!$K$11+COUNTIF(BDD!H15:AR15,8)*'ButsMPG + Var'!$K$10+COUNTIF(BDD!H15:AR15,7)*'ButsMPG + Var'!$K$9+COUNTIF(BDD!H15:AR15,6)*'ButsMPG + Var'!$K$8+COUNTIF(BDD!H15:AR15,5)*'ButsMPG + Var'!$K$7+COUNTIF(BDD!H15:AR15,4)*'ButsMPG + Var'!$K$6+COUNTIF(BDD!H15:AR15,3)*'ButsMPG + Var'!$K$5+COUNTIF(BDD!H15:AR15,2)*'ButsMPG + Var'!$K$4+COUNTIF(BDD!H15:AR15,1)*'ButsMPG + Var'!$K$3,IF(C12="M",COUNTIF(BDD!H15:AR15,10)*'ButsMPG + Var'!$K$22+COUNTIF(BDD!H15:AR15,9)*'ButsMPG + Var'!$K$21+COUNTIF(BDD!H15:AR15,8)*'ButsMPG + Var'!$K$20+COUNTIF(BDD!H15:AR15,7)*'ButsMPG + Var'!$K$19+COUNTIF(BDD!H15:AR15,6)*'ButsMPG + Var'!$K$18+COUNTIF(BDD!H15:AR15,5)*'ButsMPG + Var'!$K$17+COUNTIF(BDD!H15:AR15,4)*'ButsMPG + Var'!$K$16+COUNTIF(BDD!H15:AR15,3)*'ButsMPG + Var'!$K$15+COUNTIF(BDD!H15:AR15,2)*'ButsMPG + Var'!$K$14+COUNTIF(BDD!H15:AR15,1)*'ButsMPG + Var'!$K$13,IF(C12="D",COUNTIF(BDD!H15:AR15,10)*'ButsMPG + Var'!$K$32+COUNTIF(BDD!H15:AR15,9)*'ButsMPG + Var'!$K$31+COUNTIF(BDD!H15:AR15,8)*'ButsMPG + Var'!$K$30+COUNTIF(BDD!H15:AR15,7)*'ButsMPG + Var'!$K$29+COUNTIF(BDD!H15:AR15,6)*'ButsMPG + Var'!$K$28+COUNTIF(BDD!H15:AR15,5)*'ButsMPG + Var'!$K$27+COUNTIF(BDD!H15:AR15,4)*'ButsMPG + Var'!$K$26+COUNTIF(BDD!H15:AR15,3)*'ButsMPG + Var'!$K$25+COUNTIF(BDD!H15:AR15,2)*'ButsMPG + Var'!$K$24+COUNTIF(BDD!H15:AR15,1)*'ButsMPG + Var'!$K$23,0)))</f>
        <v>0</v>
      </c>
      <c r="H12" s="25">
        <f t="shared" si="1"/>
        <v>0</v>
      </c>
      <c r="I12" s="25">
        <f>BDD!G15</f>
        <v>0</v>
      </c>
      <c r="J12" s="25">
        <f>SUMPRODUCT(BDD!H15:AS15,'ButsMPG + Var'!$B$46:$AM$46)</f>
        <v>0</v>
      </c>
      <c r="K12" s="25" t="e">
        <f>10*('ButsMPG + Var'!$H$37*J12/MAX(J:J)+'ButsMPG + Var'!$G$37*H12/MAX(H:H))</f>
        <v>#DIV/0!</v>
      </c>
      <c r="L12" s="1">
        <f>IF(ISNA(VLOOKUP(B12,PrixMini!$B$3:$E$573,4,FALSE)),1,VLOOKUP(B12,PrixMini!$B$3:$E$573,4,FALSE))</f>
        <v>1</v>
      </c>
      <c r="M12" s="25" t="e">
        <f>IF(ROUND(CalculCotation!$D$3*EXP(CalculCotation!$C$3*K12)-CalculCotation!$D$3+1,0)&gt;L12,ROUND(CalculCotation!$D$3*EXP(CalculCotation!$C$3*K12)-CalculCotation!$D$3+1,0),L12)</f>
        <v>#DIV/0!</v>
      </c>
    </row>
    <row r="13" spans="1:17" x14ac:dyDescent="0.3">
      <c r="B13" s="1">
        <f>BDD!C16</f>
        <v>0</v>
      </c>
      <c r="C13" s="1">
        <f>BDD!B16</f>
        <v>0</v>
      </c>
      <c r="D13" s="1">
        <f>BDD!A16</f>
        <v>0</v>
      </c>
      <c r="E13" s="1">
        <f>BDD!D16</f>
        <v>0</v>
      </c>
      <c r="F13" s="1">
        <f>BDD!F16</f>
        <v>0</v>
      </c>
      <c r="G13" s="25">
        <f>'ButsMPG + Var'!$I$39*IF(C13="A",COUNTIF(BDD!H16:AR16,10)*'ButsMPG + Var'!$K$12+COUNTIF(BDD!H16:AR16,9)*'ButsMPG + Var'!$K$11+COUNTIF(BDD!H16:AR16,8)*'ButsMPG + Var'!$K$10+COUNTIF(BDD!H16:AR16,7)*'ButsMPG + Var'!$K$9+COUNTIF(BDD!H16:AR16,6)*'ButsMPG + Var'!$K$8+COUNTIF(BDD!H16:AR16,5)*'ButsMPG + Var'!$K$7+COUNTIF(BDD!H16:AR16,4)*'ButsMPG + Var'!$K$6+COUNTIF(BDD!H16:AR16,3)*'ButsMPG + Var'!$K$5+COUNTIF(BDD!H16:AR16,2)*'ButsMPG + Var'!$K$4+COUNTIF(BDD!H16:AR16,1)*'ButsMPG + Var'!$K$3,IF(C13="M",COUNTIF(BDD!H16:AR16,10)*'ButsMPG + Var'!$K$22+COUNTIF(BDD!H16:AR16,9)*'ButsMPG + Var'!$K$21+COUNTIF(BDD!H16:AR16,8)*'ButsMPG + Var'!$K$20+COUNTIF(BDD!H16:AR16,7)*'ButsMPG + Var'!$K$19+COUNTIF(BDD!H16:AR16,6)*'ButsMPG + Var'!$K$18+COUNTIF(BDD!H16:AR16,5)*'ButsMPG + Var'!$K$17+COUNTIF(BDD!H16:AR16,4)*'ButsMPG + Var'!$K$16+COUNTIF(BDD!H16:AR16,3)*'ButsMPG + Var'!$K$15+COUNTIF(BDD!H16:AR16,2)*'ButsMPG + Var'!$K$14+COUNTIF(BDD!H16:AR16,1)*'ButsMPG + Var'!$K$13,IF(C13="D",COUNTIF(BDD!H16:AR16,10)*'ButsMPG + Var'!$K$32+COUNTIF(BDD!H16:AR16,9)*'ButsMPG + Var'!$K$31+COUNTIF(BDD!H16:AR16,8)*'ButsMPG + Var'!$K$30+COUNTIF(BDD!H16:AR16,7)*'ButsMPG + Var'!$K$29+COUNTIF(BDD!H16:AR16,6)*'ButsMPG + Var'!$K$28+COUNTIF(BDD!H16:AR16,5)*'ButsMPG + Var'!$K$27+COUNTIF(BDD!H16:AR16,4)*'ButsMPG + Var'!$K$26+COUNTIF(BDD!H16:AR16,3)*'ButsMPG + Var'!$K$25+COUNTIF(BDD!H16:AR16,2)*'ButsMPG + Var'!$K$24+COUNTIF(BDD!H16:AR16,1)*'ButsMPG + Var'!$K$23,0)))</f>
        <v>0</v>
      </c>
      <c r="H13" s="25">
        <f t="shared" si="1"/>
        <v>0</v>
      </c>
      <c r="I13" s="25">
        <f>BDD!G16</f>
        <v>0</v>
      </c>
      <c r="J13" s="25">
        <f>SUMPRODUCT(BDD!H16:AS16,'ButsMPG + Var'!$B$46:$AM$46)</f>
        <v>0</v>
      </c>
      <c r="K13" s="25" t="e">
        <f>10*('ButsMPG + Var'!$H$37*J13/MAX(J:J)+'ButsMPG + Var'!$G$37*H13/MAX(H:H))</f>
        <v>#DIV/0!</v>
      </c>
      <c r="L13" s="1">
        <f>IF(ISNA(VLOOKUP(B13,PrixMini!$B$3:$E$573,4,FALSE)),1,VLOOKUP(B13,PrixMini!$B$3:$E$573,4,FALSE))</f>
        <v>1</v>
      </c>
      <c r="M13" s="25" t="e">
        <f>IF(ROUND(CalculCotation!$D$3*EXP(CalculCotation!$C$3*K13)-CalculCotation!$D$3+1,0)&gt;L13,ROUND(CalculCotation!$D$3*EXP(CalculCotation!$C$3*K13)-CalculCotation!$D$3+1,0),L13)</f>
        <v>#DIV/0!</v>
      </c>
    </row>
    <row r="14" spans="1:17" x14ac:dyDescent="0.3">
      <c r="B14" s="1">
        <f>BDD!C17</f>
        <v>0</v>
      </c>
      <c r="C14" s="1">
        <f>BDD!B17</f>
        <v>0</v>
      </c>
      <c r="D14" s="1">
        <f>BDD!A17</f>
        <v>0</v>
      </c>
      <c r="E14" s="1">
        <f>BDD!D17</f>
        <v>0</v>
      </c>
      <c r="F14" s="1">
        <f>BDD!F17</f>
        <v>0</v>
      </c>
      <c r="G14" s="25">
        <f>'ButsMPG + Var'!$I$39*IF(C14="A",COUNTIF(BDD!H17:AR17,10)*'ButsMPG + Var'!$K$12+COUNTIF(BDD!H17:AR17,9)*'ButsMPG + Var'!$K$11+COUNTIF(BDD!H17:AR17,8)*'ButsMPG + Var'!$K$10+COUNTIF(BDD!H17:AR17,7)*'ButsMPG + Var'!$K$9+COUNTIF(BDD!H17:AR17,6)*'ButsMPG + Var'!$K$8+COUNTIF(BDD!H17:AR17,5)*'ButsMPG + Var'!$K$7+COUNTIF(BDD!H17:AR17,4)*'ButsMPG + Var'!$K$6+COUNTIF(BDD!H17:AR17,3)*'ButsMPG + Var'!$K$5+COUNTIF(BDD!H17:AR17,2)*'ButsMPG + Var'!$K$4+COUNTIF(BDD!H17:AR17,1)*'ButsMPG + Var'!$K$3,IF(C14="M",COUNTIF(BDD!H17:AR17,10)*'ButsMPG + Var'!$K$22+COUNTIF(BDD!H17:AR17,9)*'ButsMPG + Var'!$K$21+COUNTIF(BDD!H17:AR17,8)*'ButsMPG + Var'!$K$20+COUNTIF(BDD!H17:AR17,7)*'ButsMPG + Var'!$K$19+COUNTIF(BDD!H17:AR17,6)*'ButsMPG + Var'!$K$18+COUNTIF(BDD!H17:AR17,5)*'ButsMPG + Var'!$K$17+COUNTIF(BDD!H17:AR17,4)*'ButsMPG + Var'!$K$16+COUNTIF(BDD!H17:AR17,3)*'ButsMPG + Var'!$K$15+COUNTIF(BDD!H17:AR17,2)*'ButsMPG + Var'!$K$14+COUNTIF(BDD!H17:AR17,1)*'ButsMPG + Var'!$K$13,IF(C14="D",COUNTIF(BDD!H17:AR17,10)*'ButsMPG + Var'!$K$32+COUNTIF(BDD!H17:AR17,9)*'ButsMPG + Var'!$K$31+COUNTIF(BDD!H17:AR17,8)*'ButsMPG + Var'!$K$30+COUNTIF(BDD!H17:AR17,7)*'ButsMPG + Var'!$K$29+COUNTIF(BDD!H17:AR17,6)*'ButsMPG + Var'!$K$28+COUNTIF(BDD!H17:AR17,5)*'ButsMPG + Var'!$K$27+COUNTIF(BDD!H17:AR17,4)*'ButsMPG + Var'!$K$26+COUNTIF(BDD!H17:AR17,3)*'ButsMPG + Var'!$K$25+COUNTIF(BDD!H17:AR17,2)*'ButsMPG + Var'!$K$24+COUNTIF(BDD!H17:AR17,1)*'ButsMPG + Var'!$K$23,0)))</f>
        <v>0</v>
      </c>
      <c r="H14" s="25">
        <f t="shared" si="1"/>
        <v>0</v>
      </c>
      <c r="I14" s="25">
        <f>BDD!G17</f>
        <v>0</v>
      </c>
      <c r="J14" s="25">
        <f>SUMPRODUCT(BDD!H17:AS17,'ButsMPG + Var'!$B$46:$AM$46)</f>
        <v>0</v>
      </c>
      <c r="K14" s="25" t="e">
        <f>10*('ButsMPG + Var'!$H$37*J14/MAX(J:J)+'ButsMPG + Var'!$G$37*H14/MAX(H:H))</f>
        <v>#DIV/0!</v>
      </c>
      <c r="L14" s="1">
        <f>IF(ISNA(VLOOKUP(B14,PrixMini!$B$3:$E$573,4,FALSE)),1,VLOOKUP(B14,PrixMini!$B$3:$E$573,4,FALSE))</f>
        <v>1</v>
      </c>
      <c r="M14" s="25" t="e">
        <f>IF(ROUND(CalculCotation!$D$3*EXP(CalculCotation!$C$3*K14)-CalculCotation!$D$3+1,0)&gt;L14,ROUND(CalculCotation!$D$3*EXP(CalculCotation!$C$3*K14)-CalculCotation!$D$3+1,0),L14)</f>
        <v>#DIV/0!</v>
      </c>
    </row>
    <row r="15" spans="1:17" x14ac:dyDescent="0.3">
      <c r="B15" s="1">
        <f>BDD!C18</f>
        <v>0</v>
      </c>
      <c r="C15" s="1">
        <f>BDD!B18</f>
        <v>0</v>
      </c>
      <c r="D15" s="1">
        <f>BDD!A18</f>
        <v>0</v>
      </c>
      <c r="E15" s="1">
        <f>BDD!D18</f>
        <v>0</v>
      </c>
      <c r="F15" s="1">
        <f>BDD!F18</f>
        <v>0</v>
      </c>
      <c r="G15" s="25">
        <f>'ButsMPG + Var'!$I$39*IF(C15="A",COUNTIF(BDD!H18:AR18,10)*'ButsMPG + Var'!$K$12+COUNTIF(BDD!H18:AR18,9)*'ButsMPG + Var'!$K$11+COUNTIF(BDD!H18:AR18,8)*'ButsMPG + Var'!$K$10+COUNTIF(BDD!H18:AR18,7)*'ButsMPG + Var'!$K$9+COUNTIF(BDD!H18:AR18,6)*'ButsMPG + Var'!$K$8+COUNTIF(BDD!H18:AR18,5)*'ButsMPG + Var'!$K$7+COUNTIF(BDD!H18:AR18,4)*'ButsMPG + Var'!$K$6+COUNTIF(BDD!H18:AR18,3)*'ButsMPG + Var'!$K$5+COUNTIF(BDD!H18:AR18,2)*'ButsMPG + Var'!$K$4+COUNTIF(BDD!H18:AR18,1)*'ButsMPG + Var'!$K$3,IF(C15="M",COUNTIF(BDD!H18:AR18,10)*'ButsMPG + Var'!$K$22+COUNTIF(BDD!H18:AR18,9)*'ButsMPG + Var'!$K$21+COUNTIF(BDD!H18:AR18,8)*'ButsMPG + Var'!$K$20+COUNTIF(BDD!H18:AR18,7)*'ButsMPG + Var'!$K$19+COUNTIF(BDD!H18:AR18,6)*'ButsMPG + Var'!$K$18+COUNTIF(BDD!H18:AR18,5)*'ButsMPG + Var'!$K$17+COUNTIF(BDD!H18:AR18,4)*'ButsMPG + Var'!$K$16+COUNTIF(BDD!H18:AR18,3)*'ButsMPG + Var'!$K$15+COUNTIF(BDD!H18:AR18,2)*'ButsMPG + Var'!$K$14+COUNTIF(BDD!H18:AR18,1)*'ButsMPG + Var'!$K$13,IF(C15="D",COUNTIF(BDD!H18:AR18,10)*'ButsMPG + Var'!$K$32+COUNTIF(BDD!H18:AR18,9)*'ButsMPG + Var'!$K$31+COUNTIF(BDD!H18:AR18,8)*'ButsMPG + Var'!$K$30+COUNTIF(BDD!H18:AR18,7)*'ButsMPG + Var'!$K$29+COUNTIF(BDD!H18:AR18,6)*'ButsMPG + Var'!$K$28+COUNTIF(BDD!H18:AR18,5)*'ButsMPG + Var'!$K$27+COUNTIF(BDD!H18:AR18,4)*'ButsMPG + Var'!$K$26+COUNTIF(BDD!H18:AR18,3)*'ButsMPG + Var'!$K$25+COUNTIF(BDD!H18:AR18,2)*'ButsMPG + Var'!$K$24+COUNTIF(BDD!H18:AR18,1)*'ButsMPG + Var'!$K$23,0)))</f>
        <v>0</v>
      </c>
      <c r="H15" s="25">
        <f t="shared" si="1"/>
        <v>0</v>
      </c>
      <c r="I15" s="25">
        <f>BDD!G18</f>
        <v>0</v>
      </c>
      <c r="J15" s="25">
        <f>SUMPRODUCT(BDD!H18:AS18,'ButsMPG + Var'!$B$46:$AM$46)</f>
        <v>0</v>
      </c>
      <c r="K15" s="25" t="e">
        <f>10*('ButsMPG + Var'!$H$37*J15/MAX(J:J)+'ButsMPG + Var'!$G$37*H15/MAX(H:H))</f>
        <v>#DIV/0!</v>
      </c>
      <c r="L15" s="1">
        <f>IF(ISNA(VLOOKUP(B15,PrixMini!$B$3:$E$573,4,FALSE)),1,VLOOKUP(B15,PrixMini!$B$3:$E$573,4,FALSE))</f>
        <v>1</v>
      </c>
      <c r="M15" s="25" t="e">
        <f>IF(ROUND(CalculCotation!$D$3*EXP(CalculCotation!$C$3*K15)-CalculCotation!$D$3+1,0)&gt;L15,ROUND(CalculCotation!$D$3*EXP(CalculCotation!$C$3*K15)-CalculCotation!$D$3+1,0),L15)</f>
        <v>#DIV/0!</v>
      </c>
    </row>
    <row r="16" spans="1:17" x14ac:dyDescent="0.3">
      <c r="B16" s="1">
        <f>BDD!C19</f>
        <v>0</v>
      </c>
      <c r="C16" s="1">
        <f>BDD!B19</f>
        <v>0</v>
      </c>
      <c r="D16" s="1">
        <f>BDD!A19</f>
        <v>0</v>
      </c>
      <c r="E16" s="1">
        <f>BDD!D19</f>
        <v>0</v>
      </c>
      <c r="F16" s="1">
        <f>BDD!F19</f>
        <v>0</v>
      </c>
      <c r="G16" s="25">
        <f>'ButsMPG + Var'!$I$39*IF(C16="A",COUNTIF(BDD!H19:AR19,10)*'ButsMPG + Var'!$K$12+COUNTIF(BDD!H19:AR19,9)*'ButsMPG + Var'!$K$11+COUNTIF(BDD!H19:AR19,8)*'ButsMPG + Var'!$K$10+COUNTIF(BDD!H19:AR19,7)*'ButsMPG + Var'!$K$9+COUNTIF(BDD!H19:AR19,6)*'ButsMPG + Var'!$K$8+COUNTIF(BDD!H19:AR19,5)*'ButsMPG + Var'!$K$7+COUNTIF(BDD!H19:AR19,4)*'ButsMPG + Var'!$K$6+COUNTIF(BDD!H19:AR19,3)*'ButsMPG + Var'!$K$5+COUNTIF(BDD!H19:AR19,2)*'ButsMPG + Var'!$K$4+COUNTIF(BDD!H19:AR19,1)*'ButsMPG + Var'!$K$3,IF(C16="M",COUNTIF(BDD!H19:AR19,10)*'ButsMPG + Var'!$K$22+COUNTIF(BDD!H19:AR19,9)*'ButsMPG + Var'!$K$21+COUNTIF(BDD!H19:AR19,8)*'ButsMPG + Var'!$K$20+COUNTIF(BDD!H19:AR19,7)*'ButsMPG + Var'!$K$19+COUNTIF(BDD!H19:AR19,6)*'ButsMPG + Var'!$K$18+COUNTIF(BDD!H19:AR19,5)*'ButsMPG + Var'!$K$17+COUNTIF(BDD!H19:AR19,4)*'ButsMPG + Var'!$K$16+COUNTIF(BDD!H19:AR19,3)*'ButsMPG + Var'!$K$15+COUNTIF(BDD!H19:AR19,2)*'ButsMPG + Var'!$K$14+COUNTIF(BDD!H19:AR19,1)*'ButsMPG + Var'!$K$13,IF(C16="D",COUNTIF(BDD!H19:AR19,10)*'ButsMPG + Var'!$K$32+COUNTIF(BDD!H19:AR19,9)*'ButsMPG + Var'!$K$31+COUNTIF(BDD!H19:AR19,8)*'ButsMPG + Var'!$K$30+COUNTIF(BDD!H19:AR19,7)*'ButsMPG + Var'!$K$29+COUNTIF(BDD!H19:AR19,6)*'ButsMPG + Var'!$K$28+COUNTIF(BDD!H19:AR19,5)*'ButsMPG + Var'!$K$27+COUNTIF(BDD!H19:AR19,4)*'ButsMPG + Var'!$K$26+COUNTIF(BDD!H19:AR19,3)*'ButsMPG + Var'!$K$25+COUNTIF(BDD!H19:AR19,2)*'ButsMPG + Var'!$K$24+COUNTIF(BDD!H19:AR19,1)*'ButsMPG + Var'!$K$23,0)))</f>
        <v>0</v>
      </c>
      <c r="H16" s="25">
        <f t="shared" si="1"/>
        <v>0</v>
      </c>
      <c r="I16" s="25">
        <f>BDD!G19</f>
        <v>0</v>
      </c>
      <c r="J16" s="25">
        <f>SUMPRODUCT(BDD!H19:AS19,'ButsMPG + Var'!$B$46:$AM$46)</f>
        <v>0</v>
      </c>
      <c r="K16" s="25" t="e">
        <f>10*('ButsMPG + Var'!$H$37*J16/MAX(J:J)+'ButsMPG + Var'!$G$37*H16/MAX(H:H))</f>
        <v>#DIV/0!</v>
      </c>
      <c r="L16" s="1">
        <f>IF(ISNA(VLOOKUP(B16,PrixMini!$B$3:$E$573,4,FALSE)),1,VLOOKUP(B16,PrixMini!$B$3:$E$573,4,FALSE))</f>
        <v>1</v>
      </c>
      <c r="M16" s="25" t="e">
        <f>IF(ROUND(CalculCotation!$D$3*EXP(CalculCotation!$C$3*K16)-CalculCotation!$D$3+1,0)&gt;L16,ROUND(CalculCotation!$D$3*EXP(CalculCotation!$C$3*K16)-CalculCotation!$D$3+1,0),L16)</f>
        <v>#DIV/0!</v>
      </c>
    </row>
    <row r="17" spans="2:13" x14ac:dyDescent="0.3">
      <c r="B17" s="1">
        <f>BDD!C20</f>
        <v>0</v>
      </c>
      <c r="C17" s="1">
        <f>BDD!B20</f>
        <v>0</v>
      </c>
      <c r="D17" s="1">
        <f>BDD!A20</f>
        <v>0</v>
      </c>
      <c r="E17" s="1">
        <f>BDD!D20</f>
        <v>0</v>
      </c>
      <c r="F17" s="1">
        <f>BDD!F20</f>
        <v>0</v>
      </c>
      <c r="G17" s="25">
        <f>'ButsMPG + Var'!$I$39*IF(C17="A",COUNTIF(BDD!H20:AR20,10)*'ButsMPG + Var'!$K$12+COUNTIF(BDD!H20:AR20,9)*'ButsMPG + Var'!$K$11+COUNTIF(BDD!H20:AR20,8)*'ButsMPG + Var'!$K$10+COUNTIF(BDD!H20:AR20,7)*'ButsMPG + Var'!$K$9+COUNTIF(BDD!H20:AR20,6)*'ButsMPG + Var'!$K$8+COUNTIF(BDD!H20:AR20,5)*'ButsMPG + Var'!$K$7+COUNTIF(BDD!H20:AR20,4)*'ButsMPG + Var'!$K$6+COUNTIF(BDD!H20:AR20,3)*'ButsMPG + Var'!$K$5+COUNTIF(BDD!H20:AR20,2)*'ButsMPG + Var'!$K$4+COUNTIF(BDD!H20:AR20,1)*'ButsMPG + Var'!$K$3,IF(C17="M",COUNTIF(BDD!H20:AR20,10)*'ButsMPG + Var'!$K$22+COUNTIF(BDD!H20:AR20,9)*'ButsMPG + Var'!$K$21+COUNTIF(BDD!H20:AR20,8)*'ButsMPG + Var'!$K$20+COUNTIF(BDD!H20:AR20,7)*'ButsMPG + Var'!$K$19+COUNTIF(BDD!H20:AR20,6)*'ButsMPG + Var'!$K$18+COUNTIF(BDD!H20:AR20,5)*'ButsMPG + Var'!$K$17+COUNTIF(BDD!H20:AR20,4)*'ButsMPG + Var'!$K$16+COUNTIF(BDD!H20:AR20,3)*'ButsMPG + Var'!$K$15+COUNTIF(BDD!H20:AR20,2)*'ButsMPG + Var'!$K$14+COUNTIF(BDD!H20:AR20,1)*'ButsMPG + Var'!$K$13,IF(C17="D",COUNTIF(BDD!H20:AR20,10)*'ButsMPG + Var'!$K$32+COUNTIF(BDD!H20:AR20,9)*'ButsMPG + Var'!$K$31+COUNTIF(BDD!H20:AR20,8)*'ButsMPG + Var'!$K$30+COUNTIF(BDD!H20:AR20,7)*'ButsMPG + Var'!$K$29+COUNTIF(BDD!H20:AR20,6)*'ButsMPG + Var'!$K$28+COUNTIF(BDD!H20:AR20,5)*'ButsMPG + Var'!$K$27+COUNTIF(BDD!H20:AR20,4)*'ButsMPG + Var'!$K$26+COUNTIF(BDD!H20:AR20,3)*'ButsMPG + Var'!$K$25+COUNTIF(BDD!H20:AR20,2)*'ButsMPG + Var'!$K$24+COUNTIF(BDD!H20:AR20,1)*'ButsMPG + Var'!$K$23,0)))</f>
        <v>0</v>
      </c>
      <c r="H17" s="25">
        <f t="shared" si="1"/>
        <v>0</v>
      </c>
      <c r="I17" s="25">
        <f>BDD!G20</f>
        <v>0</v>
      </c>
      <c r="J17" s="25">
        <f>SUMPRODUCT(BDD!H20:AS20,'ButsMPG + Var'!$B$46:$AM$46)</f>
        <v>0</v>
      </c>
      <c r="K17" s="25" t="e">
        <f>10*('ButsMPG + Var'!$H$37*J17/MAX(J:J)+'ButsMPG + Var'!$G$37*H17/MAX(H:H))</f>
        <v>#DIV/0!</v>
      </c>
      <c r="L17" s="1">
        <f>IF(ISNA(VLOOKUP(B17,PrixMini!$B$3:$E$573,4,FALSE)),1,VLOOKUP(B17,PrixMini!$B$3:$E$573,4,FALSE))</f>
        <v>1</v>
      </c>
      <c r="M17" s="25" t="e">
        <f>IF(ROUND(CalculCotation!$D$3*EXP(CalculCotation!$C$3*K17)-CalculCotation!$D$3+1,0)&gt;L17,ROUND(CalculCotation!$D$3*EXP(CalculCotation!$C$3*K17)-CalculCotation!$D$3+1,0),L17)</f>
        <v>#DIV/0!</v>
      </c>
    </row>
    <row r="18" spans="2:13" x14ac:dyDescent="0.3">
      <c r="B18" s="1">
        <f>BDD!C21</f>
        <v>0</v>
      </c>
      <c r="C18" s="1">
        <f>BDD!B21</f>
        <v>0</v>
      </c>
      <c r="D18" s="1">
        <f>BDD!A21</f>
        <v>0</v>
      </c>
      <c r="E18" s="1">
        <f>BDD!D21</f>
        <v>0</v>
      </c>
      <c r="F18" s="1">
        <f>BDD!F21</f>
        <v>0</v>
      </c>
      <c r="G18" s="25">
        <f>'ButsMPG + Var'!$I$39*IF(C18="A",COUNTIF(BDD!H21:AR21,10)*'ButsMPG + Var'!$K$12+COUNTIF(BDD!H21:AR21,9)*'ButsMPG + Var'!$K$11+COUNTIF(BDD!H21:AR21,8)*'ButsMPG + Var'!$K$10+COUNTIF(BDD!H21:AR21,7)*'ButsMPG + Var'!$K$9+COUNTIF(BDD!H21:AR21,6)*'ButsMPG + Var'!$K$8+COUNTIF(BDD!H21:AR21,5)*'ButsMPG + Var'!$K$7+COUNTIF(BDD!H21:AR21,4)*'ButsMPG + Var'!$K$6+COUNTIF(BDD!H21:AR21,3)*'ButsMPG + Var'!$K$5+COUNTIF(BDD!H21:AR21,2)*'ButsMPG + Var'!$K$4+COUNTIF(BDD!H21:AR21,1)*'ButsMPG + Var'!$K$3,IF(C18="M",COUNTIF(BDD!H21:AR21,10)*'ButsMPG + Var'!$K$22+COUNTIF(BDD!H21:AR21,9)*'ButsMPG + Var'!$K$21+COUNTIF(BDD!H21:AR21,8)*'ButsMPG + Var'!$K$20+COUNTIF(BDD!H21:AR21,7)*'ButsMPG + Var'!$K$19+COUNTIF(BDD!H21:AR21,6)*'ButsMPG + Var'!$K$18+COUNTIF(BDD!H21:AR21,5)*'ButsMPG + Var'!$K$17+COUNTIF(BDD!H21:AR21,4)*'ButsMPG + Var'!$K$16+COUNTIF(BDD!H21:AR21,3)*'ButsMPG + Var'!$K$15+COUNTIF(BDD!H21:AR21,2)*'ButsMPG + Var'!$K$14+COUNTIF(BDD!H21:AR21,1)*'ButsMPG + Var'!$K$13,IF(C18="D",COUNTIF(BDD!H21:AR21,10)*'ButsMPG + Var'!$K$32+COUNTIF(BDD!H21:AR21,9)*'ButsMPG + Var'!$K$31+COUNTIF(BDD!H21:AR21,8)*'ButsMPG + Var'!$K$30+COUNTIF(BDD!H21:AR21,7)*'ButsMPG + Var'!$K$29+COUNTIF(BDD!H21:AR21,6)*'ButsMPG + Var'!$K$28+COUNTIF(BDD!H21:AR21,5)*'ButsMPG + Var'!$K$27+COUNTIF(BDD!H21:AR21,4)*'ButsMPG + Var'!$K$26+COUNTIF(BDD!H21:AR21,3)*'ButsMPG + Var'!$K$25+COUNTIF(BDD!H21:AR21,2)*'ButsMPG + Var'!$K$24+COUNTIF(BDD!H21:AR21,1)*'ButsMPG + Var'!$K$23,0)))</f>
        <v>0</v>
      </c>
      <c r="H18" s="25">
        <f t="shared" si="1"/>
        <v>0</v>
      </c>
      <c r="I18" s="25">
        <f>BDD!G21</f>
        <v>0</v>
      </c>
      <c r="J18" s="25">
        <f>SUMPRODUCT(BDD!H21:AS21,'ButsMPG + Var'!$B$46:$AM$46)</f>
        <v>0</v>
      </c>
      <c r="K18" s="25" t="e">
        <f>10*('ButsMPG + Var'!$H$37*J18/MAX(J:J)+'ButsMPG + Var'!$G$37*H18/MAX(H:H))</f>
        <v>#DIV/0!</v>
      </c>
      <c r="L18" s="1">
        <f>IF(ISNA(VLOOKUP(B18,PrixMini!$B$3:$E$573,4,FALSE)),1,VLOOKUP(B18,PrixMini!$B$3:$E$573,4,FALSE))</f>
        <v>1</v>
      </c>
      <c r="M18" s="25" t="e">
        <f>IF(ROUND(CalculCotation!$D$3*EXP(CalculCotation!$C$3*K18)-CalculCotation!$D$3+1,0)&gt;L18,ROUND(CalculCotation!$D$3*EXP(CalculCotation!$C$3*K18)-CalculCotation!$D$3+1,0),L18)</f>
        <v>#DIV/0!</v>
      </c>
    </row>
    <row r="19" spans="2:13" x14ac:dyDescent="0.3">
      <c r="B19" s="1">
        <f>BDD!C22</f>
        <v>0</v>
      </c>
      <c r="C19" s="1">
        <f>BDD!B22</f>
        <v>0</v>
      </c>
      <c r="D19" s="1">
        <f>BDD!A22</f>
        <v>0</v>
      </c>
      <c r="E19" s="1">
        <f>BDD!D22</f>
        <v>0</v>
      </c>
      <c r="F19" s="1">
        <f>BDD!F22</f>
        <v>0</v>
      </c>
      <c r="G19" s="25">
        <f>'ButsMPG + Var'!$I$39*IF(C19="A",COUNTIF(BDD!H22:AR22,10)*'ButsMPG + Var'!$K$12+COUNTIF(BDD!H22:AR22,9)*'ButsMPG + Var'!$K$11+COUNTIF(BDD!H22:AR22,8)*'ButsMPG + Var'!$K$10+COUNTIF(BDD!H22:AR22,7)*'ButsMPG + Var'!$K$9+COUNTIF(BDD!H22:AR22,6)*'ButsMPG + Var'!$K$8+COUNTIF(BDD!H22:AR22,5)*'ButsMPG + Var'!$K$7+COUNTIF(BDD!H22:AR22,4)*'ButsMPG + Var'!$K$6+COUNTIF(BDD!H22:AR22,3)*'ButsMPG + Var'!$K$5+COUNTIF(BDD!H22:AR22,2)*'ButsMPG + Var'!$K$4+COUNTIF(BDD!H22:AR22,1)*'ButsMPG + Var'!$K$3,IF(C19="M",COUNTIF(BDD!H22:AR22,10)*'ButsMPG + Var'!$K$22+COUNTIF(BDD!H22:AR22,9)*'ButsMPG + Var'!$K$21+COUNTIF(BDD!H22:AR22,8)*'ButsMPG + Var'!$K$20+COUNTIF(BDD!H22:AR22,7)*'ButsMPG + Var'!$K$19+COUNTIF(BDD!H22:AR22,6)*'ButsMPG + Var'!$K$18+COUNTIF(BDD!H22:AR22,5)*'ButsMPG + Var'!$K$17+COUNTIF(BDD!H22:AR22,4)*'ButsMPG + Var'!$K$16+COUNTIF(BDD!H22:AR22,3)*'ButsMPG + Var'!$K$15+COUNTIF(BDD!H22:AR22,2)*'ButsMPG + Var'!$K$14+COUNTIF(BDD!H22:AR22,1)*'ButsMPG + Var'!$K$13,IF(C19="D",COUNTIF(BDD!H22:AR22,10)*'ButsMPG + Var'!$K$32+COUNTIF(BDD!H22:AR22,9)*'ButsMPG + Var'!$K$31+COUNTIF(BDD!H22:AR22,8)*'ButsMPG + Var'!$K$30+COUNTIF(BDD!H22:AR22,7)*'ButsMPG + Var'!$K$29+COUNTIF(BDD!H22:AR22,6)*'ButsMPG + Var'!$K$28+COUNTIF(BDD!H22:AR22,5)*'ButsMPG + Var'!$K$27+COUNTIF(BDD!H22:AR22,4)*'ButsMPG + Var'!$K$26+COUNTIF(BDD!H22:AR22,3)*'ButsMPG + Var'!$K$25+COUNTIF(BDD!H22:AR22,2)*'ButsMPG + Var'!$K$24+COUNTIF(BDD!H22:AR22,1)*'ButsMPG + Var'!$K$23,0)))</f>
        <v>0</v>
      </c>
      <c r="H19" s="25">
        <f t="shared" si="1"/>
        <v>0</v>
      </c>
      <c r="I19" s="25">
        <f>BDD!G22</f>
        <v>0</v>
      </c>
      <c r="J19" s="25">
        <f>SUMPRODUCT(BDD!H22:AS22,'ButsMPG + Var'!$B$46:$AM$46)</f>
        <v>0</v>
      </c>
      <c r="K19" s="25" t="e">
        <f>10*('ButsMPG + Var'!$H$37*J19/MAX(J:J)+'ButsMPG + Var'!$G$37*H19/MAX(H:H))</f>
        <v>#DIV/0!</v>
      </c>
      <c r="L19" s="1">
        <f>IF(ISNA(VLOOKUP(B19,PrixMini!$B$3:$E$573,4,FALSE)),1,VLOOKUP(B19,PrixMini!$B$3:$E$573,4,FALSE))</f>
        <v>1</v>
      </c>
      <c r="M19" s="25" t="e">
        <f>IF(ROUND(CalculCotation!$D$3*EXP(CalculCotation!$C$3*K19)-CalculCotation!$D$3+1,0)&gt;L19,ROUND(CalculCotation!$D$3*EXP(CalculCotation!$C$3*K19)-CalculCotation!$D$3+1,0),L19)</f>
        <v>#DIV/0!</v>
      </c>
    </row>
    <row r="20" spans="2:13" x14ac:dyDescent="0.3">
      <c r="B20" s="1">
        <f>BDD!C23</f>
        <v>0</v>
      </c>
      <c r="C20" s="1">
        <f>BDD!B23</f>
        <v>0</v>
      </c>
      <c r="D20" s="1">
        <f>BDD!A23</f>
        <v>0</v>
      </c>
      <c r="E20" s="1">
        <f>BDD!D23</f>
        <v>0</v>
      </c>
      <c r="F20" s="1">
        <f>BDD!F23</f>
        <v>0</v>
      </c>
      <c r="G20" s="25">
        <f>'ButsMPG + Var'!$I$39*IF(C20="A",COUNTIF(BDD!H23:AR23,10)*'ButsMPG + Var'!$K$12+COUNTIF(BDD!H23:AR23,9)*'ButsMPG + Var'!$K$11+COUNTIF(BDD!H23:AR23,8)*'ButsMPG + Var'!$K$10+COUNTIF(BDD!H23:AR23,7)*'ButsMPG + Var'!$K$9+COUNTIF(BDD!H23:AR23,6)*'ButsMPG + Var'!$K$8+COUNTIF(BDD!H23:AR23,5)*'ButsMPG + Var'!$K$7+COUNTIF(BDD!H23:AR23,4)*'ButsMPG + Var'!$K$6+COUNTIF(BDD!H23:AR23,3)*'ButsMPG + Var'!$K$5+COUNTIF(BDD!H23:AR23,2)*'ButsMPG + Var'!$K$4+COUNTIF(BDD!H23:AR23,1)*'ButsMPG + Var'!$K$3,IF(C20="M",COUNTIF(BDD!H23:AR23,10)*'ButsMPG + Var'!$K$22+COUNTIF(BDD!H23:AR23,9)*'ButsMPG + Var'!$K$21+COUNTIF(BDD!H23:AR23,8)*'ButsMPG + Var'!$K$20+COUNTIF(BDD!H23:AR23,7)*'ButsMPG + Var'!$K$19+COUNTIF(BDD!H23:AR23,6)*'ButsMPG + Var'!$K$18+COUNTIF(BDD!H23:AR23,5)*'ButsMPG + Var'!$K$17+COUNTIF(BDD!H23:AR23,4)*'ButsMPG + Var'!$K$16+COUNTIF(BDD!H23:AR23,3)*'ButsMPG + Var'!$K$15+COUNTIF(BDD!H23:AR23,2)*'ButsMPG + Var'!$K$14+COUNTIF(BDD!H23:AR23,1)*'ButsMPG + Var'!$K$13,IF(C20="D",COUNTIF(BDD!H23:AR23,10)*'ButsMPG + Var'!$K$32+COUNTIF(BDD!H23:AR23,9)*'ButsMPG + Var'!$K$31+COUNTIF(BDD!H23:AR23,8)*'ButsMPG + Var'!$K$30+COUNTIF(BDD!H23:AR23,7)*'ButsMPG + Var'!$K$29+COUNTIF(BDD!H23:AR23,6)*'ButsMPG + Var'!$K$28+COUNTIF(BDD!H23:AR23,5)*'ButsMPG + Var'!$K$27+COUNTIF(BDD!H23:AR23,4)*'ButsMPG + Var'!$K$26+COUNTIF(BDD!H23:AR23,3)*'ButsMPG + Var'!$K$25+COUNTIF(BDD!H23:AR23,2)*'ButsMPG + Var'!$K$24+COUNTIF(BDD!H23:AR23,1)*'ButsMPG + Var'!$K$23,0)))</f>
        <v>0</v>
      </c>
      <c r="H20" s="25">
        <f t="shared" si="1"/>
        <v>0</v>
      </c>
      <c r="I20" s="25">
        <f>BDD!G23</f>
        <v>0</v>
      </c>
      <c r="J20" s="25">
        <f>SUMPRODUCT(BDD!H23:AS23,'ButsMPG + Var'!$B$46:$AM$46)</f>
        <v>0</v>
      </c>
      <c r="K20" s="25" t="e">
        <f>10*('ButsMPG + Var'!$H$37*J20/MAX(J:J)+'ButsMPG + Var'!$G$37*H20/MAX(H:H))</f>
        <v>#DIV/0!</v>
      </c>
      <c r="L20" s="1">
        <f>IF(ISNA(VLOOKUP(B20,PrixMini!$B$3:$E$573,4,FALSE)),1,VLOOKUP(B20,PrixMini!$B$3:$E$573,4,FALSE))</f>
        <v>1</v>
      </c>
      <c r="M20" s="25" t="e">
        <f>IF(ROUND(CalculCotation!$D$3*EXP(CalculCotation!$C$3*K20)-CalculCotation!$D$3+1,0)&gt;L20,ROUND(CalculCotation!$D$3*EXP(CalculCotation!$C$3*K20)-CalculCotation!$D$3+1,0),L20)</f>
        <v>#DIV/0!</v>
      </c>
    </row>
    <row r="21" spans="2:13" x14ac:dyDescent="0.3">
      <c r="B21" s="1">
        <f>BDD!C24</f>
        <v>0</v>
      </c>
      <c r="C21" s="1">
        <f>BDD!B24</f>
        <v>0</v>
      </c>
      <c r="D21" s="1">
        <f>BDD!A24</f>
        <v>0</v>
      </c>
      <c r="E21" s="1">
        <f>BDD!D24</f>
        <v>0</v>
      </c>
      <c r="F21" s="1">
        <f>BDD!F24</f>
        <v>0</v>
      </c>
      <c r="G21" s="25">
        <f>'ButsMPG + Var'!$I$39*IF(C21="A",COUNTIF(BDD!H24:AR24,10)*'ButsMPG + Var'!$K$12+COUNTIF(BDD!H24:AR24,9)*'ButsMPG + Var'!$K$11+COUNTIF(BDD!H24:AR24,8)*'ButsMPG + Var'!$K$10+COUNTIF(BDD!H24:AR24,7)*'ButsMPG + Var'!$K$9+COUNTIF(BDD!H24:AR24,6)*'ButsMPG + Var'!$K$8+COUNTIF(BDD!H24:AR24,5)*'ButsMPG + Var'!$K$7+COUNTIF(BDD!H24:AR24,4)*'ButsMPG + Var'!$K$6+COUNTIF(BDD!H24:AR24,3)*'ButsMPG + Var'!$K$5+COUNTIF(BDD!H24:AR24,2)*'ButsMPG + Var'!$K$4+COUNTIF(BDD!H24:AR24,1)*'ButsMPG + Var'!$K$3,IF(C21="M",COUNTIF(BDD!H24:AR24,10)*'ButsMPG + Var'!$K$22+COUNTIF(BDD!H24:AR24,9)*'ButsMPG + Var'!$K$21+COUNTIF(BDD!H24:AR24,8)*'ButsMPG + Var'!$K$20+COUNTIF(BDD!H24:AR24,7)*'ButsMPG + Var'!$K$19+COUNTIF(BDD!H24:AR24,6)*'ButsMPG + Var'!$K$18+COUNTIF(BDD!H24:AR24,5)*'ButsMPG + Var'!$K$17+COUNTIF(BDD!H24:AR24,4)*'ButsMPG + Var'!$K$16+COUNTIF(BDD!H24:AR24,3)*'ButsMPG + Var'!$K$15+COUNTIF(BDD!H24:AR24,2)*'ButsMPG + Var'!$K$14+COUNTIF(BDD!H24:AR24,1)*'ButsMPG + Var'!$K$13,IF(C21="D",COUNTIF(BDD!H24:AR24,10)*'ButsMPG + Var'!$K$32+COUNTIF(BDD!H24:AR24,9)*'ButsMPG + Var'!$K$31+COUNTIF(BDD!H24:AR24,8)*'ButsMPG + Var'!$K$30+COUNTIF(BDD!H24:AR24,7)*'ButsMPG + Var'!$K$29+COUNTIF(BDD!H24:AR24,6)*'ButsMPG + Var'!$K$28+COUNTIF(BDD!H24:AR24,5)*'ButsMPG + Var'!$K$27+COUNTIF(BDD!H24:AR24,4)*'ButsMPG + Var'!$K$26+COUNTIF(BDD!H24:AR24,3)*'ButsMPG + Var'!$K$25+COUNTIF(BDD!H24:AR24,2)*'ButsMPG + Var'!$K$24+COUNTIF(BDD!H24:AR24,1)*'ButsMPG + Var'!$K$23,0)))</f>
        <v>0</v>
      </c>
      <c r="H21" s="25">
        <f t="shared" si="1"/>
        <v>0</v>
      </c>
      <c r="I21" s="25">
        <f>BDD!G24</f>
        <v>0</v>
      </c>
      <c r="J21" s="25">
        <f>SUMPRODUCT(BDD!H24:AS24,'ButsMPG + Var'!$B$46:$AM$46)</f>
        <v>0</v>
      </c>
      <c r="K21" s="25" t="e">
        <f>10*('ButsMPG + Var'!$H$37*J21/MAX(J:J)+'ButsMPG + Var'!$G$37*H21/MAX(H:H))</f>
        <v>#DIV/0!</v>
      </c>
      <c r="L21" s="1">
        <f>IF(ISNA(VLOOKUP(B21,PrixMini!$B$3:$E$573,4,FALSE)),1,VLOOKUP(B21,PrixMini!$B$3:$E$573,4,FALSE))</f>
        <v>1</v>
      </c>
      <c r="M21" s="25" t="e">
        <f>IF(ROUND(CalculCotation!$D$3*EXP(CalculCotation!$C$3*K21)-CalculCotation!$D$3+1,0)&gt;L21,ROUND(CalculCotation!$D$3*EXP(CalculCotation!$C$3*K21)-CalculCotation!$D$3+1,0),L21)</f>
        <v>#DIV/0!</v>
      </c>
    </row>
    <row r="22" spans="2:13" x14ac:dyDescent="0.3">
      <c r="B22" s="1">
        <f>BDD!C25</f>
        <v>0</v>
      </c>
      <c r="C22" s="1">
        <f>BDD!B25</f>
        <v>0</v>
      </c>
      <c r="D22" s="1">
        <f>BDD!A25</f>
        <v>0</v>
      </c>
      <c r="E22" s="1">
        <f>BDD!D25</f>
        <v>0</v>
      </c>
      <c r="F22" s="1">
        <f>BDD!F25</f>
        <v>0</v>
      </c>
      <c r="G22" s="25">
        <f>'ButsMPG + Var'!$I$39*IF(C22="A",COUNTIF(BDD!H25:AR25,10)*'ButsMPG + Var'!$K$12+COUNTIF(BDD!H25:AR25,9)*'ButsMPG + Var'!$K$11+COUNTIF(BDD!H25:AR25,8)*'ButsMPG + Var'!$K$10+COUNTIF(BDD!H25:AR25,7)*'ButsMPG + Var'!$K$9+COUNTIF(BDD!H25:AR25,6)*'ButsMPG + Var'!$K$8+COUNTIF(BDD!H25:AR25,5)*'ButsMPG + Var'!$K$7+COUNTIF(BDD!H25:AR25,4)*'ButsMPG + Var'!$K$6+COUNTIF(BDD!H25:AR25,3)*'ButsMPG + Var'!$K$5+COUNTIF(BDD!H25:AR25,2)*'ButsMPG + Var'!$K$4+COUNTIF(BDD!H25:AR25,1)*'ButsMPG + Var'!$K$3,IF(C22="M",COUNTIF(BDD!H25:AR25,10)*'ButsMPG + Var'!$K$22+COUNTIF(BDD!H25:AR25,9)*'ButsMPG + Var'!$K$21+COUNTIF(BDD!H25:AR25,8)*'ButsMPG + Var'!$K$20+COUNTIF(BDD!H25:AR25,7)*'ButsMPG + Var'!$K$19+COUNTIF(BDD!H25:AR25,6)*'ButsMPG + Var'!$K$18+COUNTIF(BDD!H25:AR25,5)*'ButsMPG + Var'!$K$17+COUNTIF(BDD!H25:AR25,4)*'ButsMPG + Var'!$K$16+COUNTIF(BDD!H25:AR25,3)*'ButsMPG + Var'!$K$15+COUNTIF(BDD!H25:AR25,2)*'ButsMPG + Var'!$K$14+COUNTIF(BDD!H25:AR25,1)*'ButsMPG + Var'!$K$13,IF(C22="D",COUNTIF(BDD!H25:AR25,10)*'ButsMPG + Var'!$K$32+COUNTIF(BDD!H25:AR25,9)*'ButsMPG + Var'!$K$31+COUNTIF(BDD!H25:AR25,8)*'ButsMPG + Var'!$K$30+COUNTIF(BDD!H25:AR25,7)*'ButsMPG + Var'!$K$29+COUNTIF(BDD!H25:AR25,6)*'ButsMPG + Var'!$K$28+COUNTIF(BDD!H25:AR25,5)*'ButsMPG + Var'!$K$27+COUNTIF(BDD!H25:AR25,4)*'ButsMPG + Var'!$K$26+COUNTIF(BDD!H25:AR25,3)*'ButsMPG + Var'!$K$25+COUNTIF(BDD!H25:AR25,2)*'ButsMPG + Var'!$K$24+COUNTIF(BDD!H25:AR25,1)*'ButsMPG + Var'!$K$23,0)))</f>
        <v>0</v>
      </c>
      <c r="H22" s="25">
        <f t="shared" si="1"/>
        <v>0</v>
      </c>
      <c r="I22" s="25">
        <f>BDD!G25</f>
        <v>0</v>
      </c>
      <c r="J22" s="25">
        <f>SUMPRODUCT(BDD!H25:AS25,'ButsMPG + Var'!$B$46:$AM$46)</f>
        <v>0</v>
      </c>
      <c r="K22" s="25" t="e">
        <f>10*('ButsMPG + Var'!$H$37*J22/MAX(J:J)+'ButsMPG + Var'!$G$37*H22/MAX(H:H))</f>
        <v>#DIV/0!</v>
      </c>
      <c r="L22" s="1">
        <f>IF(ISNA(VLOOKUP(B22,PrixMini!$B$3:$E$573,4,FALSE)),1,VLOOKUP(B22,PrixMini!$B$3:$E$573,4,FALSE))</f>
        <v>1</v>
      </c>
      <c r="M22" s="25" t="e">
        <f>IF(ROUND(CalculCotation!$D$3*EXP(CalculCotation!$C$3*K22)-CalculCotation!$D$3+1,0)&gt;L22,ROUND(CalculCotation!$D$3*EXP(CalculCotation!$C$3*K22)-CalculCotation!$D$3+1,0),L22)</f>
        <v>#DIV/0!</v>
      </c>
    </row>
    <row r="23" spans="2:13" x14ac:dyDescent="0.3">
      <c r="B23" s="1">
        <f>BDD!C26</f>
        <v>0</v>
      </c>
      <c r="C23" s="1">
        <f>BDD!B26</f>
        <v>0</v>
      </c>
      <c r="D23" s="1">
        <f>BDD!A26</f>
        <v>0</v>
      </c>
      <c r="E23" s="1">
        <f>BDD!D26</f>
        <v>0</v>
      </c>
      <c r="F23" s="1">
        <f>BDD!F26</f>
        <v>0</v>
      </c>
      <c r="G23" s="25">
        <f>'ButsMPG + Var'!$I$39*IF(C23="A",COUNTIF(BDD!H26:AR26,10)*'ButsMPG + Var'!$K$12+COUNTIF(BDD!H26:AR26,9)*'ButsMPG + Var'!$K$11+COUNTIF(BDD!H26:AR26,8)*'ButsMPG + Var'!$K$10+COUNTIF(BDD!H26:AR26,7)*'ButsMPG + Var'!$K$9+COUNTIF(BDD!H26:AR26,6)*'ButsMPG + Var'!$K$8+COUNTIF(BDD!H26:AR26,5)*'ButsMPG + Var'!$K$7+COUNTIF(BDD!H26:AR26,4)*'ButsMPG + Var'!$K$6+COUNTIF(BDD!H26:AR26,3)*'ButsMPG + Var'!$K$5+COUNTIF(BDD!H26:AR26,2)*'ButsMPG + Var'!$K$4+COUNTIF(BDD!H26:AR26,1)*'ButsMPG + Var'!$K$3,IF(C23="M",COUNTIF(BDD!H26:AR26,10)*'ButsMPG + Var'!$K$22+COUNTIF(BDD!H26:AR26,9)*'ButsMPG + Var'!$K$21+COUNTIF(BDD!H26:AR26,8)*'ButsMPG + Var'!$K$20+COUNTIF(BDD!H26:AR26,7)*'ButsMPG + Var'!$K$19+COUNTIF(BDD!H26:AR26,6)*'ButsMPG + Var'!$K$18+COUNTIF(BDD!H26:AR26,5)*'ButsMPG + Var'!$K$17+COUNTIF(BDD!H26:AR26,4)*'ButsMPG + Var'!$K$16+COUNTIF(BDD!H26:AR26,3)*'ButsMPG + Var'!$K$15+COUNTIF(BDD!H26:AR26,2)*'ButsMPG + Var'!$K$14+COUNTIF(BDD!H26:AR26,1)*'ButsMPG + Var'!$K$13,IF(C23="D",COUNTIF(BDD!H26:AR26,10)*'ButsMPG + Var'!$K$32+COUNTIF(BDD!H26:AR26,9)*'ButsMPG + Var'!$K$31+COUNTIF(BDD!H26:AR26,8)*'ButsMPG + Var'!$K$30+COUNTIF(BDD!H26:AR26,7)*'ButsMPG + Var'!$K$29+COUNTIF(BDD!H26:AR26,6)*'ButsMPG + Var'!$K$28+COUNTIF(BDD!H26:AR26,5)*'ButsMPG + Var'!$K$27+COUNTIF(BDD!H26:AR26,4)*'ButsMPG + Var'!$K$26+COUNTIF(BDD!H26:AR26,3)*'ButsMPG + Var'!$K$25+COUNTIF(BDD!H26:AR26,2)*'ButsMPG + Var'!$K$24+COUNTIF(BDD!H26:AR26,1)*'ButsMPG + Var'!$K$23,0)))</f>
        <v>0</v>
      </c>
      <c r="H23" s="25">
        <f t="shared" si="1"/>
        <v>0</v>
      </c>
      <c r="I23" s="25">
        <f>BDD!G26</f>
        <v>0</v>
      </c>
      <c r="J23" s="25">
        <f>SUMPRODUCT(BDD!H26:AS26,'ButsMPG + Var'!$B$46:$AM$46)</f>
        <v>0</v>
      </c>
      <c r="K23" s="25" t="e">
        <f>10*('ButsMPG + Var'!$H$37*J23/MAX(J:J)+'ButsMPG + Var'!$G$37*H23/MAX(H:H))</f>
        <v>#DIV/0!</v>
      </c>
      <c r="L23" s="1">
        <f>IF(ISNA(VLOOKUP(B23,PrixMini!$B$3:$E$573,4,FALSE)),1,VLOOKUP(B23,PrixMini!$B$3:$E$573,4,FALSE))</f>
        <v>1</v>
      </c>
      <c r="M23" s="25" t="e">
        <f>IF(ROUND(CalculCotation!$D$3*EXP(CalculCotation!$C$3*K23)-CalculCotation!$D$3+1,0)&gt;L23,ROUND(CalculCotation!$D$3*EXP(CalculCotation!$C$3*K23)-CalculCotation!$D$3+1,0),L23)</f>
        <v>#DIV/0!</v>
      </c>
    </row>
    <row r="24" spans="2:13" x14ac:dyDescent="0.3">
      <c r="B24" s="1">
        <f>BDD!C27</f>
        <v>0</v>
      </c>
      <c r="C24" s="1">
        <f>BDD!B27</f>
        <v>0</v>
      </c>
      <c r="D24" s="1">
        <f>BDD!A27</f>
        <v>0</v>
      </c>
      <c r="E24" s="1">
        <f>BDD!D27</f>
        <v>0</v>
      </c>
      <c r="F24" s="1">
        <f>BDD!F27</f>
        <v>0</v>
      </c>
      <c r="G24" s="25">
        <f>'ButsMPG + Var'!$I$39*IF(C24="A",COUNTIF(BDD!H27:AR27,10)*'ButsMPG + Var'!$K$12+COUNTIF(BDD!H27:AR27,9)*'ButsMPG + Var'!$K$11+COUNTIF(BDD!H27:AR27,8)*'ButsMPG + Var'!$K$10+COUNTIF(BDD!H27:AR27,7)*'ButsMPG + Var'!$K$9+COUNTIF(BDD!H27:AR27,6)*'ButsMPG + Var'!$K$8+COUNTIF(BDD!H27:AR27,5)*'ButsMPG + Var'!$K$7+COUNTIF(BDD!H27:AR27,4)*'ButsMPG + Var'!$K$6+COUNTIF(BDD!H27:AR27,3)*'ButsMPG + Var'!$K$5+COUNTIF(BDD!H27:AR27,2)*'ButsMPG + Var'!$K$4+COUNTIF(BDD!H27:AR27,1)*'ButsMPG + Var'!$K$3,IF(C24="M",COUNTIF(BDD!H27:AR27,10)*'ButsMPG + Var'!$K$22+COUNTIF(BDD!H27:AR27,9)*'ButsMPG + Var'!$K$21+COUNTIF(BDD!H27:AR27,8)*'ButsMPG + Var'!$K$20+COUNTIF(BDD!H27:AR27,7)*'ButsMPG + Var'!$K$19+COUNTIF(BDD!H27:AR27,6)*'ButsMPG + Var'!$K$18+COUNTIF(BDD!H27:AR27,5)*'ButsMPG + Var'!$K$17+COUNTIF(BDD!H27:AR27,4)*'ButsMPG + Var'!$K$16+COUNTIF(BDD!H27:AR27,3)*'ButsMPG + Var'!$K$15+COUNTIF(BDD!H27:AR27,2)*'ButsMPG + Var'!$K$14+COUNTIF(BDD!H27:AR27,1)*'ButsMPG + Var'!$K$13,IF(C24="D",COUNTIF(BDD!H27:AR27,10)*'ButsMPG + Var'!$K$32+COUNTIF(BDD!H27:AR27,9)*'ButsMPG + Var'!$K$31+COUNTIF(BDD!H27:AR27,8)*'ButsMPG + Var'!$K$30+COUNTIF(BDD!H27:AR27,7)*'ButsMPG + Var'!$K$29+COUNTIF(BDD!H27:AR27,6)*'ButsMPG + Var'!$K$28+COUNTIF(BDD!H27:AR27,5)*'ButsMPG + Var'!$K$27+COUNTIF(BDD!H27:AR27,4)*'ButsMPG + Var'!$K$26+COUNTIF(BDD!H27:AR27,3)*'ButsMPG + Var'!$K$25+COUNTIF(BDD!H27:AR27,2)*'ButsMPG + Var'!$K$24+COUNTIF(BDD!H27:AR27,1)*'ButsMPG + Var'!$K$23,0)))</f>
        <v>0</v>
      </c>
      <c r="H24" s="25">
        <f t="shared" si="1"/>
        <v>0</v>
      </c>
      <c r="I24" s="25">
        <f>BDD!G27</f>
        <v>0</v>
      </c>
      <c r="J24" s="25">
        <f>SUMPRODUCT(BDD!H27:AS27,'ButsMPG + Var'!$B$46:$AM$46)</f>
        <v>0</v>
      </c>
      <c r="K24" s="25" t="e">
        <f>10*('ButsMPG + Var'!$H$37*J24/MAX(J:J)+'ButsMPG + Var'!$G$37*H24/MAX(H:H))</f>
        <v>#DIV/0!</v>
      </c>
      <c r="L24" s="1">
        <f>IF(ISNA(VLOOKUP(B24,PrixMini!$B$3:$E$573,4,FALSE)),1,VLOOKUP(B24,PrixMini!$B$3:$E$573,4,FALSE))</f>
        <v>1</v>
      </c>
      <c r="M24" s="25" t="e">
        <f>IF(ROUND(CalculCotation!$D$3*EXP(CalculCotation!$C$3*K24)-CalculCotation!$D$3+1,0)&gt;L24,ROUND(CalculCotation!$D$3*EXP(CalculCotation!$C$3*K24)-CalculCotation!$D$3+1,0),L24)</f>
        <v>#DIV/0!</v>
      </c>
    </row>
    <row r="25" spans="2:13" x14ac:dyDescent="0.3">
      <c r="B25" s="1">
        <f>BDD!C28</f>
        <v>0</v>
      </c>
      <c r="C25" s="1">
        <f>BDD!B28</f>
        <v>0</v>
      </c>
      <c r="D25" s="1">
        <f>BDD!A28</f>
        <v>0</v>
      </c>
      <c r="E25" s="1">
        <f>BDD!D28</f>
        <v>0</v>
      </c>
      <c r="F25" s="1">
        <f>BDD!F28</f>
        <v>0</v>
      </c>
      <c r="G25" s="25">
        <f>'ButsMPG + Var'!$I$39*IF(C25="A",COUNTIF(BDD!H28:AR28,10)*'ButsMPG + Var'!$K$12+COUNTIF(BDD!H28:AR28,9)*'ButsMPG + Var'!$K$11+COUNTIF(BDD!H28:AR28,8)*'ButsMPG + Var'!$K$10+COUNTIF(BDD!H28:AR28,7)*'ButsMPG + Var'!$K$9+COUNTIF(BDD!H28:AR28,6)*'ButsMPG + Var'!$K$8+COUNTIF(BDD!H28:AR28,5)*'ButsMPG + Var'!$K$7+COUNTIF(BDD!H28:AR28,4)*'ButsMPG + Var'!$K$6+COUNTIF(BDD!H28:AR28,3)*'ButsMPG + Var'!$K$5+COUNTIF(BDD!H28:AR28,2)*'ButsMPG + Var'!$K$4+COUNTIF(BDD!H28:AR28,1)*'ButsMPG + Var'!$K$3,IF(C25="M",COUNTIF(BDD!H28:AR28,10)*'ButsMPG + Var'!$K$22+COUNTIF(BDD!H28:AR28,9)*'ButsMPG + Var'!$K$21+COUNTIF(BDD!H28:AR28,8)*'ButsMPG + Var'!$K$20+COUNTIF(BDD!H28:AR28,7)*'ButsMPG + Var'!$K$19+COUNTIF(BDD!H28:AR28,6)*'ButsMPG + Var'!$K$18+COUNTIF(BDD!H28:AR28,5)*'ButsMPG + Var'!$K$17+COUNTIF(BDD!H28:AR28,4)*'ButsMPG + Var'!$K$16+COUNTIF(BDD!H28:AR28,3)*'ButsMPG + Var'!$K$15+COUNTIF(BDD!H28:AR28,2)*'ButsMPG + Var'!$K$14+COUNTIF(BDD!H28:AR28,1)*'ButsMPG + Var'!$K$13,IF(C25="D",COUNTIF(BDD!H28:AR28,10)*'ButsMPG + Var'!$K$32+COUNTIF(BDD!H28:AR28,9)*'ButsMPG + Var'!$K$31+COUNTIF(BDD!H28:AR28,8)*'ButsMPG + Var'!$K$30+COUNTIF(BDD!H28:AR28,7)*'ButsMPG + Var'!$K$29+COUNTIF(BDD!H28:AR28,6)*'ButsMPG + Var'!$K$28+COUNTIF(BDD!H28:AR28,5)*'ButsMPG + Var'!$K$27+COUNTIF(BDD!H28:AR28,4)*'ButsMPG + Var'!$K$26+COUNTIF(BDD!H28:AR28,3)*'ButsMPG + Var'!$K$25+COUNTIF(BDD!H28:AR28,2)*'ButsMPG + Var'!$K$24+COUNTIF(BDD!H28:AR28,1)*'ButsMPG + Var'!$K$23,0)))</f>
        <v>0</v>
      </c>
      <c r="H25" s="25">
        <f t="shared" si="1"/>
        <v>0</v>
      </c>
      <c r="I25" s="25">
        <f>BDD!G28</f>
        <v>0</v>
      </c>
      <c r="J25" s="25">
        <f>SUMPRODUCT(BDD!H28:AS28,'ButsMPG + Var'!$B$46:$AM$46)</f>
        <v>0</v>
      </c>
      <c r="K25" s="25" t="e">
        <f>10*('ButsMPG + Var'!$H$37*J25/MAX(J:J)+'ButsMPG + Var'!$G$37*H25/MAX(H:H))</f>
        <v>#DIV/0!</v>
      </c>
      <c r="L25" s="1">
        <f>IF(ISNA(VLOOKUP(B25,PrixMini!$B$3:$E$573,4,FALSE)),1,VLOOKUP(B25,PrixMini!$B$3:$E$573,4,FALSE))</f>
        <v>1</v>
      </c>
      <c r="M25" s="25" t="e">
        <f>IF(ROUND(CalculCotation!$D$3*EXP(CalculCotation!$C$3*K25)-CalculCotation!$D$3+1,0)&gt;L25,ROUND(CalculCotation!$D$3*EXP(CalculCotation!$C$3*K25)-CalculCotation!$D$3+1,0),L25)</f>
        <v>#DIV/0!</v>
      </c>
    </row>
    <row r="26" spans="2:13" x14ac:dyDescent="0.3">
      <c r="B26" s="1">
        <f>BDD!C29</f>
        <v>0</v>
      </c>
      <c r="C26" s="1">
        <f>BDD!B29</f>
        <v>0</v>
      </c>
      <c r="D26" s="1">
        <f>BDD!A29</f>
        <v>0</v>
      </c>
      <c r="E26" s="1">
        <f>BDD!D29</f>
        <v>0</v>
      </c>
      <c r="F26" s="1">
        <f>BDD!F29</f>
        <v>0</v>
      </c>
      <c r="G26" s="25">
        <f>'ButsMPG + Var'!$I$39*IF(C26="A",COUNTIF(BDD!H29:AR29,10)*'ButsMPG + Var'!$K$12+COUNTIF(BDD!H29:AR29,9)*'ButsMPG + Var'!$K$11+COUNTIF(BDD!H29:AR29,8)*'ButsMPG + Var'!$K$10+COUNTIF(BDD!H29:AR29,7)*'ButsMPG + Var'!$K$9+COUNTIF(BDD!H29:AR29,6)*'ButsMPG + Var'!$K$8+COUNTIF(BDD!H29:AR29,5)*'ButsMPG + Var'!$K$7+COUNTIF(BDD!H29:AR29,4)*'ButsMPG + Var'!$K$6+COUNTIF(BDD!H29:AR29,3)*'ButsMPG + Var'!$K$5+COUNTIF(BDD!H29:AR29,2)*'ButsMPG + Var'!$K$4+COUNTIF(BDD!H29:AR29,1)*'ButsMPG + Var'!$K$3,IF(C26="M",COUNTIF(BDD!H29:AR29,10)*'ButsMPG + Var'!$K$22+COUNTIF(BDD!H29:AR29,9)*'ButsMPG + Var'!$K$21+COUNTIF(BDD!H29:AR29,8)*'ButsMPG + Var'!$K$20+COUNTIF(BDD!H29:AR29,7)*'ButsMPG + Var'!$K$19+COUNTIF(BDD!H29:AR29,6)*'ButsMPG + Var'!$K$18+COUNTIF(BDD!H29:AR29,5)*'ButsMPG + Var'!$K$17+COUNTIF(BDD!H29:AR29,4)*'ButsMPG + Var'!$K$16+COUNTIF(BDD!H29:AR29,3)*'ButsMPG + Var'!$K$15+COUNTIF(BDD!H29:AR29,2)*'ButsMPG + Var'!$K$14+COUNTIF(BDD!H29:AR29,1)*'ButsMPG + Var'!$K$13,IF(C26="D",COUNTIF(BDD!H29:AR29,10)*'ButsMPG + Var'!$K$32+COUNTIF(BDD!H29:AR29,9)*'ButsMPG + Var'!$K$31+COUNTIF(BDD!H29:AR29,8)*'ButsMPG + Var'!$K$30+COUNTIF(BDD!H29:AR29,7)*'ButsMPG + Var'!$K$29+COUNTIF(BDD!H29:AR29,6)*'ButsMPG + Var'!$K$28+COUNTIF(BDD!H29:AR29,5)*'ButsMPG + Var'!$K$27+COUNTIF(BDD!H29:AR29,4)*'ButsMPG + Var'!$K$26+COUNTIF(BDD!H29:AR29,3)*'ButsMPG + Var'!$K$25+COUNTIF(BDD!H29:AR29,2)*'ButsMPG + Var'!$K$24+COUNTIF(BDD!H29:AR29,1)*'ButsMPG + Var'!$K$23,0)))</f>
        <v>0</v>
      </c>
      <c r="H26" s="25">
        <f t="shared" si="1"/>
        <v>0</v>
      </c>
      <c r="I26" s="25">
        <f>BDD!G29</f>
        <v>0</v>
      </c>
      <c r="J26" s="25">
        <f>SUMPRODUCT(BDD!H29:AS29,'ButsMPG + Var'!$B$46:$AM$46)</f>
        <v>0</v>
      </c>
      <c r="K26" s="25" t="e">
        <f>10*('ButsMPG + Var'!$H$37*J26/MAX(J:J)+'ButsMPG + Var'!$G$37*H26/MAX(H:H))</f>
        <v>#DIV/0!</v>
      </c>
      <c r="L26" s="1">
        <f>IF(ISNA(VLOOKUP(B26,PrixMini!$B$3:$E$573,4,FALSE)),1,VLOOKUP(B26,PrixMini!$B$3:$E$573,4,FALSE))</f>
        <v>1</v>
      </c>
      <c r="M26" s="25" t="e">
        <f>IF(ROUND(CalculCotation!$D$3*EXP(CalculCotation!$C$3*K26)-CalculCotation!$D$3+1,0)&gt;L26,ROUND(CalculCotation!$D$3*EXP(CalculCotation!$C$3*K26)-CalculCotation!$D$3+1,0),L26)</f>
        <v>#DIV/0!</v>
      </c>
    </row>
    <row r="27" spans="2:13" x14ac:dyDescent="0.3">
      <c r="B27" s="1">
        <f>BDD!C30</f>
        <v>0</v>
      </c>
      <c r="C27" s="1">
        <f>BDD!B30</f>
        <v>0</v>
      </c>
      <c r="D27" s="1">
        <f>BDD!A30</f>
        <v>0</v>
      </c>
      <c r="E27" s="1">
        <f>BDD!D30</f>
        <v>0</v>
      </c>
      <c r="F27" s="1">
        <f>BDD!F30</f>
        <v>0</v>
      </c>
      <c r="G27" s="25">
        <f>'ButsMPG + Var'!$I$39*IF(C27="A",COUNTIF(BDD!H30:AR30,10)*'ButsMPG + Var'!$K$12+COUNTIF(BDD!H30:AR30,9)*'ButsMPG + Var'!$K$11+COUNTIF(BDD!H30:AR30,8)*'ButsMPG + Var'!$K$10+COUNTIF(BDD!H30:AR30,7)*'ButsMPG + Var'!$K$9+COUNTIF(BDD!H30:AR30,6)*'ButsMPG + Var'!$K$8+COUNTIF(BDD!H30:AR30,5)*'ButsMPG + Var'!$K$7+COUNTIF(BDD!H30:AR30,4)*'ButsMPG + Var'!$K$6+COUNTIF(BDD!H30:AR30,3)*'ButsMPG + Var'!$K$5+COUNTIF(BDD!H30:AR30,2)*'ButsMPG + Var'!$K$4+COUNTIF(BDD!H30:AR30,1)*'ButsMPG + Var'!$K$3,IF(C27="M",COUNTIF(BDD!H30:AR30,10)*'ButsMPG + Var'!$K$22+COUNTIF(BDD!H30:AR30,9)*'ButsMPG + Var'!$K$21+COUNTIF(BDD!H30:AR30,8)*'ButsMPG + Var'!$K$20+COUNTIF(BDD!H30:AR30,7)*'ButsMPG + Var'!$K$19+COUNTIF(BDD!H30:AR30,6)*'ButsMPG + Var'!$K$18+COUNTIF(BDD!H30:AR30,5)*'ButsMPG + Var'!$K$17+COUNTIF(BDD!H30:AR30,4)*'ButsMPG + Var'!$K$16+COUNTIF(BDD!H30:AR30,3)*'ButsMPG + Var'!$K$15+COUNTIF(BDD!H30:AR30,2)*'ButsMPG + Var'!$K$14+COUNTIF(BDD!H30:AR30,1)*'ButsMPG + Var'!$K$13,IF(C27="D",COUNTIF(BDD!H30:AR30,10)*'ButsMPG + Var'!$K$32+COUNTIF(BDD!H30:AR30,9)*'ButsMPG + Var'!$K$31+COUNTIF(BDD!H30:AR30,8)*'ButsMPG + Var'!$K$30+COUNTIF(BDD!H30:AR30,7)*'ButsMPG + Var'!$K$29+COUNTIF(BDD!H30:AR30,6)*'ButsMPG + Var'!$K$28+COUNTIF(BDD!H30:AR30,5)*'ButsMPG + Var'!$K$27+COUNTIF(BDD!H30:AR30,4)*'ButsMPG + Var'!$K$26+COUNTIF(BDD!H30:AR30,3)*'ButsMPG + Var'!$K$25+COUNTIF(BDD!H30:AR30,2)*'ButsMPG + Var'!$K$24+COUNTIF(BDD!H30:AR30,1)*'ButsMPG + Var'!$K$23,0)))</f>
        <v>0</v>
      </c>
      <c r="H27" s="25">
        <f t="shared" si="1"/>
        <v>0</v>
      </c>
      <c r="I27" s="25">
        <f>BDD!G30</f>
        <v>0</v>
      </c>
      <c r="J27" s="25">
        <f>SUMPRODUCT(BDD!H30:AS30,'ButsMPG + Var'!$B$46:$AM$46)</f>
        <v>0</v>
      </c>
      <c r="K27" s="25" t="e">
        <f>10*('ButsMPG + Var'!$H$37*J27/MAX(J:J)+'ButsMPG + Var'!$G$37*H27/MAX(H:H))</f>
        <v>#DIV/0!</v>
      </c>
      <c r="L27" s="1">
        <f>IF(ISNA(VLOOKUP(B27,PrixMini!$B$3:$E$573,4,FALSE)),1,VLOOKUP(B27,PrixMini!$B$3:$E$573,4,FALSE))</f>
        <v>1</v>
      </c>
      <c r="M27" s="25" t="e">
        <f>IF(ROUND(CalculCotation!$D$3*EXP(CalculCotation!$C$3*K27)-CalculCotation!$D$3+1,0)&gt;L27,ROUND(CalculCotation!$D$3*EXP(CalculCotation!$C$3*K27)-CalculCotation!$D$3+1,0),L27)</f>
        <v>#DIV/0!</v>
      </c>
    </row>
    <row r="28" spans="2:13" x14ac:dyDescent="0.3">
      <c r="B28" s="1">
        <f>BDD!C31</f>
        <v>0</v>
      </c>
      <c r="C28" s="1">
        <f>BDD!B31</f>
        <v>0</v>
      </c>
      <c r="D28" s="1">
        <f>BDD!A31</f>
        <v>0</v>
      </c>
      <c r="E28" s="1">
        <f>BDD!D31</f>
        <v>0</v>
      </c>
      <c r="F28" s="1">
        <f>BDD!F31</f>
        <v>0</v>
      </c>
      <c r="G28" s="25">
        <f>'ButsMPG + Var'!$I$39*IF(C28="A",COUNTIF(BDD!H31:AR31,10)*'ButsMPG + Var'!$K$12+COUNTIF(BDD!H31:AR31,9)*'ButsMPG + Var'!$K$11+COUNTIF(BDD!H31:AR31,8)*'ButsMPG + Var'!$K$10+COUNTIF(BDD!H31:AR31,7)*'ButsMPG + Var'!$K$9+COUNTIF(BDD!H31:AR31,6)*'ButsMPG + Var'!$K$8+COUNTIF(BDD!H31:AR31,5)*'ButsMPG + Var'!$K$7+COUNTIF(BDD!H31:AR31,4)*'ButsMPG + Var'!$K$6+COUNTIF(BDD!H31:AR31,3)*'ButsMPG + Var'!$K$5+COUNTIF(BDD!H31:AR31,2)*'ButsMPG + Var'!$K$4+COUNTIF(BDD!H31:AR31,1)*'ButsMPG + Var'!$K$3,IF(C28="M",COUNTIF(BDD!H31:AR31,10)*'ButsMPG + Var'!$K$22+COUNTIF(BDD!H31:AR31,9)*'ButsMPG + Var'!$K$21+COUNTIF(BDD!H31:AR31,8)*'ButsMPG + Var'!$K$20+COUNTIF(BDD!H31:AR31,7)*'ButsMPG + Var'!$K$19+COUNTIF(BDD!H31:AR31,6)*'ButsMPG + Var'!$K$18+COUNTIF(BDD!H31:AR31,5)*'ButsMPG + Var'!$K$17+COUNTIF(BDD!H31:AR31,4)*'ButsMPG + Var'!$K$16+COUNTIF(BDD!H31:AR31,3)*'ButsMPG + Var'!$K$15+COUNTIF(BDD!H31:AR31,2)*'ButsMPG + Var'!$K$14+COUNTIF(BDD!H31:AR31,1)*'ButsMPG + Var'!$K$13,IF(C28="D",COUNTIF(BDD!H31:AR31,10)*'ButsMPG + Var'!$K$32+COUNTIF(BDD!H31:AR31,9)*'ButsMPG + Var'!$K$31+COUNTIF(BDD!H31:AR31,8)*'ButsMPG + Var'!$K$30+COUNTIF(BDD!H31:AR31,7)*'ButsMPG + Var'!$K$29+COUNTIF(BDD!H31:AR31,6)*'ButsMPG + Var'!$K$28+COUNTIF(BDD!H31:AR31,5)*'ButsMPG + Var'!$K$27+COUNTIF(BDD!H31:AR31,4)*'ButsMPG + Var'!$K$26+COUNTIF(BDD!H31:AR31,3)*'ButsMPG + Var'!$K$25+COUNTIF(BDD!H31:AR31,2)*'ButsMPG + Var'!$K$24+COUNTIF(BDD!H31:AR31,1)*'ButsMPG + Var'!$K$23,0)))</f>
        <v>0</v>
      </c>
      <c r="H28" s="25">
        <f t="shared" si="1"/>
        <v>0</v>
      </c>
      <c r="I28" s="25">
        <f>BDD!G31</f>
        <v>0</v>
      </c>
      <c r="J28" s="25">
        <f>SUMPRODUCT(BDD!H31:AS31,'ButsMPG + Var'!$B$46:$AM$46)</f>
        <v>0</v>
      </c>
      <c r="K28" s="25" t="e">
        <f>10*('ButsMPG + Var'!$H$37*J28/MAX(J:J)+'ButsMPG + Var'!$G$37*H28/MAX(H:H))</f>
        <v>#DIV/0!</v>
      </c>
      <c r="L28" s="1">
        <f>IF(ISNA(VLOOKUP(B28,PrixMini!$B$3:$E$573,4,FALSE)),1,VLOOKUP(B28,PrixMini!$B$3:$E$573,4,FALSE))</f>
        <v>1</v>
      </c>
      <c r="M28" s="25" t="e">
        <f>IF(ROUND(CalculCotation!$D$3*EXP(CalculCotation!$C$3*K28)-CalculCotation!$D$3+1,0)&gt;L28,ROUND(CalculCotation!$D$3*EXP(CalculCotation!$C$3*K28)-CalculCotation!$D$3+1,0),L28)</f>
        <v>#DIV/0!</v>
      </c>
    </row>
    <row r="29" spans="2:13" x14ac:dyDescent="0.3">
      <c r="B29" s="1">
        <f>BDD!C32</f>
        <v>0</v>
      </c>
      <c r="C29" s="1">
        <f>BDD!B32</f>
        <v>0</v>
      </c>
      <c r="D29" s="1">
        <f>BDD!A32</f>
        <v>0</v>
      </c>
      <c r="E29" s="1">
        <f>BDD!D32</f>
        <v>0</v>
      </c>
      <c r="F29" s="1">
        <f>BDD!F32</f>
        <v>0</v>
      </c>
      <c r="G29" s="25">
        <f>'ButsMPG + Var'!$I$39*IF(C29="A",COUNTIF(BDD!H32:AR32,10)*'ButsMPG + Var'!$K$12+COUNTIF(BDD!H32:AR32,9)*'ButsMPG + Var'!$K$11+COUNTIF(BDD!H32:AR32,8)*'ButsMPG + Var'!$K$10+COUNTIF(BDD!H32:AR32,7)*'ButsMPG + Var'!$K$9+COUNTIF(BDD!H32:AR32,6)*'ButsMPG + Var'!$K$8+COUNTIF(BDD!H32:AR32,5)*'ButsMPG + Var'!$K$7+COUNTIF(BDD!H32:AR32,4)*'ButsMPG + Var'!$K$6+COUNTIF(BDD!H32:AR32,3)*'ButsMPG + Var'!$K$5+COUNTIF(BDD!H32:AR32,2)*'ButsMPG + Var'!$K$4+COUNTIF(BDD!H32:AR32,1)*'ButsMPG + Var'!$K$3,IF(C29="M",COUNTIF(BDD!H32:AR32,10)*'ButsMPG + Var'!$K$22+COUNTIF(BDD!H32:AR32,9)*'ButsMPG + Var'!$K$21+COUNTIF(BDD!H32:AR32,8)*'ButsMPG + Var'!$K$20+COUNTIF(BDD!H32:AR32,7)*'ButsMPG + Var'!$K$19+COUNTIF(BDD!H32:AR32,6)*'ButsMPG + Var'!$K$18+COUNTIF(BDD!H32:AR32,5)*'ButsMPG + Var'!$K$17+COUNTIF(BDD!H32:AR32,4)*'ButsMPG + Var'!$K$16+COUNTIF(BDD!H32:AR32,3)*'ButsMPG + Var'!$K$15+COUNTIF(BDD!H32:AR32,2)*'ButsMPG + Var'!$K$14+COUNTIF(BDD!H32:AR32,1)*'ButsMPG + Var'!$K$13,IF(C29="D",COUNTIF(BDD!H32:AR32,10)*'ButsMPG + Var'!$K$32+COUNTIF(BDD!H32:AR32,9)*'ButsMPG + Var'!$K$31+COUNTIF(BDD!H32:AR32,8)*'ButsMPG + Var'!$K$30+COUNTIF(BDD!H32:AR32,7)*'ButsMPG + Var'!$K$29+COUNTIF(BDD!H32:AR32,6)*'ButsMPG + Var'!$K$28+COUNTIF(BDD!H32:AR32,5)*'ButsMPG + Var'!$K$27+COUNTIF(BDD!H32:AR32,4)*'ButsMPG + Var'!$K$26+COUNTIF(BDD!H32:AR32,3)*'ButsMPG + Var'!$K$25+COUNTIF(BDD!H32:AR32,2)*'ButsMPG + Var'!$K$24+COUNTIF(BDD!H32:AR32,1)*'ButsMPG + Var'!$K$23,0)))</f>
        <v>0</v>
      </c>
      <c r="H29" s="25">
        <f t="shared" si="1"/>
        <v>0</v>
      </c>
      <c r="I29" s="25">
        <f>BDD!G32</f>
        <v>0</v>
      </c>
      <c r="J29" s="25">
        <f>SUMPRODUCT(BDD!H32:AS32,'ButsMPG + Var'!$B$46:$AM$46)</f>
        <v>0</v>
      </c>
      <c r="K29" s="25" t="e">
        <f>10*('ButsMPG + Var'!$H$37*J29/MAX(J:J)+'ButsMPG + Var'!$G$37*H29/MAX(H:H))</f>
        <v>#DIV/0!</v>
      </c>
      <c r="L29" s="1">
        <f>IF(ISNA(VLOOKUP(B29,PrixMini!$B$3:$E$573,4,FALSE)),1,VLOOKUP(B29,PrixMini!$B$3:$E$573,4,FALSE))</f>
        <v>1</v>
      </c>
      <c r="M29" s="25" t="e">
        <f>IF(ROUND(CalculCotation!$D$3*EXP(CalculCotation!$C$3*K29)-CalculCotation!$D$3+1,0)&gt;L29,ROUND(CalculCotation!$D$3*EXP(CalculCotation!$C$3*K29)-CalculCotation!$D$3+1,0),L29)</f>
        <v>#DIV/0!</v>
      </c>
    </row>
    <row r="30" spans="2:13" x14ac:dyDescent="0.3">
      <c r="B30" s="1">
        <f>BDD!C33</f>
        <v>0</v>
      </c>
      <c r="C30" s="1">
        <f>BDD!B33</f>
        <v>0</v>
      </c>
      <c r="D30" s="1">
        <f>BDD!A33</f>
        <v>0</v>
      </c>
      <c r="E30" s="1">
        <f>BDD!D33</f>
        <v>0</v>
      </c>
      <c r="F30" s="1">
        <f>BDD!F33</f>
        <v>0</v>
      </c>
      <c r="G30" s="25">
        <f>'ButsMPG + Var'!$I$39*IF(C30="A",COUNTIF(BDD!H33:AR33,10)*'ButsMPG + Var'!$K$12+COUNTIF(BDD!H33:AR33,9)*'ButsMPG + Var'!$K$11+COUNTIF(BDD!H33:AR33,8)*'ButsMPG + Var'!$K$10+COUNTIF(BDD!H33:AR33,7)*'ButsMPG + Var'!$K$9+COUNTIF(BDD!H33:AR33,6)*'ButsMPG + Var'!$K$8+COUNTIF(BDD!H33:AR33,5)*'ButsMPG + Var'!$K$7+COUNTIF(BDD!H33:AR33,4)*'ButsMPG + Var'!$K$6+COUNTIF(BDD!H33:AR33,3)*'ButsMPG + Var'!$K$5+COUNTIF(BDD!H33:AR33,2)*'ButsMPG + Var'!$K$4+COUNTIF(BDD!H33:AR33,1)*'ButsMPG + Var'!$K$3,IF(C30="M",COUNTIF(BDD!H33:AR33,10)*'ButsMPG + Var'!$K$22+COUNTIF(BDD!H33:AR33,9)*'ButsMPG + Var'!$K$21+COUNTIF(BDD!H33:AR33,8)*'ButsMPG + Var'!$K$20+COUNTIF(BDD!H33:AR33,7)*'ButsMPG + Var'!$K$19+COUNTIF(BDD!H33:AR33,6)*'ButsMPG + Var'!$K$18+COUNTIF(BDD!H33:AR33,5)*'ButsMPG + Var'!$K$17+COUNTIF(BDD!H33:AR33,4)*'ButsMPG + Var'!$K$16+COUNTIF(BDD!H33:AR33,3)*'ButsMPG + Var'!$K$15+COUNTIF(BDD!H33:AR33,2)*'ButsMPG + Var'!$K$14+COUNTIF(BDD!H33:AR33,1)*'ButsMPG + Var'!$K$13,IF(C30="D",COUNTIF(BDD!H33:AR33,10)*'ButsMPG + Var'!$K$32+COUNTIF(BDD!H33:AR33,9)*'ButsMPG + Var'!$K$31+COUNTIF(BDD!H33:AR33,8)*'ButsMPG + Var'!$K$30+COUNTIF(BDD!H33:AR33,7)*'ButsMPG + Var'!$K$29+COUNTIF(BDD!H33:AR33,6)*'ButsMPG + Var'!$K$28+COUNTIF(BDD!H33:AR33,5)*'ButsMPG + Var'!$K$27+COUNTIF(BDD!H33:AR33,4)*'ButsMPG + Var'!$K$26+COUNTIF(BDD!H33:AR33,3)*'ButsMPG + Var'!$K$25+COUNTIF(BDD!H33:AR33,2)*'ButsMPG + Var'!$K$24+COUNTIF(BDD!H33:AR33,1)*'ButsMPG + Var'!$K$23,0)))</f>
        <v>0</v>
      </c>
      <c r="H30" s="25">
        <f t="shared" si="1"/>
        <v>0</v>
      </c>
      <c r="I30" s="25">
        <f>BDD!G33</f>
        <v>0</v>
      </c>
      <c r="J30" s="25">
        <f>SUMPRODUCT(BDD!H33:AS33,'ButsMPG + Var'!$B$46:$AM$46)</f>
        <v>0</v>
      </c>
      <c r="K30" s="25" t="e">
        <f>10*('ButsMPG + Var'!$H$37*J30/MAX(J:J)+'ButsMPG + Var'!$G$37*H30/MAX(H:H))</f>
        <v>#DIV/0!</v>
      </c>
      <c r="L30" s="1">
        <f>IF(ISNA(VLOOKUP(B30,PrixMini!$B$3:$E$573,4,FALSE)),1,VLOOKUP(B30,PrixMini!$B$3:$E$573,4,FALSE))</f>
        <v>1</v>
      </c>
      <c r="M30" s="25" t="e">
        <f>IF(ROUND(CalculCotation!$D$3*EXP(CalculCotation!$C$3*K30)-CalculCotation!$D$3+1,0)&gt;L30,ROUND(CalculCotation!$D$3*EXP(CalculCotation!$C$3*K30)-CalculCotation!$D$3+1,0),L30)</f>
        <v>#DIV/0!</v>
      </c>
    </row>
    <row r="31" spans="2:13" x14ac:dyDescent="0.3">
      <c r="B31" s="1">
        <f>BDD!C34</f>
        <v>0</v>
      </c>
      <c r="C31" s="1">
        <f>BDD!B34</f>
        <v>0</v>
      </c>
      <c r="D31" s="1">
        <f>BDD!A34</f>
        <v>0</v>
      </c>
      <c r="E31" s="1">
        <f>BDD!D34</f>
        <v>0</v>
      </c>
      <c r="F31" s="1">
        <f>BDD!F34</f>
        <v>0</v>
      </c>
      <c r="G31" s="25">
        <f>'ButsMPG + Var'!$I$39*IF(C31="A",COUNTIF(BDD!H34:AR34,10)*'ButsMPG + Var'!$K$12+COUNTIF(BDD!H34:AR34,9)*'ButsMPG + Var'!$K$11+COUNTIF(BDD!H34:AR34,8)*'ButsMPG + Var'!$K$10+COUNTIF(BDD!H34:AR34,7)*'ButsMPG + Var'!$K$9+COUNTIF(BDD!H34:AR34,6)*'ButsMPG + Var'!$K$8+COUNTIF(BDD!H34:AR34,5)*'ButsMPG + Var'!$K$7+COUNTIF(BDD!H34:AR34,4)*'ButsMPG + Var'!$K$6+COUNTIF(BDD!H34:AR34,3)*'ButsMPG + Var'!$K$5+COUNTIF(BDD!H34:AR34,2)*'ButsMPG + Var'!$K$4+COUNTIF(BDD!H34:AR34,1)*'ButsMPG + Var'!$K$3,IF(C31="M",COUNTIF(BDD!H34:AR34,10)*'ButsMPG + Var'!$K$22+COUNTIF(BDD!H34:AR34,9)*'ButsMPG + Var'!$K$21+COUNTIF(BDD!H34:AR34,8)*'ButsMPG + Var'!$K$20+COUNTIF(BDD!H34:AR34,7)*'ButsMPG + Var'!$K$19+COUNTIF(BDD!H34:AR34,6)*'ButsMPG + Var'!$K$18+COUNTIF(BDD!H34:AR34,5)*'ButsMPG + Var'!$K$17+COUNTIF(BDD!H34:AR34,4)*'ButsMPG + Var'!$K$16+COUNTIF(BDD!H34:AR34,3)*'ButsMPG + Var'!$K$15+COUNTIF(BDD!H34:AR34,2)*'ButsMPG + Var'!$K$14+COUNTIF(BDD!H34:AR34,1)*'ButsMPG + Var'!$K$13,IF(C31="D",COUNTIF(BDD!H34:AR34,10)*'ButsMPG + Var'!$K$32+COUNTIF(BDD!H34:AR34,9)*'ButsMPG + Var'!$K$31+COUNTIF(BDD!H34:AR34,8)*'ButsMPG + Var'!$K$30+COUNTIF(BDD!H34:AR34,7)*'ButsMPG + Var'!$K$29+COUNTIF(BDD!H34:AR34,6)*'ButsMPG + Var'!$K$28+COUNTIF(BDD!H34:AR34,5)*'ButsMPG + Var'!$K$27+COUNTIF(BDD!H34:AR34,4)*'ButsMPG + Var'!$K$26+COUNTIF(BDD!H34:AR34,3)*'ButsMPG + Var'!$K$25+COUNTIF(BDD!H34:AR34,2)*'ButsMPG + Var'!$K$24+COUNTIF(BDD!H34:AR34,1)*'ButsMPG + Var'!$K$23,0)))</f>
        <v>0</v>
      </c>
      <c r="H31" s="25">
        <f t="shared" si="1"/>
        <v>0</v>
      </c>
      <c r="I31" s="25">
        <f>BDD!G34</f>
        <v>0</v>
      </c>
      <c r="J31" s="25">
        <f>SUMPRODUCT(BDD!H34:AS34,'ButsMPG + Var'!$B$46:$AM$46)</f>
        <v>0</v>
      </c>
      <c r="K31" s="25" t="e">
        <f>10*('ButsMPG + Var'!$H$37*J31/MAX(J:J)+'ButsMPG + Var'!$G$37*H31/MAX(H:H))</f>
        <v>#DIV/0!</v>
      </c>
      <c r="L31" s="1">
        <f>IF(ISNA(VLOOKUP(B31,PrixMini!$B$3:$E$573,4,FALSE)),1,VLOOKUP(B31,PrixMini!$B$3:$E$573,4,FALSE))</f>
        <v>1</v>
      </c>
      <c r="M31" s="25" t="e">
        <f>IF(ROUND(CalculCotation!$D$3*EXP(CalculCotation!$C$3*K31)-CalculCotation!$D$3+1,0)&gt;L31,ROUND(CalculCotation!$D$3*EXP(CalculCotation!$C$3*K31)-CalculCotation!$D$3+1,0),L31)</f>
        <v>#DIV/0!</v>
      </c>
    </row>
    <row r="32" spans="2:13" x14ac:dyDescent="0.3">
      <c r="B32" s="1">
        <f>BDD!C35</f>
        <v>0</v>
      </c>
      <c r="C32" s="1">
        <f>BDD!B35</f>
        <v>0</v>
      </c>
      <c r="D32" s="1">
        <f>BDD!A35</f>
        <v>0</v>
      </c>
      <c r="E32" s="1">
        <f>BDD!D35</f>
        <v>0</v>
      </c>
      <c r="F32" s="1">
        <f>BDD!F35</f>
        <v>0</v>
      </c>
      <c r="G32" s="25">
        <f>'ButsMPG + Var'!$I$39*IF(C32="A",COUNTIF(BDD!H35:AR35,10)*'ButsMPG + Var'!$K$12+COUNTIF(BDD!H35:AR35,9)*'ButsMPG + Var'!$K$11+COUNTIF(BDD!H35:AR35,8)*'ButsMPG + Var'!$K$10+COUNTIF(BDD!H35:AR35,7)*'ButsMPG + Var'!$K$9+COUNTIF(BDD!H35:AR35,6)*'ButsMPG + Var'!$K$8+COUNTIF(BDD!H35:AR35,5)*'ButsMPG + Var'!$K$7+COUNTIF(BDD!H35:AR35,4)*'ButsMPG + Var'!$K$6+COUNTIF(BDD!H35:AR35,3)*'ButsMPG + Var'!$K$5+COUNTIF(BDD!H35:AR35,2)*'ButsMPG + Var'!$K$4+COUNTIF(BDD!H35:AR35,1)*'ButsMPG + Var'!$K$3,IF(C32="M",COUNTIF(BDD!H35:AR35,10)*'ButsMPG + Var'!$K$22+COUNTIF(BDD!H35:AR35,9)*'ButsMPG + Var'!$K$21+COUNTIF(BDD!H35:AR35,8)*'ButsMPG + Var'!$K$20+COUNTIF(BDD!H35:AR35,7)*'ButsMPG + Var'!$K$19+COUNTIF(BDD!H35:AR35,6)*'ButsMPG + Var'!$K$18+COUNTIF(BDD!H35:AR35,5)*'ButsMPG + Var'!$K$17+COUNTIF(BDD!H35:AR35,4)*'ButsMPG + Var'!$K$16+COUNTIF(BDD!H35:AR35,3)*'ButsMPG + Var'!$K$15+COUNTIF(BDD!H35:AR35,2)*'ButsMPG + Var'!$K$14+COUNTIF(BDD!H35:AR35,1)*'ButsMPG + Var'!$K$13,IF(C32="D",COUNTIF(BDD!H35:AR35,10)*'ButsMPG + Var'!$K$32+COUNTIF(BDD!H35:AR35,9)*'ButsMPG + Var'!$K$31+COUNTIF(BDD!H35:AR35,8)*'ButsMPG + Var'!$K$30+COUNTIF(BDD!H35:AR35,7)*'ButsMPG + Var'!$K$29+COUNTIF(BDD!H35:AR35,6)*'ButsMPG + Var'!$K$28+COUNTIF(BDD!H35:AR35,5)*'ButsMPG + Var'!$K$27+COUNTIF(BDD!H35:AR35,4)*'ButsMPG + Var'!$K$26+COUNTIF(BDD!H35:AR35,3)*'ButsMPG + Var'!$K$25+COUNTIF(BDD!H35:AR35,2)*'ButsMPG + Var'!$K$24+COUNTIF(BDD!H35:AR35,1)*'ButsMPG + Var'!$K$23,0)))</f>
        <v>0</v>
      </c>
      <c r="H32" s="25">
        <f t="shared" si="1"/>
        <v>0</v>
      </c>
      <c r="I32" s="25">
        <f>BDD!G35</f>
        <v>0</v>
      </c>
      <c r="J32" s="25">
        <f>SUMPRODUCT(BDD!H35:AS35,'ButsMPG + Var'!$B$46:$AM$46)</f>
        <v>0</v>
      </c>
      <c r="K32" s="25" t="e">
        <f>10*('ButsMPG + Var'!$H$37*J32/MAX(J:J)+'ButsMPG + Var'!$G$37*H32/MAX(H:H))</f>
        <v>#DIV/0!</v>
      </c>
      <c r="L32" s="1">
        <f>IF(ISNA(VLOOKUP(B32,PrixMini!$B$3:$E$573,4,FALSE)),1,VLOOKUP(B32,PrixMini!$B$3:$E$573,4,FALSE))</f>
        <v>1</v>
      </c>
      <c r="M32" s="25" t="e">
        <f>IF(ROUND(CalculCotation!$D$3*EXP(CalculCotation!$C$3*K32)-CalculCotation!$D$3+1,0)&gt;L32,ROUND(CalculCotation!$D$3*EXP(CalculCotation!$C$3*K32)-CalculCotation!$D$3+1,0),L32)</f>
        <v>#DIV/0!</v>
      </c>
    </row>
    <row r="33" spans="2:13" x14ac:dyDescent="0.3">
      <c r="B33" s="1">
        <f>BDD!C36</f>
        <v>0</v>
      </c>
      <c r="C33" s="1">
        <f>BDD!B36</f>
        <v>0</v>
      </c>
      <c r="D33" s="1">
        <f>BDD!A36</f>
        <v>0</v>
      </c>
      <c r="E33" s="1">
        <f>BDD!D36</f>
        <v>0</v>
      </c>
      <c r="F33" s="1">
        <f>BDD!F36</f>
        <v>0</v>
      </c>
      <c r="G33" s="25">
        <f>'ButsMPG + Var'!$I$39*IF(C33="A",COUNTIF(BDD!H36:AR36,10)*'ButsMPG + Var'!$K$12+COUNTIF(BDD!H36:AR36,9)*'ButsMPG + Var'!$K$11+COUNTIF(BDD!H36:AR36,8)*'ButsMPG + Var'!$K$10+COUNTIF(BDD!H36:AR36,7)*'ButsMPG + Var'!$K$9+COUNTIF(BDD!H36:AR36,6)*'ButsMPG + Var'!$K$8+COUNTIF(BDD!H36:AR36,5)*'ButsMPG + Var'!$K$7+COUNTIF(BDD!H36:AR36,4)*'ButsMPG + Var'!$K$6+COUNTIF(BDD!H36:AR36,3)*'ButsMPG + Var'!$K$5+COUNTIF(BDD!H36:AR36,2)*'ButsMPG + Var'!$K$4+COUNTIF(BDD!H36:AR36,1)*'ButsMPG + Var'!$K$3,IF(C33="M",COUNTIF(BDD!H36:AR36,10)*'ButsMPG + Var'!$K$22+COUNTIF(BDD!H36:AR36,9)*'ButsMPG + Var'!$K$21+COUNTIF(BDD!H36:AR36,8)*'ButsMPG + Var'!$K$20+COUNTIF(BDD!H36:AR36,7)*'ButsMPG + Var'!$K$19+COUNTIF(BDD!H36:AR36,6)*'ButsMPG + Var'!$K$18+COUNTIF(BDD!H36:AR36,5)*'ButsMPG + Var'!$K$17+COUNTIF(BDD!H36:AR36,4)*'ButsMPG + Var'!$K$16+COUNTIF(BDD!H36:AR36,3)*'ButsMPG + Var'!$K$15+COUNTIF(BDD!H36:AR36,2)*'ButsMPG + Var'!$K$14+COUNTIF(BDD!H36:AR36,1)*'ButsMPG + Var'!$K$13,IF(C33="D",COUNTIF(BDD!H36:AR36,10)*'ButsMPG + Var'!$K$32+COUNTIF(BDD!H36:AR36,9)*'ButsMPG + Var'!$K$31+COUNTIF(BDD!H36:AR36,8)*'ButsMPG + Var'!$K$30+COUNTIF(BDD!H36:AR36,7)*'ButsMPG + Var'!$K$29+COUNTIF(BDD!H36:AR36,6)*'ButsMPG + Var'!$K$28+COUNTIF(BDD!H36:AR36,5)*'ButsMPG + Var'!$K$27+COUNTIF(BDD!H36:AR36,4)*'ButsMPG + Var'!$K$26+COUNTIF(BDD!H36:AR36,3)*'ButsMPG + Var'!$K$25+COUNTIF(BDD!H36:AR36,2)*'ButsMPG + Var'!$K$24+COUNTIF(BDD!H36:AR36,1)*'ButsMPG + Var'!$K$23,0)))</f>
        <v>0</v>
      </c>
      <c r="H33" s="25">
        <f t="shared" si="1"/>
        <v>0</v>
      </c>
      <c r="I33" s="25">
        <f>BDD!G36</f>
        <v>0</v>
      </c>
      <c r="J33" s="25">
        <f>SUMPRODUCT(BDD!H36:AS36,'ButsMPG + Var'!$B$46:$AM$46)</f>
        <v>0</v>
      </c>
      <c r="K33" s="25" t="e">
        <f>10*('ButsMPG + Var'!$H$37*J33/MAX(J:J)+'ButsMPG + Var'!$G$37*H33/MAX(H:H))</f>
        <v>#DIV/0!</v>
      </c>
      <c r="L33" s="1">
        <f>IF(ISNA(VLOOKUP(B33,PrixMini!$B$3:$E$573,4,FALSE)),1,VLOOKUP(B33,PrixMini!$B$3:$E$573,4,FALSE))</f>
        <v>1</v>
      </c>
      <c r="M33" s="25" t="e">
        <f>IF(ROUND(CalculCotation!$D$3*EXP(CalculCotation!$C$3*K33)-CalculCotation!$D$3+1,0)&gt;L33,ROUND(CalculCotation!$D$3*EXP(CalculCotation!$C$3*K33)-CalculCotation!$D$3+1,0),L33)</f>
        <v>#DIV/0!</v>
      </c>
    </row>
    <row r="34" spans="2:13" x14ac:dyDescent="0.3">
      <c r="B34" s="1">
        <f>BDD!C37</f>
        <v>0</v>
      </c>
      <c r="C34" s="1">
        <f>BDD!B37</f>
        <v>0</v>
      </c>
      <c r="D34" s="1">
        <f>BDD!A37</f>
        <v>0</v>
      </c>
      <c r="E34" s="1">
        <f>BDD!D37</f>
        <v>0</v>
      </c>
      <c r="F34" s="1">
        <f>BDD!F37</f>
        <v>0</v>
      </c>
      <c r="G34" s="25">
        <f>'ButsMPG + Var'!$I$39*IF(C34="A",COUNTIF(BDD!H37:AR37,10)*'ButsMPG + Var'!$K$12+COUNTIF(BDD!H37:AR37,9)*'ButsMPG + Var'!$K$11+COUNTIF(BDD!H37:AR37,8)*'ButsMPG + Var'!$K$10+COUNTIF(BDD!H37:AR37,7)*'ButsMPG + Var'!$K$9+COUNTIF(BDD!H37:AR37,6)*'ButsMPG + Var'!$K$8+COUNTIF(BDD!H37:AR37,5)*'ButsMPG + Var'!$K$7+COUNTIF(BDD!H37:AR37,4)*'ButsMPG + Var'!$K$6+COUNTIF(BDD!H37:AR37,3)*'ButsMPG + Var'!$K$5+COUNTIF(BDD!H37:AR37,2)*'ButsMPG + Var'!$K$4+COUNTIF(BDD!H37:AR37,1)*'ButsMPG + Var'!$K$3,IF(C34="M",COUNTIF(BDD!H37:AR37,10)*'ButsMPG + Var'!$K$22+COUNTIF(BDD!H37:AR37,9)*'ButsMPG + Var'!$K$21+COUNTIF(BDD!H37:AR37,8)*'ButsMPG + Var'!$K$20+COUNTIF(BDD!H37:AR37,7)*'ButsMPG + Var'!$K$19+COUNTIF(BDD!H37:AR37,6)*'ButsMPG + Var'!$K$18+COUNTIF(BDD!H37:AR37,5)*'ButsMPG + Var'!$K$17+COUNTIF(BDD!H37:AR37,4)*'ButsMPG + Var'!$K$16+COUNTIF(BDD!H37:AR37,3)*'ButsMPG + Var'!$K$15+COUNTIF(BDD!H37:AR37,2)*'ButsMPG + Var'!$K$14+COUNTIF(BDD!H37:AR37,1)*'ButsMPG + Var'!$K$13,IF(C34="D",COUNTIF(BDD!H37:AR37,10)*'ButsMPG + Var'!$K$32+COUNTIF(BDD!H37:AR37,9)*'ButsMPG + Var'!$K$31+COUNTIF(BDD!H37:AR37,8)*'ButsMPG + Var'!$K$30+COUNTIF(BDD!H37:AR37,7)*'ButsMPG + Var'!$K$29+COUNTIF(BDD!H37:AR37,6)*'ButsMPG + Var'!$K$28+COUNTIF(BDD!H37:AR37,5)*'ButsMPG + Var'!$K$27+COUNTIF(BDD!H37:AR37,4)*'ButsMPG + Var'!$K$26+COUNTIF(BDD!H37:AR37,3)*'ButsMPG + Var'!$K$25+COUNTIF(BDD!H37:AR37,2)*'ButsMPG + Var'!$K$24+COUNTIF(BDD!H37:AR37,1)*'ButsMPG + Var'!$K$23,0)))</f>
        <v>0</v>
      </c>
      <c r="H34" s="25">
        <f t="shared" si="1"/>
        <v>0</v>
      </c>
      <c r="I34" s="25">
        <f>BDD!G37</f>
        <v>0</v>
      </c>
      <c r="J34" s="25">
        <f>SUMPRODUCT(BDD!H37:AS37,'ButsMPG + Var'!$B$46:$AM$46)</f>
        <v>0</v>
      </c>
      <c r="K34" s="25" t="e">
        <f>10*('ButsMPG + Var'!$H$37*J34/MAX(J:J)+'ButsMPG + Var'!$G$37*H34/MAX(H:H))</f>
        <v>#DIV/0!</v>
      </c>
      <c r="L34" s="1">
        <f>IF(ISNA(VLOOKUP(B34,PrixMini!$B$3:$E$573,4,FALSE)),1,VLOOKUP(B34,PrixMini!$B$3:$E$573,4,FALSE))</f>
        <v>1</v>
      </c>
      <c r="M34" s="25" t="e">
        <f>IF(ROUND(CalculCotation!$D$3*EXP(CalculCotation!$C$3*K34)-CalculCotation!$D$3+1,0)&gt;L34,ROUND(CalculCotation!$D$3*EXP(CalculCotation!$C$3*K34)-CalculCotation!$D$3+1,0),L34)</f>
        <v>#DIV/0!</v>
      </c>
    </row>
    <row r="35" spans="2:13" x14ac:dyDescent="0.3">
      <c r="B35" s="1">
        <f>BDD!C38</f>
        <v>0</v>
      </c>
      <c r="C35" s="1">
        <f>BDD!B38</f>
        <v>0</v>
      </c>
      <c r="D35" s="1">
        <f>BDD!A38</f>
        <v>0</v>
      </c>
      <c r="E35" s="1">
        <f>BDD!D38</f>
        <v>0</v>
      </c>
      <c r="F35" s="1">
        <f>BDD!F38</f>
        <v>0</v>
      </c>
      <c r="G35" s="25">
        <f>'ButsMPG + Var'!$I$39*IF(C35="A",COUNTIF(BDD!H38:AR38,10)*'ButsMPG + Var'!$K$12+COUNTIF(BDD!H38:AR38,9)*'ButsMPG + Var'!$K$11+COUNTIF(BDD!H38:AR38,8)*'ButsMPG + Var'!$K$10+COUNTIF(BDD!H38:AR38,7)*'ButsMPG + Var'!$K$9+COUNTIF(BDD!H38:AR38,6)*'ButsMPG + Var'!$K$8+COUNTIF(BDD!H38:AR38,5)*'ButsMPG + Var'!$K$7+COUNTIF(BDD!H38:AR38,4)*'ButsMPG + Var'!$K$6+COUNTIF(BDD!H38:AR38,3)*'ButsMPG + Var'!$K$5+COUNTIF(BDD!H38:AR38,2)*'ButsMPG + Var'!$K$4+COUNTIF(BDD!H38:AR38,1)*'ButsMPG + Var'!$K$3,IF(C35="M",COUNTIF(BDD!H38:AR38,10)*'ButsMPG + Var'!$K$22+COUNTIF(BDD!H38:AR38,9)*'ButsMPG + Var'!$K$21+COUNTIF(BDD!H38:AR38,8)*'ButsMPG + Var'!$K$20+COUNTIF(BDD!H38:AR38,7)*'ButsMPG + Var'!$K$19+COUNTIF(BDD!H38:AR38,6)*'ButsMPG + Var'!$K$18+COUNTIF(BDD!H38:AR38,5)*'ButsMPG + Var'!$K$17+COUNTIF(BDD!H38:AR38,4)*'ButsMPG + Var'!$K$16+COUNTIF(BDD!H38:AR38,3)*'ButsMPG + Var'!$K$15+COUNTIF(BDD!H38:AR38,2)*'ButsMPG + Var'!$K$14+COUNTIF(BDD!H38:AR38,1)*'ButsMPG + Var'!$K$13,IF(C35="D",COUNTIF(BDD!H38:AR38,10)*'ButsMPG + Var'!$K$32+COUNTIF(BDD!H38:AR38,9)*'ButsMPG + Var'!$K$31+COUNTIF(BDD!H38:AR38,8)*'ButsMPG + Var'!$K$30+COUNTIF(BDD!H38:AR38,7)*'ButsMPG + Var'!$K$29+COUNTIF(BDD!H38:AR38,6)*'ButsMPG + Var'!$K$28+COUNTIF(BDD!H38:AR38,5)*'ButsMPG + Var'!$K$27+COUNTIF(BDD!H38:AR38,4)*'ButsMPG + Var'!$K$26+COUNTIF(BDD!H38:AR38,3)*'ButsMPG + Var'!$K$25+COUNTIF(BDD!H38:AR38,2)*'ButsMPG + Var'!$K$24+COUNTIF(BDD!H38:AR38,1)*'ButsMPG + Var'!$K$23,0)))</f>
        <v>0</v>
      </c>
      <c r="H35" s="25">
        <f t="shared" si="1"/>
        <v>0</v>
      </c>
      <c r="I35" s="25">
        <f>BDD!G38</f>
        <v>0</v>
      </c>
      <c r="J35" s="25">
        <f>SUMPRODUCT(BDD!H38:AS38,'ButsMPG + Var'!$B$46:$AM$46)</f>
        <v>0</v>
      </c>
      <c r="K35" s="25" t="e">
        <f>10*('ButsMPG + Var'!$H$37*J35/MAX(J:J)+'ButsMPG + Var'!$G$37*H35/MAX(H:H))</f>
        <v>#DIV/0!</v>
      </c>
      <c r="L35" s="1">
        <f>IF(ISNA(VLOOKUP(B35,PrixMini!$B$3:$E$573,4,FALSE)),1,VLOOKUP(B35,PrixMini!$B$3:$E$573,4,FALSE))</f>
        <v>1</v>
      </c>
      <c r="M35" s="25" t="e">
        <f>IF(ROUND(CalculCotation!$D$3*EXP(CalculCotation!$C$3*K35)-CalculCotation!$D$3+1,0)&gt;L35,ROUND(CalculCotation!$D$3*EXP(CalculCotation!$C$3*K35)-CalculCotation!$D$3+1,0),L35)</f>
        <v>#DIV/0!</v>
      </c>
    </row>
    <row r="36" spans="2:13" x14ac:dyDescent="0.3">
      <c r="B36" s="1">
        <f>BDD!C39</f>
        <v>0</v>
      </c>
      <c r="C36" s="1">
        <f>BDD!B39</f>
        <v>0</v>
      </c>
      <c r="D36" s="1">
        <f>BDD!A39</f>
        <v>0</v>
      </c>
      <c r="E36" s="1">
        <f>BDD!D39</f>
        <v>0</v>
      </c>
      <c r="F36" s="1">
        <f>BDD!F39</f>
        <v>0</v>
      </c>
      <c r="G36" s="25">
        <f>'ButsMPG + Var'!$I$39*IF(C36="A",COUNTIF(BDD!H39:AR39,10)*'ButsMPG + Var'!$K$12+COUNTIF(BDD!H39:AR39,9)*'ButsMPG + Var'!$K$11+COUNTIF(BDD!H39:AR39,8)*'ButsMPG + Var'!$K$10+COUNTIF(BDD!H39:AR39,7)*'ButsMPG + Var'!$K$9+COUNTIF(BDD!H39:AR39,6)*'ButsMPG + Var'!$K$8+COUNTIF(BDD!H39:AR39,5)*'ButsMPG + Var'!$K$7+COUNTIF(BDD!H39:AR39,4)*'ButsMPG + Var'!$K$6+COUNTIF(BDD!H39:AR39,3)*'ButsMPG + Var'!$K$5+COUNTIF(BDD!H39:AR39,2)*'ButsMPG + Var'!$K$4+COUNTIF(BDD!H39:AR39,1)*'ButsMPG + Var'!$K$3,IF(C36="M",COUNTIF(BDD!H39:AR39,10)*'ButsMPG + Var'!$K$22+COUNTIF(BDD!H39:AR39,9)*'ButsMPG + Var'!$K$21+COUNTIF(BDD!H39:AR39,8)*'ButsMPG + Var'!$K$20+COUNTIF(BDD!H39:AR39,7)*'ButsMPG + Var'!$K$19+COUNTIF(BDD!H39:AR39,6)*'ButsMPG + Var'!$K$18+COUNTIF(BDD!H39:AR39,5)*'ButsMPG + Var'!$K$17+COUNTIF(BDD!H39:AR39,4)*'ButsMPG + Var'!$K$16+COUNTIF(BDD!H39:AR39,3)*'ButsMPG + Var'!$K$15+COUNTIF(BDD!H39:AR39,2)*'ButsMPG + Var'!$K$14+COUNTIF(BDD!H39:AR39,1)*'ButsMPG + Var'!$K$13,IF(C36="D",COUNTIF(BDD!H39:AR39,10)*'ButsMPG + Var'!$K$32+COUNTIF(BDD!H39:AR39,9)*'ButsMPG + Var'!$K$31+COUNTIF(BDD!H39:AR39,8)*'ButsMPG + Var'!$K$30+COUNTIF(BDD!H39:AR39,7)*'ButsMPG + Var'!$K$29+COUNTIF(BDD!H39:AR39,6)*'ButsMPG + Var'!$K$28+COUNTIF(BDD!H39:AR39,5)*'ButsMPG + Var'!$K$27+COUNTIF(BDD!H39:AR39,4)*'ButsMPG + Var'!$K$26+COUNTIF(BDD!H39:AR39,3)*'ButsMPG + Var'!$K$25+COUNTIF(BDD!H39:AR39,2)*'ButsMPG + Var'!$K$24+COUNTIF(BDD!H39:AR39,1)*'ButsMPG + Var'!$K$23,0)))</f>
        <v>0</v>
      </c>
      <c r="H36" s="25">
        <f t="shared" si="1"/>
        <v>0</v>
      </c>
      <c r="I36" s="25">
        <f>BDD!G39</f>
        <v>0</v>
      </c>
      <c r="J36" s="25">
        <f>SUMPRODUCT(BDD!H39:AS39,'ButsMPG + Var'!$B$46:$AM$46)</f>
        <v>0</v>
      </c>
      <c r="K36" s="25" t="e">
        <f>10*('ButsMPG + Var'!$H$37*J36/MAX(J:J)+'ButsMPG + Var'!$G$37*H36/MAX(H:H))</f>
        <v>#DIV/0!</v>
      </c>
      <c r="L36" s="1">
        <f>IF(ISNA(VLOOKUP(B36,PrixMini!$B$3:$E$573,4,FALSE)),1,VLOOKUP(B36,PrixMini!$B$3:$E$573,4,FALSE))</f>
        <v>1</v>
      </c>
      <c r="M36" s="25" t="e">
        <f>IF(ROUND(CalculCotation!$D$3*EXP(CalculCotation!$C$3*K36)-CalculCotation!$D$3+1,0)&gt;L36,ROUND(CalculCotation!$D$3*EXP(CalculCotation!$C$3*K36)-CalculCotation!$D$3+1,0),L36)</f>
        <v>#DIV/0!</v>
      </c>
    </row>
    <row r="37" spans="2:13" x14ac:dyDescent="0.3">
      <c r="B37" s="1">
        <f>BDD!C40</f>
        <v>0</v>
      </c>
      <c r="C37" s="1">
        <f>BDD!B40</f>
        <v>0</v>
      </c>
      <c r="D37" s="1">
        <f>BDD!A40</f>
        <v>0</v>
      </c>
      <c r="E37" s="1">
        <f>BDD!D40</f>
        <v>0</v>
      </c>
      <c r="F37" s="1">
        <f>BDD!F40</f>
        <v>0</v>
      </c>
      <c r="G37" s="25">
        <f>'ButsMPG + Var'!$I$39*IF(C37="A",COUNTIF(BDD!H40:AR40,10)*'ButsMPG + Var'!$K$12+COUNTIF(BDD!H40:AR40,9)*'ButsMPG + Var'!$K$11+COUNTIF(BDD!H40:AR40,8)*'ButsMPG + Var'!$K$10+COUNTIF(BDD!H40:AR40,7)*'ButsMPG + Var'!$K$9+COUNTIF(BDD!H40:AR40,6)*'ButsMPG + Var'!$K$8+COUNTIF(BDD!H40:AR40,5)*'ButsMPG + Var'!$K$7+COUNTIF(BDD!H40:AR40,4)*'ButsMPG + Var'!$K$6+COUNTIF(BDD!H40:AR40,3)*'ButsMPG + Var'!$K$5+COUNTIF(BDD!H40:AR40,2)*'ButsMPG + Var'!$K$4+COUNTIF(BDD!H40:AR40,1)*'ButsMPG + Var'!$K$3,IF(C37="M",COUNTIF(BDD!H40:AR40,10)*'ButsMPG + Var'!$K$22+COUNTIF(BDD!H40:AR40,9)*'ButsMPG + Var'!$K$21+COUNTIF(BDD!H40:AR40,8)*'ButsMPG + Var'!$K$20+COUNTIF(BDD!H40:AR40,7)*'ButsMPG + Var'!$K$19+COUNTIF(BDD!H40:AR40,6)*'ButsMPG + Var'!$K$18+COUNTIF(BDD!H40:AR40,5)*'ButsMPG + Var'!$K$17+COUNTIF(BDD!H40:AR40,4)*'ButsMPG + Var'!$K$16+COUNTIF(BDD!H40:AR40,3)*'ButsMPG + Var'!$K$15+COUNTIF(BDD!H40:AR40,2)*'ButsMPG + Var'!$K$14+COUNTIF(BDD!H40:AR40,1)*'ButsMPG + Var'!$K$13,IF(C37="D",COUNTIF(BDD!H40:AR40,10)*'ButsMPG + Var'!$K$32+COUNTIF(BDD!H40:AR40,9)*'ButsMPG + Var'!$K$31+COUNTIF(BDD!H40:AR40,8)*'ButsMPG + Var'!$K$30+COUNTIF(BDD!H40:AR40,7)*'ButsMPG + Var'!$K$29+COUNTIF(BDD!H40:AR40,6)*'ButsMPG + Var'!$K$28+COUNTIF(BDD!H40:AR40,5)*'ButsMPG + Var'!$K$27+COUNTIF(BDD!H40:AR40,4)*'ButsMPG + Var'!$K$26+COUNTIF(BDD!H40:AR40,3)*'ButsMPG + Var'!$K$25+COUNTIF(BDD!H40:AR40,2)*'ButsMPG + Var'!$K$24+COUNTIF(BDD!H40:AR40,1)*'ButsMPG + Var'!$K$23,0)))</f>
        <v>0</v>
      </c>
      <c r="H37" s="25">
        <f t="shared" si="1"/>
        <v>0</v>
      </c>
      <c r="I37" s="25">
        <f>BDD!G40</f>
        <v>0</v>
      </c>
      <c r="J37" s="25">
        <f>SUMPRODUCT(BDD!H40:AS40,'ButsMPG + Var'!$B$46:$AM$46)</f>
        <v>0</v>
      </c>
      <c r="K37" s="25" t="e">
        <f>10*('ButsMPG + Var'!$H$37*J37/MAX(J:J)+'ButsMPG + Var'!$G$37*H37/MAX(H:H))</f>
        <v>#DIV/0!</v>
      </c>
      <c r="L37" s="1">
        <f>IF(ISNA(VLOOKUP(B37,PrixMini!$B$3:$E$573,4,FALSE)),1,VLOOKUP(B37,PrixMini!$B$3:$E$573,4,FALSE))</f>
        <v>1</v>
      </c>
      <c r="M37" s="25" t="e">
        <f>IF(ROUND(CalculCotation!$D$3*EXP(CalculCotation!$C$3*K37)-CalculCotation!$D$3+1,0)&gt;L37,ROUND(CalculCotation!$D$3*EXP(CalculCotation!$C$3*K37)-CalculCotation!$D$3+1,0),L37)</f>
        <v>#DIV/0!</v>
      </c>
    </row>
    <row r="38" spans="2:13" x14ac:dyDescent="0.3">
      <c r="B38" s="1">
        <f>BDD!C41</f>
        <v>0</v>
      </c>
      <c r="C38" s="1">
        <f>BDD!B41</f>
        <v>0</v>
      </c>
      <c r="D38" s="1">
        <f>BDD!A41</f>
        <v>0</v>
      </c>
      <c r="E38" s="1">
        <f>BDD!D41</f>
        <v>0</v>
      </c>
      <c r="F38" s="1">
        <f>BDD!F41</f>
        <v>0</v>
      </c>
      <c r="G38" s="25">
        <f>'ButsMPG + Var'!$I$39*IF(C38="A",COUNTIF(BDD!H41:AR41,10)*'ButsMPG + Var'!$K$12+COUNTIF(BDD!H41:AR41,9)*'ButsMPG + Var'!$K$11+COUNTIF(BDD!H41:AR41,8)*'ButsMPG + Var'!$K$10+COUNTIF(BDD!H41:AR41,7)*'ButsMPG + Var'!$K$9+COUNTIF(BDD!H41:AR41,6)*'ButsMPG + Var'!$K$8+COUNTIF(BDD!H41:AR41,5)*'ButsMPG + Var'!$K$7+COUNTIF(BDD!H41:AR41,4)*'ButsMPG + Var'!$K$6+COUNTIF(BDD!H41:AR41,3)*'ButsMPG + Var'!$K$5+COUNTIF(BDD!H41:AR41,2)*'ButsMPG + Var'!$K$4+COUNTIF(BDD!H41:AR41,1)*'ButsMPG + Var'!$K$3,IF(C38="M",COUNTIF(BDD!H41:AR41,10)*'ButsMPG + Var'!$K$22+COUNTIF(BDD!H41:AR41,9)*'ButsMPG + Var'!$K$21+COUNTIF(BDD!H41:AR41,8)*'ButsMPG + Var'!$K$20+COUNTIF(BDD!H41:AR41,7)*'ButsMPG + Var'!$K$19+COUNTIF(BDD!H41:AR41,6)*'ButsMPG + Var'!$K$18+COUNTIF(BDD!H41:AR41,5)*'ButsMPG + Var'!$K$17+COUNTIF(BDD!H41:AR41,4)*'ButsMPG + Var'!$K$16+COUNTIF(BDD!H41:AR41,3)*'ButsMPG + Var'!$K$15+COUNTIF(BDD!H41:AR41,2)*'ButsMPG + Var'!$K$14+COUNTIF(BDD!H41:AR41,1)*'ButsMPG + Var'!$K$13,IF(C38="D",COUNTIF(BDD!H41:AR41,10)*'ButsMPG + Var'!$K$32+COUNTIF(BDD!H41:AR41,9)*'ButsMPG + Var'!$K$31+COUNTIF(BDD!H41:AR41,8)*'ButsMPG + Var'!$K$30+COUNTIF(BDD!H41:AR41,7)*'ButsMPG + Var'!$K$29+COUNTIF(BDD!H41:AR41,6)*'ButsMPG + Var'!$K$28+COUNTIF(BDD!H41:AR41,5)*'ButsMPG + Var'!$K$27+COUNTIF(BDD!H41:AR41,4)*'ButsMPG + Var'!$K$26+COUNTIF(BDD!H41:AR41,3)*'ButsMPG + Var'!$K$25+COUNTIF(BDD!H41:AR41,2)*'ButsMPG + Var'!$K$24+COUNTIF(BDD!H41:AR41,1)*'ButsMPG + Var'!$K$23,0)))</f>
        <v>0</v>
      </c>
      <c r="H38" s="25">
        <f t="shared" si="1"/>
        <v>0</v>
      </c>
      <c r="I38" s="25">
        <f>BDD!G41</f>
        <v>0</v>
      </c>
      <c r="J38" s="25">
        <f>SUMPRODUCT(BDD!H41:AS41,'ButsMPG + Var'!$B$46:$AM$46)</f>
        <v>0</v>
      </c>
      <c r="K38" s="25" t="e">
        <f>10*('ButsMPG + Var'!$H$37*J38/MAX(J:J)+'ButsMPG + Var'!$G$37*H38/MAX(H:H))</f>
        <v>#DIV/0!</v>
      </c>
      <c r="L38" s="1">
        <f>IF(ISNA(VLOOKUP(B38,PrixMini!$B$3:$E$573,4,FALSE)),1,VLOOKUP(B38,PrixMini!$B$3:$E$573,4,FALSE))</f>
        <v>1</v>
      </c>
      <c r="M38" s="25" t="e">
        <f>IF(ROUND(CalculCotation!$D$3*EXP(CalculCotation!$C$3*K38)-CalculCotation!$D$3+1,0)&gt;L38,ROUND(CalculCotation!$D$3*EXP(CalculCotation!$C$3*K38)-CalculCotation!$D$3+1,0),L38)</f>
        <v>#DIV/0!</v>
      </c>
    </row>
    <row r="39" spans="2:13" x14ac:dyDescent="0.3">
      <c r="B39" s="1">
        <f>BDD!C42</f>
        <v>0</v>
      </c>
      <c r="C39" s="1">
        <f>BDD!B42</f>
        <v>0</v>
      </c>
      <c r="D39" s="1">
        <f>BDD!A42</f>
        <v>0</v>
      </c>
      <c r="E39" s="1">
        <f>BDD!D42</f>
        <v>0</v>
      </c>
      <c r="F39" s="1">
        <f>BDD!F42</f>
        <v>0</v>
      </c>
      <c r="G39" s="25">
        <f>'ButsMPG + Var'!$I$39*IF(C39="A",COUNTIF(BDD!H42:AR42,10)*'ButsMPG + Var'!$K$12+COUNTIF(BDD!H42:AR42,9)*'ButsMPG + Var'!$K$11+COUNTIF(BDD!H42:AR42,8)*'ButsMPG + Var'!$K$10+COUNTIF(BDD!H42:AR42,7)*'ButsMPG + Var'!$K$9+COUNTIF(BDD!H42:AR42,6)*'ButsMPG + Var'!$K$8+COUNTIF(BDD!H42:AR42,5)*'ButsMPG + Var'!$K$7+COUNTIF(BDD!H42:AR42,4)*'ButsMPG + Var'!$K$6+COUNTIF(BDD!H42:AR42,3)*'ButsMPG + Var'!$K$5+COUNTIF(BDD!H42:AR42,2)*'ButsMPG + Var'!$K$4+COUNTIF(BDD!H42:AR42,1)*'ButsMPG + Var'!$K$3,IF(C39="M",COUNTIF(BDD!H42:AR42,10)*'ButsMPG + Var'!$K$22+COUNTIF(BDD!H42:AR42,9)*'ButsMPG + Var'!$K$21+COUNTIF(BDD!H42:AR42,8)*'ButsMPG + Var'!$K$20+COUNTIF(BDD!H42:AR42,7)*'ButsMPG + Var'!$K$19+COUNTIF(BDD!H42:AR42,6)*'ButsMPG + Var'!$K$18+COUNTIF(BDD!H42:AR42,5)*'ButsMPG + Var'!$K$17+COUNTIF(BDD!H42:AR42,4)*'ButsMPG + Var'!$K$16+COUNTIF(BDD!H42:AR42,3)*'ButsMPG + Var'!$K$15+COUNTIF(BDD!H42:AR42,2)*'ButsMPG + Var'!$K$14+COUNTIF(BDD!H42:AR42,1)*'ButsMPG + Var'!$K$13,IF(C39="D",COUNTIF(BDD!H42:AR42,10)*'ButsMPG + Var'!$K$32+COUNTIF(BDD!H42:AR42,9)*'ButsMPG + Var'!$K$31+COUNTIF(BDD!H42:AR42,8)*'ButsMPG + Var'!$K$30+COUNTIF(BDD!H42:AR42,7)*'ButsMPG + Var'!$K$29+COUNTIF(BDD!H42:AR42,6)*'ButsMPG + Var'!$K$28+COUNTIF(BDD!H42:AR42,5)*'ButsMPG + Var'!$K$27+COUNTIF(BDD!H42:AR42,4)*'ButsMPG + Var'!$K$26+COUNTIF(BDD!H42:AR42,3)*'ButsMPG + Var'!$K$25+COUNTIF(BDD!H42:AR42,2)*'ButsMPG + Var'!$K$24+COUNTIF(BDD!H42:AR42,1)*'ButsMPG + Var'!$K$23,0)))</f>
        <v>0</v>
      </c>
      <c r="H39" s="25">
        <f t="shared" si="1"/>
        <v>0</v>
      </c>
      <c r="I39" s="25">
        <f>BDD!G42</f>
        <v>0</v>
      </c>
      <c r="J39" s="25">
        <f>SUMPRODUCT(BDD!H42:AS42,'ButsMPG + Var'!$B$46:$AM$46)</f>
        <v>0</v>
      </c>
      <c r="K39" s="25" t="e">
        <f>10*('ButsMPG + Var'!$H$37*J39/MAX(J:J)+'ButsMPG + Var'!$G$37*H39/MAX(H:H))</f>
        <v>#DIV/0!</v>
      </c>
      <c r="L39" s="1">
        <f>IF(ISNA(VLOOKUP(B39,PrixMini!$B$3:$E$573,4,FALSE)),1,VLOOKUP(B39,PrixMini!$B$3:$E$573,4,FALSE))</f>
        <v>1</v>
      </c>
      <c r="M39" s="25" t="e">
        <f>IF(ROUND(CalculCotation!$D$3*EXP(CalculCotation!$C$3*K39)-CalculCotation!$D$3+1,0)&gt;L39,ROUND(CalculCotation!$D$3*EXP(CalculCotation!$C$3*K39)-CalculCotation!$D$3+1,0),L39)</f>
        <v>#DIV/0!</v>
      </c>
    </row>
    <row r="40" spans="2:13" x14ac:dyDescent="0.3">
      <c r="B40" s="1">
        <f>BDD!C43</f>
        <v>0</v>
      </c>
      <c r="C40" s="1">
        <f>BDD!B43</f>
        <v>0</v>
      </c>
      <c r="D40" s="1">
        <f>BDD!A43</f>
        <v>0</v>
      </c>
      <c r="E40" s="1">
        <f>BDD!D43</f>
        <v>0</v>
      </c>
      <c r="F40" s="1">
        <f>BDD!F43</f>
        <v>0</v>
      </c>
      <c r="G40" s="25">
        <f>'ButsMPG + Var'!$I$39*IF(C40="A",COUNTIF(BDD!H43:AR43,10)*'ButsMPG + Var'!$K$12+COUNTIF(BDD!H43:AR43,9)*'ButsMPG + Var'!$K$11+COUNTIF(BDD!H43:AR43,8)*'ButsMPG + Var'!$K$10+COUNTIF(BDD!H43:AR43,7)*'ButsMPG + Var'!$K$9+COUNTIF(BDD!H43:AR43,6)*'ButsMPG + Var'!$K$8+COUNTIF(BDD!H43:AR43,5)*'ButsMPG + Var'!$K$7+COUNTIF(BDD!H43:AR43,4)*'ButsMPG + Var'!$K$6+COUNTIF(BDD!H43:AR43,3)*'ButsMPG + Var'!$K$5+COUNTIF(BDD!H43:AR43,2)*'ButsMPG + Var'!$K$4+COUNTIF(BDD!H43:AR43,1)*'ButsMPG + Var'!$K$3,IF(C40="M",COUNTIF(BDD!H43:AR43,10)*'ButsMPG + Var'!$K$22+COUNTIF(BDD!H43:AR43,9)*'ButsMPG + Var'!$K$21+COUNTIF(BDD!H43:AR43,8)*'ButsMPG + Var'!$K$20+COUNTIF(BDD!H43:AR43,7)*'ButsMPG + Var'!$K$19+COUNTIF(BDD!H43:AR43,6)*'ButsMPG + Var'!$K$18+COUNTIF(BDD!H43:AR43,5)*'ButsMPG + Var'!$K$17+COUNTIF(BDD!H43:AR43,4)*'ButsMPG + Var'!$K$16+COUNTIF(BDD!H43:AR43,3)*'ButsMPG + Var'!$K$15+COUNTIF(BDD!H43:AR43,2)*'ButsMPG + Var'!$K$14+COUNTIF(BDD!H43:AR43,1)*'ButsMPG + Var'!$K$13,IF(C40="D",COUNTIF(BDD!H43:AR43,10)*'ButsMPG + Var'!$K$32+COUNTIF(BDD!H43:AR43,9)*'ButsMPG + Var'!$K$31+COUNTIF(BDD!H43:AR43,8)*'ButsMPG + Var'!$K$30+COUNTIF(BDD!H43:AR43,7)*'ButsMPG + Var'!$K$29+COUNTIF(BDD!H43:AR43,6)*'ButsMPG + Var'!$K$28+COUNTIF(BDD!H43:AR43,5)*'ButsMPG + Var'!$K$27+COUNTIF(BDD!H43:AR43,4)*'ButsMPG + Var'!$K$26+COUNTIF(BDD!H43:AR43,3)*'ButsMPG + Var'!$K$25+COUNTIF(BDD!H43:AR43,2)*'ButsMPG + Var'!$K$24+COUNTIF(BDD!H43:AR43,1)*'ButsMPG + Var'!$K$23,0)))</f>
        <v>0</v>
      </c>
      <c r="H40" s="25">
        <f t="shared" si="1"/>
        <v>0</v>
      </c>
      <c r="I40" s="25">
        <f>BDD!G43</f>
        <v>0</v>
      </c>
      <c r="J40" s="25">
        <f>SUMPRODUCT(BDD!H43:AS43,'ButsMPG + Var'!$B$46:$AM$46)</f>
        <v>0</v>
      </c>
      <c r="K40" s="25" t="e">
        <f>10*('ButsMPG + Var'!$H$37*J40/MAX(J:J)+'ButsMPG + Var'!$G$37*H40/MAX(H:H))</f>
        <v>#DIV/0!</v>
      </c>
      <c r="L40" s="1">
        <f>IF(ISNA(VLOOKUP(B40,PrixMini!$B$3:$E$573,4,FALSE)),1,VLOOKUP(B40,PrixMini!$B$3:$E$573,4,FALSE))</f>
        <v>1</v>
      </c>
      <c r="M40" s="25" t="e">
        <f>IF(ROUND(CalculCotation!$D$3*EXP(CalculCotation!$C$3*K40)-CalculCotation!$D$3+1,0)&gt;L40,ROUND(CalculCotation!$D$3*EXP(CalculCotation!$C$3*K40)-CalculCotation!$D$3+1,0),L40)</f>
        <v>#DIV/0!</v>
      </c>
    </row>
    <row r="41" spans="2:13" x14ac:dyDescent="0.3">
      <c r="B41" s="1">
        <f>BDD!C44</f>
        <v>0</v>
      </c>
      <c r="C41" s="1">
        <f>BDD!B44</f>
        <v>0</v>
      </c>
      <c r="D41" s="1">
        <f>BDD!A44</f>
        <v>0</v>
      </c>
      <c r="E41" s="1">
        <f>BDD!D44</f>
        <v>0</v>
      </c>
      <c r="F41" s="1">
        <f>BDD!F44</f>
        <v>0</v>
      </c>
      <c r="G41" s="25">
        <f>'ButsMPG + Var'!$I$39*IF(C41="A",COUNTIF(BDD!H44:AR44,10)*'ButsMPG + Var'!$K$12+COUNTIF(BDD!H44:AR44,9)*'ButsMPG + Var'!$K$11+COUNTIF(BDD!H44:AR44,8)*'ButsMPG + Var'!$K$10+COUNTIF(BDD!H44:AR44,7)*'ButsMPG + Var'!$K$9+COUNTIF(BDD!H44:AR44,6)*'ButsMPG + Var'!$K$8+COUNTIF(BDD!H44:AR44,5)*'ButsMPG + Var'!$K$7+COUNTIF(BDD!H44:AR44,4)*'ButsMPG + Var'!$K$6+COUNTIF(BDD!H44:AR44,3)*'ButsMPG + Var'!$K$5+COUNTIF(BDD!H44:AR44,2)*'ButsMPG + Var'!$K$4+COUNTIF(BDD!H44:AR44,1)*'ButsMPG + Var'!$K$3,IF(C41="M",COUNTIF(BDD!H44:AR44,10)*'ButsMPG + Var'!$K$22+COUNTIF(BDD!H44:AR44,9)*'ButsMPG + Var'!$K$21+COUNTIF(BDD!H44:AR44,8)*'ButsMPG + Var'!$K$20+COUNTIF(BDD!H44:AR44,7)*'ButsMPG + Var'!$K$19+COUNTIF(BDD!H44:AR44,6)*'ButsMPG + Var'!$K$18+COUNTIF(BDD!H44:AR44,5)*'ButsMPG + Var'!$K$17+COUNTIF(BDD!H44:AR44,4)*'ButsMPG + Var'!$K$16+COUNTIF(BDD!H44:AR44,3)*'ButsMPG + Var'!$K$15+COUNTIF(BDD!H44:AR44,2)*'ButsMPG + Var'!$K$14+COUNTIF(BDD!H44:AR44,1)*'ButsMPG + Var'!$K$13,IF(C41="D",COUNTIF(BDD!H44:AR44,10)*'ButsMPG + Var'!$K$32+COUNTIF(BDD!H44:AR44,9)*'ButsMPG + Var'!$K$31+COUNTIF(BDD!H44:AR44,8)*'ButsMPG + Var'!$K$30+COUNTIF(BDD!H44:AR44,7)*'ButsMPG + Var'!$K$29+COUNTIF(BDD!H44:AR44,6)*'ButsMPG + Var'!$K$28+COUNTIF(BDD!H44:AR44,5)*'ButsMPG + Var'!$K$27+COUNTIF(BDD!H44:AR44,4)*'ButsMPG + Var'!$K$26+COUNTIF(BDD!H44:AR44,3)*'ButsMPG + Var'!$K$25+COUNTIF(BDD!H44:AR44,2)*'ButsMPG + Var'!$K$24+COUNTIF(BDD!H44:AR44,1)*'ButsMPG + Var'!$K$23,0)))</f>
        <v>0</v>
      </c>
      <c r="H41" s="25">
        <f t="shared" si="1"/>
        <v>0</v>
      </c>
      <c r="I41" s="25">
        <f>BDD!G44</f>
        <v>0</v>
      </c>
      <c r="J41" s="25">
        <f>SUMPRODUCT(BDD!H44:AS44,'ButsMPG + Var'!$B$46:$AM$46)</f>
        <v>0</v>
      </c>
      <c r="K41" s="25" t="e">
        <f>10*('ButsMPG + Var'!$H$37*J41/MAX(J:J)+'ButsMPG + Var'!$G$37*H41/MAX(H:H))</f>
        <v>#DIV/0!</v>
      </c>
      <c r="L41" s="1">
        <f>IF(ISNA(VLOOKUP(B41,PrixMini!$B$3:$E$573,4,FALSE)),1,VLOOKUP(B41,PrixMini!$B$3:$E$573,4,FALSE))</f>
        <v>1</v>
      </c>
      <c r="M41" s="25" t="e">
        <f>IF(ROUND(CalculCotation!$D$3*EXP(CalculCotation!$C$3*K41)-CalculCotation!$D$3+1,0)&gt;L41,ROUND(CalculCotation!$D$3*EXP(CalculCotation!$C$3*K41)-CalculCotation!$D$3+1,0),L41)</f>
        <v>#DIV/0!</v>
      </c>
    </row>
    <row r="42" spans="2:13" x14ac:dyDescent="0.3">
      <c r="B42" s="1">
        <f>BDD!C45</f>
        <v>0</v>
      </c>
      <c r="C42" s="1">
        <f>BDD!B45</f>
        <v>0</v>
      </c>
      <c r="D42" s="1">
        <f>BDD!A45</f>
        <v>0</v>
      </c>
      <c r="E42" s="1">
        <f>BDD!D45</f>
        <v>0</v>
      </c>
      <c r="F42" s="1">
        <f>BDD!F45</f>
        <v>0</v>
      </c>
      <c r="G42" s="25">
        <f>'ButsMPG + Var'!$I$39*IF(C42="A",COUNTIF(BDD!H45:AR45,10)*'ButsMPG + Var'!$K$12+COUNTIF(BDD!H45:AR45,9)*'ButsMPG + Var'!$K$11+COUNTIF(BDD!H45:AR45,8)*'ButsMPG + Var'!$K$10+COUNTIF(BDD!H45:AR45,7)*'ButsMPG + Var'!$K$9+COUNTIF(BDD!H45:AR45,6)*'ButsMPG + Var'!$K$8+COUNTIF(BDD!H45:AR45,5)*'ButsMPG + Var'!$K$7+COUNTIF(BDD!H45:AR45,4)*'ButsMPG + Var'!$K$6+COUNTIF(BDD!H45:AR45,3)*'ButsMPG + Var'!$K$5+COUNTIF(BDD!H45:AR45,2)*'ButsMPG + Var'!$K$4+COUNTIF(BDD!H45:AR45,1)*'ButsMPG + Var'!$K$3,IF(C42="M",COUNTIF(BDD!H45:AR45,10)*'ButsMPG + Var'!$K$22+COUNTIF(BDD!H45:AR45,9)*'ButsMPG + Var'!$K$21+COUNTIF(BDD!H45:AR45,8)*'ButsMPG + Var'!$K$20+COUNTIF(BDD!H45:AR45,7)*'ButsMPG + Var'!$K$19+COUNTIF(BDD!H45:AR45,6)*'ButsMPG + Var'!$K$18+COUNTIF(BDD!H45:AR45,5)*'ButsMPG + Var'!$K$17+COUNTIF(BDD!H45:AR45,4)*'ButsMPG + Var'!$K$16+COUNTIF(BDD!H45:AR45,3)*'ButsMPG + Var'!$K$15+COUNTIF(BDD!H45:AR45,2)*'ButsMPG + Var'!$K$14+COUNTIF(BDD!H45:AR45,1)*'ButsMPG + Var'!$K$13,IF(C42="D",COUNTIF(BDD!H45:AR45,10)*'ButsMPG + Var'!$K$32+COUNTIF(BDD!H45:AR45,9)*'ButsMPG + Var'!$K$31+COUNTIF(BDD!H45:AR45,8)*'ButsMPG + Var'!$K$30+COUNTIF(BDD!H45:AR45,7)*'ButsMPG + Var'!$K$29+COUNTIF(BDD!H45:AR45,6)*'ButsMPG + Var'!$K$28+COUNTIF(BDD!H45:AR45,5)*'ButsMPG + Var'!$K$27+COUNTIF(BDD!H45:AR45,4)*'ButsMPG + Var'!$K$26+COUNTIF(BDD!H45:AR45,3)*'ButsMPG + Var'!$K$25+COUNTIF(BDD!H45:AR45,2)*'ButsMPG + Var'!$K$24+COUNTIF(BDD!H45:AR45,1)*'ButsMPG + Var'!$K$23,0)))</f>
        <v>0</v>
      </c>
      <c r="H42" s="25">
        <f t="shared" si="1"/>
        <v>0</v>
      </c>
      <c r="I42" s="25">
        <f>BDD!G45</f>
        <v>0</v>
      </c>
      <c r="J42" s="25">
        <f>SUMPRODUCT(BDD!H45:AS45,'ButsMPG + Var'!$B$46:$AM$46)</f>
        <v>0</v>
      </c>
      <c r="K42" s="25" t="e">
        <f>10*('ButsMPG + Var'!$H$37*J42/MAX(J:J)+'ButsMPG + Var'!$G$37*H42/MAX(H:H))</f>
        <v>#DIV/0!</v>
      </c>
      <c r="L42" s="1">
        <f>IF(ISNA(VLOOKUP(B42,PrixMini!$B$3:$E$573,4,FALSE)),1,VLOOKUP(B42,PrixMini!$B$3:$E$573,4,FALSE))</f>
        <v>1</v>
      </c>
      <c r="M42" s="25" t="e">
        <f>IF(ROUND(CalculCotation!$D$3*EXP(CalculCotation!$C$3*K42)-CalculCotation!$D$3+1,0)&gt;L42,ROUND(CalculCotation!$D$3*EXP(CalculCotation!$C$3*K42)-CalculCotation!$D$3+1,0),L42)</f>
        <v>#DIV/0!</v>
      </c>
    </row>
    <row r="43" spans="2:13" x14ac:dyDescent="0.3">
      <c r="B43" s="1">
        <f>BDD!C46</f>
        <v>0</v>
      </c>
      <c r="C43" s="1">
        <f>BDD!B46</f>
        <v>0</v>
      </c>
      <c r="D43" s="1">
        <f>BDD!A46</f>
        <v>0</v>
      </c>
      <c r="E43" s="1">
        <f>BDD!D46</f>
        <v>0</v>
      </c>
      <c r="F43" s="1">
        <f>BDD!F46</f>
        <v>0</v>
      </c>
      <c r="G43" s="25">
        <f>'ButsMPG + Var'!$I$39*IF(C43="A",COUNTIF(BDD!H46:AR46,10)*'ButsMPG + Var'!$K$12+COUNTIF(BDD!H46:AR46,9)*'ButsMPG + Var'!$K$11+COUNTIF(BDD!H46:AR46,8)*'ButsMPG + Var'!$K$10+COUNTIF(BDD!H46:AR46,7)*'ButsMPG + Var'!$K$9+COUNTIF(BDD!H46:AR46,6)*'ButsMPG + Var'!$K$8+COUNTIF(BDD!H46:AR46,5)*'ButsMPG + Var'!$K$7+COUNTIF(BDD!H46:AR46,4)*'ButsMPG + Var'!$K$6+COUNTIF(BDD!H46:AR46,3)*'ButsMPG + Var'!$K$5+COUNTIF(BDD!H46:AR46,2)*'ButsMPG + Var'!$K$4+COUNTIF(BDD!H46:AR46,1)*'ButsMPG + Var'!$K$3,IF(C43="M",COUNTIF(BDD!H46:AR46,10)*'ButsMPG + Var'!$K$22+COUNTIF(BDD!H46:AR46,9)*'ButsMPG + Var'!$K$21+COUNTIF(BDD!H46:AR46,8)*'ButsMPG + Var'!$K$20+COUNTIF(BDD!H46:AR46,7)*'ButsMPG + Var'!$K$19+COUNTIF(BDD!H46:AR46,6)*'ButsMPG + Var'!$K$18+COUNTIF(BDD!H46:AR46,5)*'ButsMPG + Var'!$K$17+COUNTIF(BDD!H46:AR46,4)*'ButsMPG + Var'!$K$16+COUNTIF(BDD!H46:AR46,3)*'ButsMPG + Var'!$K$15+COUNTIF(BDD!H46:AR46,2)*'ButsMPG + Var'!$K$14+COUNTIF(BDD!H46:AR46,1)*'ButsMPG + Var'!$K$13,IF(C43="D",COUNTIF(BDD!H46:AR46,10)*'ButsMPG + Var'!$K$32+COUNTIF(BDD!H46:AR46,9)*'ButsMPG + Var'!$K$31+COUNTIF(BDD!H46:AR46,8)*'ButsMPG + Var'!$K$30+COUNTIF(BDD!H46:AR46,7)*'ButsMPG + Var'!$K$29+COUNTIF(BDD!H46:AR46,6)*'ButsMPG + Var'!$K$28+COUNTIF(BDD!H46:AR46,5)*'ButsMPG + Var'!$K$27+COUNTIF(BDD!H46:AR46,4)*'ButsMPG + Var'!$K$26+COUNTIF(BDD!H46:AR46,3)*'ButsMPG + Var'!$K$25+COUNTIF(BDD!H46:AR46,2)*'ButsMPG + Var'!$K$24+COUNTIF(BDD!H46:AR46,1)*'ButsMPG + Var'!$K$23,0)))</f>
        <v>0</v>
      </c>
      <c r="H43" s="25">
        <f t="shared" si="1"/>
        <v>0</v>
      </c>
      <c r="I43" s="25">
        <f>BDD!G46</f>
        <v>0</v>
      </c>
      <c r="J43" s="25">
        <f>SUMPRODUCT(BDD!H46:AS46,'ButsMPG + Var'!$B$46:$AM$46)</f>
        <v>0</v>
      </c>
      <c r="K43" s="25" t="e">
        <f>10*('ButsMPG + Var'!$H$37*J43/MAX(J:J)+'ButsMPG + Var'!$G$37*H43/MAX(H:H))</f>
        <v>#DIV/0!</v>
      </c>
      <c r="L43" s="1">
        <f>IF(ISNA(VLOOKUP(B43,PrixMini!$B$3:$E$573,4,FALSE)),1,VLOOKUP(B43,PrixMini!$B$3:$E$573,4,FALSE))</f>
        <v>1</v>
      </c>
      <c r="M43" s="25" t="e">
        <f>IF(ROUND(CalculCotation!$D$3*EXP(CalculCotation!$C$3*K43)-CalculCotation!$D$3+1,0)&gt;L43,ROUND(CalculCotation!$D$3*EXP(CalculCotation!$C$3*K43)-CalculCotation!$D$3+1,0),L43)</f>
        <v>#DIV/0!</v>
      </c>
    </row>
    <row r="44" spans="2:13" x14ac:dyDescent="0.3">
      <c r="B44" s="1">
        <f>BDD!C47</f>
        <v>0</v>
      </c>
      <c r="C44" s="1">
        <f>BDD!B47</f>
        <v>0</v>
      </c>
      <c r="D44" s="1">
        <f>BDD!A47</f>
        <v>0</v>
      </c>
      <c r="E44" s="1">
        <f>BDD!D47</f>
        <v>0</v>
      </c>
      <c r="F44" s="1">
        <f>BDD!F47</f>
        <v>0</v>
      </c>
      <c r="G44" s="25">
        <f>'ButsMPG + Var'!$I$39*IF(C44="A",COUNTIF(BDD!H47:AR47,10)*'ButsMPG + Var'!$K$12+COUNTIF(BDD!H47:AR47,9)*'ButsMPG + Var'!$K$11+COUNTIF(BDD!H47:AR47,8)*'ButsMPG + Var'!$K$10+COUNTIF(BDD!H47:AR47,7)*'ButsMPG + Var'!$K$9+COUNTIF(BDD!H47:AR47,6)*'ButsMPG + Var'!$K$8+COUNTIF(BDD!H47:AR47,5)*'ButsMPG + Var'!$K$7+COUNTIF(BDD!H47:AR47,4)*'ButsMPG + Var'!$K$6+COUNTIF(BDD!H47:AR47,3)*'ButsMPG + Var'!$K$5+COUNTIF(BDD!H47:AR47,2)*'ButsMPG + Var'!$K$4+COUNTIF(BDD!H47:AR47,1)*'ButsMPG + Var'!$K$3,IF(C44="M",COUNTIF(BDD!H47:AR47,10)*'ButsMPG + Var'!$K$22+COUNTIF(BDD!H47:AR47,9)*'ButsMPG + Var'!$K$21+COUNTIF(BDD!H47:AR47,8)*'ButsMPG + Var'!$K$20+COUNTIF(BDD!H47:AR47,7)*'ButsMPG + Var'!$K$19+COUNTIF(BDD!H47:AR47,6)*'ButsMPG + Var'!$K$18+COUNTIF(BDD!H47:AR47,5)*'ButsMPG + Var'!$K$17+COUNTIF(BDD!H47:AR47,4)*'ButsMPG + Var'!$K$16+COUNTIF(BDD!H47:AR47,3)*'ButsMPG + Var'!$K$15+COUNTIF(BDD!H47:AR47,2)*'ButsMPG + Var'!$K$14+COUNTIF(BDD!H47:AR47,1)*'ButsMPG + Var'!$K$13,IF(C44="D",COUNTIF(BDD!H47:AR47,10)*'ButsMPG + Var'!$K$32+COUNTIF(BDD!H47:AR47,9)*'ButsMPG + Var'!$K$31+COUNTIF(BDD!H47:AR47,8)*'ButsMPG + Var'!$K$30+COUNTIF(BDD!H47:AR47,7)*'ButsMPG + Var'!$K$29+COUNTIF(BDD!H47:AR47,6)*'ButsMPG + Var'!$K$28+COUNTIF(BDD!H47:AR47,5)*'ButsMPG + Var'!$K$27+COUNTIF(BDD!H47:AR47,4)*'ButsMPG + Var'!$K$26+COUNTIF(BDD!H47:AR47,3)*'ButsMPG + Var'!$K$25+COUNTIF(BDD!H47:AR47,2)*'ButsMPG + Var'!$K$24+COUNTIF(BDD!H47:AR47,1)*'ButsMPG + Var'!$K$23,0)))</f>
        <v>0</v>
      </c>
      <c r="H44" s="25">
        <f t="shared" si="1"/>
        <v>0</v>
      </c>
      <c r="I44" s="25">
        <f>BDD!G47</f>
        <v>0</v>
      </c>
      <c r="J44" s="25">
        <f>SUMPRODUCT(BDD!H47:AS47,'ButsMPG + Var'!$B$46:$AM$46)</f>
        <v>0</v>
      </c>
      <c r="K44" s="25" t="e">
        <f>10*('ButsMPG + Var'!$H$37*J44/MAX(J:J)+'ButsMPG + Var'!$G$37*H44/MAX(H:H))</f>
        <v>#DIV/0!</v>
      </c>
      <c r="L44" s="1">
        <f>IF(ISNA(VLOOKUP(B44,PrixMini!$B$3:$E$573,4,FALSE)),1,VLOOKUP(B44,PrixMini!$B$3:$E$573,4,FALSE))</f>
        <v>1</v>
      </c>
      <c r="M44" s="25" t="e">
        <f>IF(ROUND(CalculCotation!$D$3*EXP(CalculCotation!$C$3*K44)-CalculCotation!$D$3+1,0)&gt;L44,ROUND(CalculCotation!$D$3*EXP(CalculCotation!$C$3*K44)-CalculCotation!$D$3+1,0),L44)</f>
        <v>#DIV/0!</v>
      </c>
    </row>
    <row r="45" spans="2:13" x14ac:dyDescent="0.3">
      <c r="B45" s="1">
        <f>BDD!C48</f>
        <v>0</v>
      </c>
      <c r="C45" s="1">
        <f>BDD!B48</f>
        <v>0</v>
      </c>
      <c r="D45" s="1">
        <f>BDD!A48</f>
        <v>0</v>
      </c>
      <c r="E45" s="1">
        <f>BDD!D48</f>
        <v>0</v>
      </c>
      <c r="F45" s="1">
        <f>BDD!F48</f>
        <v>0</v>
      </c>
      <c r="G45" s="25">
        <f>'ButsMPG + Var'!$I$39*IF(C45="A",COUNTIF(BDD!H48:AR48,10)*'ButsMPG + Var'!$K$12+COUNTIF(BDD!H48:AR48,9)*'ButsMPG + Var'!$K$11+COUNTIF(BDD!H48:AR48,8)*'ButsMPG + Var'!$K$10+COUNTIF(BDD!H48:AR48,7)*'ButsMPG + Var'!$K$9+COUNTIF(BDD!H48:AR48,6)*'ButsMPG + Var'!$K$8+COUNTIF(BDD!H48:AR48,5)*'ButsMPG + Var'!$K$7+COUNTIF(BDD!H48:AR48,4)*'ButsMPG + Var'!$K$6+COUNTIF(BDD!H48:AR48,3)*'ButsMPG + Var'!$K$5+COUNTIF(BDD!H48:AR48,2)*'ButsMPG + Var'!$K$4+COUNTIF(BDD!H48:AR48,1)*'ButsMPG + Var'!$K$3,IF(C45="M",COUNTIF(BDD!H48:AR48,10)*'ButsMPG + Var'!$K$22+COUNTIF(BDD!H48:AR48,9)*'ButsMPG + Var'!$K$21+COUNTIF(BDD!H48:AR48,8)*'ButsMPG + Var'!$K$20+COUNTIF(BDD!H48:AR48,7)*'ButsMPG + Var'!$K$19+COUNTIF(BDD!H48:AR48,6)*'ButsMPG + Var'!$K$18+COUNTIF(BDD!H48:AR48,5)*'ButsMPG + Var'!$K$17+COUNTIF(BDD!H48:AR48,4)*'ButsMPG + Var'!$K$16+COUNTIF(BDD!H48:AR48,3)*'ButsMPG + Var'!$K$15+COUNTIF(BDD!H48:AR48,2)*'ButsMPG + Var'!$K$14+COUNTIF(BDD!H48:AR48,1)*'ButsMPG + Var'!$K$13,IF(C45="D",COUNTIF(BDD!H48:AR48,10)*'ButsMPG + Var'!$K$32+COUNTIF(BDD!H48:AR48,9)*'ButsMPG + Var'!$K$31+COUNTIF(BDD!H48:AR48,8)*'ButsMPG + Var'!$K$30+COUNTIF(BDD!H48:AR48,7)*'ButsMPG + Var'!$K$29+COUNTIF(BDD!H48:AR48,6)*'ButsMPG + Var'!$K$28+COUNTIF(BDD!H48:AR48,5)*'ButsMPG + Var'!$K$27+COUNTIF(BDD!H48:AR48,4)*'ButsMPG + Var'!$K$26+COUNTIF(BDD!H48:AR48,3)*'ButsMPG + Var'!$K$25+COUNTIF(BDD!H48:AR48,2)*'ButsMPG + Var'!$K$24+COUNTIF(BDD!H48:AR48,1)*'ButsMPG + Var'!$K$23,0)))</f>
        <v>0</v>
      </c>
      <c r="H45" s="25">
        <f t="shared" si="1"/>
        <v>0</v>
      </c>
      <c r="I45" s="25">
        <f>BDD!G48</f>
        <v>0</v>
      </c>
      <c r="J45" s="25">
        <f>SUMPRODUCT(BDD!H48:AS48,'ButsMPG + Var'!$B$46:$AM$46)</f>
        <v>0</v>
      </c>
      <c r="K45" s="25" t="e">
        <f>10*('ButsMPG + Var'!$H$37*J45/MAX(J:J)+'ButsMPG + Var'!$G$37*H45/MAX(H:H))</f>
        <v>#DIV/0!</v>
      </c>
      <c r="L45" s="1">
        <f>IF(ISNA(VLOOKUP(B45,PrixMini!$B$3:$E$573,4,FALSE)),1,VLOOKUP(B45,PrixMini!$B$3:$E$573,4,FALSE))</f>
        <v>1</v>
      </c>
      <c r="M45" s="25" t="e">
        <f>IF(ROUND(CalculCotation!$D$3*EXP(CalculCotation!$C$3*K45)-CalculCotation!$D$3+1,0)&gt;L45,ROUND(CalculCotation!$D$3*EXP(CalculCotation!$C$3*K45)-CalculCotation!$D$3+1,0),L45)</f>
        <v>#DIV/0!</v>
      </c>
    </row>
    <row r="46" spans="2:13" x14ac:dyDescent="0.3">
      <c r="B46" s="1">
        <f>BDD!C49</f>
        <v>0</v>
      </c>
      <c r="C46" s="1">
        <f>BDD!B49</f>
        <v>0</v>
      </c>
      <c r="D46" s="1">
        <f>BDD!A49</f>
        <v>0</v>
      </c>
      <c r="E46" s="1">
        <f>BDD!D49</f>
        <v>0</v>
      </c>
      <c r="F46" s="1">
        <f>BDD!F49</f>
        <v>0</v>
      </c>
      <c r="G46" s="25">
        <f>'ButsMPG + Var'!$I$39*IF(C46="A",COUNTIF(BDD!H49:AR49,10)*'ButsMPG + Var'!$K$12+COUNTIF(BDD!H49:AR49,9)*'ButsMPG + Var'!$K$11+COUNTIF(BDD!H49:AR49,8)*'ButsMPG + Var'!$K$10+COUNTIF(BDD!H49:AR49,7)*'ButsMPG + Var'!$K$9+COUNTIF(BDD!H49:AR49,6)*'ButsMPG + Var'!$K$8+COUNTIF(BDD!H49:AR49,5)*'ButsMPG + Var'!$K$7+COUNTIF(BDD!H49:AR49,4)*'ButsMPG + Var'!$K$6+COUNTIF(BDD!H49:AR49,3)*'ButsMPG + Var'!$K$5+COUNTIF(BDD!H49:AR49,2)*'ButsMPG + Var'!$K$4+COUNTIF(BDD!H49:AR49,1)*'ButsMPG + Var'!$K$3,IF(C46="M",COUNTIF(BDD!H49:AR49,10)*'ButsMPG + Var'!$K$22+COUNTIF(BDD!H49:AR49,9)*'ButsMPG + Var'!$K$21+COUNTIF(BDD!H49:AR49,8)*'ButsMPG + Var'!$K$20+COUNTIF(BDD!H49:AR49,7)*'ButsMPG + Var'!$K$19+COUNTIF(BDD!H49:AR49,6)*'ButsMPG + Var'!$K$18+COUNTIF(BDD!H49:AR49,5)*'ButsMPG + Var'!$K$17+COUNTIF(BDD!H49:AR49,4)*'ButsMPG + Var'!$K$16+COUNTIF(BDD!H49:AR49,3)*'ButsMPG + Var'!$K$15+COUNTIF(BDD!H49:AR49,2)*'ButsMPG + Var'!$K$14+COUNTIF(BDD!H49:AR49,1)*'ButsMPG + Var'!$K$13,IF(C46="D",COUNTIF(BDD!H49:AR49,10)*'ButsMPG + Var'!$K$32+COUNTIF(BDD!H49:AR49,9)*'ButsMPG + Var'!$K$31+COUNTIF(BDD!H49:AR49,8)*'ButsMPG + Var'!$K$30+COUNTIF(BDD!H49:AR49,7)*'ButsMPG + Var'!$K$29+COUNTIF(BDD!H49:AR49,6)*'ButsMPG + Var'!$K$28+COUNTIF(BDD!H49:AR49,5)*'ButsMPG + Var'!$K$27+COUNTIF(BDD!H49:AR49,4)*'ButsMPG + Var'!$K$26+COUNTIF(BDD!H49:AR49,3)*'ButsMPG + Var'!$K$25+COUNTIF(BDD!H49:AR49,2)*'ButsMPG + Var'!$K$24+COUNTIF(BDD!H49:AR49,1)*'ButsMPG + Var'!$K$23,0)))</f>
        <v>0</v>
      </c>
      <c r="H46" s="25">
        <f t="shared" si="1"/>
        <v>0</v>
      </c>
      <c r="I46" s="25">
        <f>BDD!G49</f>
        <v>0</v>
      </c>
      <c r="J46" s="25">
        <f>SUMPRODUCT(BDD!H49:AS49,'ButsMPG + Var'!$B$46:$AM$46)</f>
        <v>0</v>
      </c>
      <c r="K46" s="25" t="e">
        <f>10*('ButsMPG + Var'!$H$37*J46/MAX(J:J)+'ButsMPG + Var'!$G$37*H46/MAX(H:H))</f>
        <v>#DIV/0!</v>
      </c>
      <c r="L46" s="1">
        <f>IF(ISNA(VLOOKUP(B46,PrixMini!$B$3:$E$573,4,FALSE)),1,VLOOKUP(B46,PrixMini!$B$3:$E$573,4,FALSE))</f>
        <v>1</v>
      </c>
      <c r="M46" s="25" t="e">
        <f>IF(ROUND(CalculCotation!$D$3*EXP(CalculCotation!$C$3*K46)-CalculCotation!$D$3+1,0)&gt;L46,ROUND(CalculCotation!$D$3*EXP(CalculCotation!$C$3*K46)-CalculCotation!$D$3+1,0),L46)</f>
        <v>#DIV/0!</v>
      </c>
    </row>
    <row r="47" spans="2:13" x14ac:dyDescent="0.3">
      <c r="B47" s="1">
        <f>BDD!C50</f>
        <v>0</v>
      </c>
      <c r="C47" s="1">
        <f>BDD!B50</f>
        <v>0</v>
      </c>
      <c r="D47" s="1">
        <f>BDD!A50</f>
        <v>0</v>
      </c>
      <c r="E47" s="1">
        <f>BDD!D50</f>
        <v>0</v>
      </c>
      <c r="F47" s="1">
        <f>BDD!F50</f>
        <v>0</v>
      </c>
      <c r="G47" s="25">
        <f>'ButsMPG + Var'!$I$39*IF(C47="A",COUNTIF(BDD!H50:AR50,10)*'ButsMPG + Var'!$K$12+COUNTIF(BDD!H50:AR50,9)*'ButsMPG + Var'!$K$11+COUNTIF(BDD!H50:AR50,8)*'ButsMPG + Var'!$K$10+COUNTIF(BDD!H50:AR50,7)*'ButsMPG + Var'!$K$9+COUNTIF(BDD!H50:AR50,6)*'ButsMPG + Var'!$K$8+COUNTIF(BDD!H50:AR50,5)*'ButsMPG + Var'!$K$7+COUNTIF(BDD!H50:AR50,4)*'ButsMPG + Var'!$K$6+COUNTIF(BDD!H50:AR50,3)*'ButsMPG + Var'!$K$5+COUNTIF(BDD!H50:AR50,2)*'ButsMPG + Var'!$K$4+COUNTIF(BDD!H50:AR50,1)*'ButsMPG + Var'!$K$3,IF(C47="M",COUNTIF(BDD!H50:AR50,10)*'ButsMPG + Var'!$K$22+COUNTIF(BDD!H50:AR50,9)*'ButsMPG + Var'!$K$21+COUNTIF(BDD!H50:AR50,8)*'ButsMPG + Var'!$K$20+COUNTIF(BDD!H50:AR50,7)*'ButsMPG + Var'!$K$19+COUNTIF(BDD!H50:AR50,6)*'ButsMPG + Var'!$K$18+COUNTIF(BDD!H50:AR50,5)*'ButsMPG + Var'!$K$17+COUNTIF(BDD!H50:AR50,4)*'ButsMPG + Var'!$K$16+COUNTIF(BDD!H50:AR50,3)*'ButsMPG + Var'!$K$15+COUNTIF(BDD!H50:AR50,2)*'ButsMPG + Var'!$K$14+COUNTIF(BDD!H50:AR50,1)*'ButsMPG + Var'!$K$13,IF(C47="D",COUNTIF(BDD!H50:AR50,10)*'ButsMPG + Var'!$K$32+COUNTIF(BDD!H50:AR50,9)*'ButsMPG + Var'!$K$31+COUNTIF(BDD!H50:AR50,8)*'ButsMPG + Var'!$K$30+COUNTIF(BDD!H50:AR50,7)*'ButsMPG + Var'!$K$29+COUNTIF(BDD!H50:AR50,6)*'ButsMPG + Var'!$K$28+COUNTIF(BDD!H50:AR50,5)*'ButsMPG + Var'!$K$27+COUNTIF(BDD!H50:AR50,4)*'ButsMPG + Var'!$K$26+COUNTIF(BDD!H50:AR50,3)*'ButsMPG + Var'!$K$25+COUNTIF(BDD!H50:AR50,2)*'ButsMPG + Var'!$K$24+COUNTIF(BDD!H50:AR50,1)*'ButsMPG + Var'!$K$23,0)))</f>
        <v>0</v>
      </c>
      <c r="H47" s="25">
        <f t="shared" si="1"/>
        <v>0</v>
      </c>
      <c r="I47" s="25">
        <f>BDD!G50</f>
        <v>0</v>
      </c>
      <c r="J47" s="25">
        <f>SUMPRODUCT(BDD!H50:AS50,'ButsMPG + Var'!$B$46:$AM$46)</f>
        <v>0</v>
      </c>
      <c r="K47" s="25" t="e">
        <f>10*('ButsMPG + Var'!$H$37*J47/MAX(J:J)+'ButsMPG + Var'!$G$37*H47/MAX(H:H))</f>
        <v>#DIV/0!</v>
      </c>
      <c r="L47" s="1">
        <f>IF(ISNA(VLOOKUP(B47,PrixMini!$B$3:$E$573,4,FALSE)),1,VLOOKUP(B47,PrixMini!$B$3:$E$573,4,FALSE))</f>
        <v>1</v>
      </c>
      <c r="M47" s="25" t="e">
        <f>IF(ROUND(CalculCotation!$D$3*EXP(CalculCotation!$C$3*K47)-CalculCotation!$D$3+1,0)&gt;L47,ROUND(CalculCotation!$D$3*EXP(CalculCotation!$C$3*K47)-CalculCotation!$D$3+1,0),L47)</f>
        <v>#DIV/0!</v>
      </c>
    </row>
    <row r="48" spans="2:13" x14ac:dyDescent="0.3">
      <c r="B48" s="1">
        <f>BDD!C51</f>
        <v>0</v>
      </c>
      <c r="C48" s="1">
        <f>BDD!B51</f>
        <v>0</v>
      </c>
      <c r="D48" s="1">
        <f>BDD!A51</f>
        <v>0</v>
      </c>
      <c r="E48" s="1">
        <f>BDD!D51</f>
        <v>0</v>
      </c>
      <c r="F48" s="1">
        <f>BDD!F51</f>
        <v>0</v>
      </c>
      <c r="G48" s="25">
        <f>'ButsMPG + Var'!$I$39*IF(C48="A",COUNTIF(BDD!H51:AR51,10)*'ButsMPG + Var'!$K$12+COUNTIF(BDD!H51:AR51,9)*'ButsMPG + Var'!$K$11+COUNTIF(BDD!H51:AR51,8)*'ButsMPG + Var'!$K$10+COUNTIF(BDD!H51:AR51,7)*'ButsMPG + Var'!$K$9+COUNTIF(BDD!H51:AR51,6)*'ButsMPG + Var'!$K$8+COUNTIF(BDD!H51:AR51,5)*'ButsMPG + Var'!$K$7+COUNTIF(BDD!H51:AR51,4)*'ButsMPG + Var'!$K$6+COUNTIF(BDD!H51:AR51,3)*'ButsMPG + Var'!$K$5+COUNTIF(BDD!H51:AR51,2)*'ButsMPG + Var'!$K$4+COUNTIF(BDD!H51:AR51,1)*'ButsMPG + Var'!$K$3,IF(C48="M",COUNTIF(BDD!H51:AR51,10)*'ButsMPG + Var'!$K$22+COUNTIF(BDD!H51:AR51,9)*'ButsMPG + Var'!$K$21+COUNTIF(BDD!H51:AR51,8)*'ButsMPG + Var'!$K$20+COUNTIF(BDD!H51:AR51,7)*'ButsMPG + Var'!$K$19+COUNTIF(BDD!H51:AR51,6)*'ButsMPG + Var'!$K$18+COUNTIF(BDD!H51:AR51,5)*'ButsMPG + Var'!$K$17+COUNTIF(BDD!H51:AR51,4)*'ButsMPG + Var'!$K$16+COUNTIF(BDD!H51:AR51,3)*'ButsMPG + Var'!$K$15+COUNTIF(BDD!H51:AR51,2)*'ButsMPG + Var'!$K$14+COUNTIF(BDD!H51:AR51,1)*'ButsMPG + Var'!$K$13,IF(C48="D",COUNTIF(BDD!H51:AR51,10)*'ButsMPG + Var'!$K$32+COUNTIF(BDD!H51:AR51,9)*'ButsMPG + Var'!$K$31+COUNTIF(BDD!H51:AR51,8)*'ButsMPG + Var'!$K$30+COUNTIF(BDD!H51:AR51,7)*'ButsMPG + Var'!$K$29+COUNTIF(BDD!H51:AR51,6)*'ButsMPG + Var'!$K$28+COUNTIF(BDD!H51:AR51,5)*'ButsMPG + Var'!$K$27+COUNTIF(BDD!H51:AR51,4)*'ButsMPG + Var'!$K$26+COUNTIF(BDD!H51:AR51,3)*'ButsMPG + Var'!$K$25+COUNTIF(BDD!H51:AR51,2)*'ButsMPG + Var'!$K$24+COUNTIF(BDD!H51:AR51,1)*'ButsMPG + Var'!$K$23,0)))</f>
        <v>0</v>
      </c>
      <c r="H48" s="25">
        <f t="shared" si="1"/>
        <v>0</v>
      </c>
      <c r="I48" s="25">
        <f>BDD!G51</f>
        <v>0</v>
      </c>
      <c r="J48" s="25">
        <f>SUMPRODUCT(BDD!H51:AS51,'ButsMPG + Var'!$B$46:$AM$46)</f>
        <v>0</v>
      </c>
      <c r="K48" s="25" t="e">
        <f>10*('ButsMPG + Var'!$H$37*J48/MAX(J:J)+'ButsMPG + Var'!$G$37*H48/MAX(H:H))</f>
        <v>#DIV/0!</v>
      </c>
      <c r="L48" s="1">
        <f>IF(ISNA(VLOOKUP(B48,PrixMini!$B$3:$E$573,4,FALSE)),1,VLOOKUP(B48,PrixMini!$B$3:$E$573,4,FALSE))</f>
        <v>1</v>
      </c>
      <c r="M48" s="25" t="e">
        <f>IF(ROUND(CalculCotation!$D$3*EXP(CalculCotation!$C$3*K48)-CalculCotation!$D$3+1,0)&gt;L48,ROUND(CalculCotation!$D$3*EXP(CalculCotation!$C$3*K48)-CalculCotation!$D$3+1,0),L48)</f>
        <v>#DIV/0!</v>
      </c>
    </row>
    <row r="49" spans="2:13" x14ac:dyDescent="0.3">
      <c r="B49" s="1">
        <f>BDD!C52</f>
        <v>0</v>
      </c>
      <c r="C49" s="1">
        <f>BDD!B52</f>
        <v>0</v>
      </c>
      <c r="D49" s="1">
        <f>BDD!A52</f>
        <v>0</v>
      </c>
      <c r="E49" s="1">
        <f>BDD!D52</f>
        <v>0</v>
      </c>
      <c r="F49" s="1">
        <f>BDD!F52</f>
        <v>0</v>
      </c>
      <c r="G49" s="25">
        <f>'ButsMPG + Var'!$I$39*IF(C49="A",COUNTIF(BDD!H52:AR52,10)*'ButsMPG + Var'!$K$12+COUNTIF(BDD!H52:AR52,9)*'ButsMPG + Var'!$K$11+COUNTIF(BDD!H52:AR52,8)*'ButsMPG + Var'!$K$10+COUNTIF(BDD!H52:AR52,7)*'ButsMPG + Var'!$K$9+COUNTIF(BDD!H52:AR52,6)*'ButsMPG + Var'!$K$8+COUNTIF(BDD!H52:AR52,5)*'ButsMPG + Var'!$K$7+COUNTIF(BDD!H52:AR52,4)*'ButsMPG + Var'!$K$6+COUNTIF(BDD!H52:AR52,3)*'ButsMPG + Var'!$K$5+COUNTIF(BDD!H52:AR52,2)*'ButsMPG + Var'!$K$4+COUNTIF(BDD!H52:AR52,1)*'ButsMPG + Var'!$K$3,IF(C49="M",COUNTIF(BDD!H52:AR52,10)*'ButsMPG + Var'!$K$22+COUNTIF(BDD!H52:AR52,9)*'ButsMPG + Var'!$K$21+COUNTIF(BDD!H52:AR52,8)*'ButsMPG + Var'!$K$20+COUNTIF(BDD!H52:AR52,7)*'ButsMPG + Var'!$K$19+COUNTIF(BDD!H52:AR52,6)*'ButsMPG + Var'!$K$18+COUNTIF(BDD!H52:AR52,5)*'ButsMPG + Var'!$K$17+COUNTIF(BDD!H52:AR52,4)*'ButsMPG + Var'!$K$16+COUNTIF(BDD!H52:AR52,3)*'ButsMPG + Var'!$K$15+COUNTIF(BDD!H52:AR52,2)*'ButsMPG + Var'!$K$14+COUNTIF(BDD!H52:AR52,1)*'ButsMPG + Var'!$K$13,IF(C49="D",COUNTIF(BDD!H52:AR52,10)*'ButsMPG + Var'!$K$32+COUNTIF(BDD!H52:AR52,9)*'ButsMPG + Var'!$K$31+COUNTIF(BDD!H52:AR52,8)*'ButsMPG + Var'!$K$30+COUNTIF(BDD!H52:AR52,7)*'ButsMPG + Var'!$K$29+COUNTIF(BDD!H52:AR52,6)*'ButsMPG + Var'!$K$28+COUNTIF(BDD!H52:AR52,5)*'ButsMPG + Var'!$K$27+COUNTIF(BDD!H52:AR52,4)*'ButsMPG + Var'!$K$26+COUNTIF(BDD!H52:AR52,3)*'ButsMPG + Var'!$K$25+COUNTIF(BDD!H52:AR52,2)*'ButsMPG + Var'!$K$24+COUNTIF(BDD!H52:AR52,1)*'ButsMPG + Var'!$K$23,0)))</f>
        <v>0</v>
      </c>
      <c r="H49" s="25">
        <f t="shared" si="1"/>
        <v>0</v>
      </c>
      <c r="I49" s="25">
        <f>BDD!G52</f>
        <v>0</v>
      </c>
      <c r="J49" s="25">
        <f>SUMPRODUCT(BDD!H52:AS52,'ButsMPG + Var'!$B$46:$AM$46)</f>
        <v>0</v>
      </c>
      <c r="K49" s="25" t="e">
        <f>10*('ButsMPG + Var'!$H$37*J49/MAX(J:J)+'ButsMPG + Var'!$G$37*H49/MAX(H:H))</f>
        <v>#DIV/0!</v>
      </c>
      <c r="L49" s="1">
        <f>IF(ISNA(VLOOKUP(B49,PrixMini!$B$3:$E$573,4,FALSE)),1,VLOOKUP(B49,PrixMini!$B$3:$E$573,4,FALSE))</f>
        <v>1</v>
      </c>
      <c r="M49" s="25" t="e">
        <f>IF(ROUND(CalculCotation!$D$3*EXP(CalculCotation!$C$3*K49)-CalculCotation!$D$3+1,0)&gt;L49,ROUND(CalculCotation!$D$3*EXP(CalculCotation!$C$3*K49)-CalculCotation!$D$3+1,0),L49)</f>
        <v>#DIV/0!</v>
      </c>
    </row>
    <row r="50" spans="2:13" x14ac:dyDescent="0.3">
      <c r="B50" s="1">
        <f>BDD!C53</f>
        <v>0</v>
      </c>
      <c r="C50" s="1">
        <f>BDD!B53</f>
        <v>0</v>
      </c>
      <c r="D50" s="1">
        <f>BDD!A53</f>
        <v>0</v>
      </c>
      <c r="E50" s="1">
        <f>BDD!D53</f>
        <v>0</v>
      </c>
      <c r="F50" s="1">
        <f>BDD!F53</f>
        <v>0</v>
      </c>
      <c r="G50" s="25">
        <f>'ButsMPG + Var'!$I$39*IF(C50="A",COUNTIF(BDD!H53:AR53,10)*'ButsMPG + Var'!$K$12+COUNTIF(BDD!H53:AR53,9)*'ButsMPG + Var'!$K$11+COUNTIF(BDD!H53:AR53,8)*'ButsMPG + Var'!$K$10+COUNTIF(BDD!H53:AR53,7)*'ButsMPG + Var'!$K$9+COUNTIF(BDD!H53:AR53,6)*'ButsMPG + Var'!$K$8+COUNTIF(BDD!H53:AR53,5)*'ButsMPG + Var'!$K$7+COUNTIF(BDD!H53:AR53,4)*'ButsMPG + Var'!$K$6+COUNTIF(BDD!H53:AR53,3)*'ButsMPG + Var'!$K$5+COUNTIF(BDD!H53:AR53,2)*'ButsMPG + Var'!$K$4+COUNTIF(BDD!H53:AR53,1)*'ButsMPG + Var'!$K$3,IF(C50="M",COUNTIF(BDD!H53:AR53,10)*'ButsMPG + Var'!$K$22+COUNTIF(BDD!H53:AR53,9)*'ButsMPG + Var'!$K$21+COUNTIF(BDD!H53:AR53,8)*'ButsMPG + Var'!$K$20+COUNTIF(BDD!H53:AR53,7)*'ButsMPG + Var'!$K$19+COUNTIF(BDD!H53:AR53,6)*'ButsMPG + Var'!$K$18+COUNTIF(BDD!H53:AR53,5)*'ButsMPG + Var'!$K$17+COUNTIF(BDD!H53:AR53,4)*'ButsMPG + Var'!$K$16+COUNTIF(BDD!H53:AR53,3)*'ButsMPG + Var'!$K$15+COUNTIF(BDD!H53:AR53,2)*'ButsMPG + Var'!$K$14+COUNTIF(BDD!H53:AR53,1)*'ButsMPG + Var'!$K$13,IF(C50="D",COUNTIF(BDD!H53:AR53,10)*'ButsMPG + Var'!$K$32+COUNTIF(BDD!H53:AR53,9)*'ButsMPG + Var'!$K$31+COUNTIF(BDD!H53:AR53,8)*'ButsMPG + Var'!$K$30+COUNTIF(BDD!H53:AR53,7)*'ButsMPG + Var'!$K$29+COUNTIF(BDD!H53:AR53,6)*'ButsMPG + Var'!$K$28+COUNTIF(BDD!H53:AR53,5)*'ButsMPG + Var'!$K$27+COUNTIF(BDD!H53:AR53,4)*'ButsMPG + Var'!$K$26+COUNTIF(BDD!H53:AR53,3)*'ButsMPG + Var'!$K$25+COUNTIF(BDD!H53:AR53,2)*'ButsMPG + Var'!$K$24+COUNTIF(BDD!H53:AR53,1)*'ButsMPG + Var'!$K$23,0)))</f>
        <v>0</v>
      </c>
      <c r="H50" s="25">
        <f t="shared" si="1"/>
        <v>0</v>
      </c>
      <c r="I50" s="25">
        <f>BDD!G53</f>
        <v>0</v>
      </c>
      <c r="J50" s="25">
        <f>SUMPRODUCT(BDD!H53:AS53,'ButsMPG + Var'!$B$46:$AM$46)</f>
        <v>0</v>
      </c>
      <c r="K50" s="25" t="e">
        <f>10*('ButsMPG + Var'!$H$37*J50/MAX(J:J)+'ButsMPG + Var'!$G$37*H50/MAX(H:H))</f>
        <v>#DIV/0!</v>
      </c>
      <c r="L50" s="1">
        <f>IF(ISNA(VLOOKUP(B50,PrixMini!$B$3:$E$573,4,FALSE)),1,VLOOKUP(B50,PrixMini!$B$3:$E$573,4,FALSE))</f>
        <v>1</v>
      </c>
      <c r="M50" s="25" t="e">
        <f>IF(ROUND(CalculCotation!$D$3*EXP(CalculCotation!$C$3*K50)-CalculCotation!$D$3+1,0)&gt;L50,ROUND(CalculCotation!$D$3*EXP(CalculCotation!$C$3*K50)-CalculCotation!$D$3+1,0),L50)</f>
        <v>#DIV/0!</v>
      </c>
    </row>
    <row r="51" spans="2:13" x14ac:dyDescent="0.3">
      <c r="B51" s="1">
        <f>BDD!C54</f>
        <v>0</v>
      </c>
      <c r="C51" s="1">
        <f>BDD!B54</f>
        <v>0</v>
      </c>
      <c r="D51" s="1">
        <f>BDD!A54</f>
        <v>0</v>
      </c>
      <c r="E51" s="1">
        <f>BDD!D54</f>
        <v>0</v>
      </c>
      <c r="F51" s="1">
        <f>BDD!F54</f>
        <v>0</v>
      </c>
      <c r="G51" s="25">
        <f>'ButsMPG + Var'!$I$39*IF(C51="A",COUNTIF(BDD!H54:AR54,10)*'ButsMPG + Var'!$K$12+COUNTIF(BDD!H54:AR54,9)*'ButsMPG + Var'!$K$11+COUNTIF(BDD!H54:AR54,8)*'ButsMPG + Var'!$K$10+COUNTIF(BDD!H54:AR54,7)*'ButsMPG + Var'!$K$9+COUNTIF(BDD!H54:AR54,6)*'ButsMPG + Var'!$K$8+COUNTIF(BDD!H54:AR54,5)*'ButsMPG + Var'!$K$7+COUNTIF(BDD!H54:AR54,4)*'ButsMPG + Var'!$K$6+COUNTIF(BDD!H54:AR54,3)*'ButsMPG + Var'!$K$5+COUNTIF(BDD!H54:AR54,2)*'ButsMPG + Var'!$K$4+COUNTIF(BDD!H54:AR54,1)*'ButsMPG + Var'!$K$3,IF(C51="M",COUNTIF(BDD!H54:AR54,10)*'ButsMPG + Var'!$K$22+COUNTIF(BDD!H54:AR54,9)*'ButsMPG + Var'!$K$21+COUNTIF(BDD!H54:AR54,8)*'ButsMPG + Var'!$K$20+COUNTIF(BDD!H54:AR54,7)*'ButsMPG + Var'!$K$19+COUNTIF(BDD!H54:AR54,6)*'ButsMPG + Var'!$K$18+COUNTIF(BDD!H54:AR54,5)*'ButsMPG + Var'!$K$17+COUNTIF(BDD!H54:AR54,4)*'ButsMPG + Var'!$K$16+COUNTIF(BDD!H54:AR54,3)*'ButsMPG + Var'!$K$15+COUNTIF(BDD!H54:AR54,2)*'ButsMPG + Var'!$K$14+COUNTIF(BDD!H54:AR54,1)*'ButsMPG + Var'!$K$13,IF(C51="D",COUNTIF(BDD!H54:AR54,10)*'ButsMPG + Var'!$K$32+COUNTIF(BDD!H54:AR54,9)*'ButsMPG + Var'!$K$31+COUNTIF(BDD!H54:AR54,8)*'ButsMPG + Var'!$K$30+COUNTIF(BDD!H54:AR54,7)*'ButsMPG + Var'!$K$29+COUNTIF(BDD!H54:AR54,6)*'ButsMPG + Var'!$K$28+COUNTIF(BDD!H54:AR54,5)*'ButsMPG + Var'!$K$27+COUNTIF(BDD!H54:AR54,4)*'ButsMPG + Var'!$K$26+COUNTIF(BDD!H54:AR54,3)*'ButsMPG + Var'!$K$25+COUNTIF(BDD!H54:AR54,2)*'ButsMPG + Var'!$K$24+COUNTIF(BDD!H54:AR54,1)*'ButsMPG + Var'!$K$23,0)))</f>
        <v>0</v>
      </c>
      <c r="H51" s="25">
        <f t="shared" si="1"/>
        <v>0</v>
      </c>
      <c r="I51" s="25">
        <f>BDD!G54</f>
        <v>0</v>
      </c>
      <c r="J51" s="25">
        <f>SUMPRODUCT(BDD!H54:AS54,'ButsMPG + Var'!$B$46:$AM$46)</f>
        <v>0</v>
      </c>
      <c r="K51" s="25" t="e">
        <f>10*('ButsMPG + Var'!$H$37*J51/MAX(J:J)+'ButsMPG + Var'!$G$37*H51/MAX(H:H))</f>
        <v>#DIV/0!</v>
      </c>
      <c r="L51" s="1">
        <f>IF(ISNA(VLOOKUP(B51,PrixMini!$B$3:$E$573,4,FALSE)),1,VLOOKUP(B51,PrixMini!$B$3:$E$573,4,FALSE))</f>
        <v>1</v>
      </c>
      <c r="M51" s="25" t="e">
        <f>IF(ROUND(CalculCotation!$D$3*EXP(CalculCotation!$C$3*K51)-CalculCotation!$D$3+1,0)&gt;L51,ROUND(CalculCotation!$D$3*EXP(CalculCotation!$C$3*K51)-CalculCotation!$D$3+1,0),L51)</f>
        <v>#DIV/0!</v>
      </c>
    </row>
    <row r="52" spans="2:13" x14ac:dyDescent="0.3">
      <c r="B52" s="1">
        <f>BDD!C55</f>
        <v>0</v>
      </c>
      <c r="C52" s="1">
        <f>BDD!B55</f>
        <v>0</v>
      </c>
      <c r="D52" s="1">
        <f>BDD!A55</f>
        <v>0</v>
      </c>
      <c r="E52" s="1">
        <f>BDD!D55</f>
        <v>0</v>
      </c>
      <c r="F52" s="1">
        <f>BDD!F55</f>
        <v>0</v>
      </c>
      <c r="G52" s="25">
        <f>'ButsMPG + Var'!$I$39*IF(C52="A",COUNTIF(BDD!H55:AR55,10)*'ButsMPG + Var'!$K$12+COUNTIF(BDD!H55:AR55,9)*'ButsMPG + Var'!$K$11+COUNTIF(BDD!H55:AR55,8)*'ButsMPG + Var'!$K$10+COUNTIF(BDD!H55:AR55,7)*'ButsMPG + Var'!$K$9+COUNTIF(BDD!H55:AR55,6)*'ButsMPG + Var'!$K$8+COUNTIF(BDD!H55:AR55,5)*'ButsMPG + Var'!$K$7+COUNTIF(BDD!H55:AR55,4)*'ButsMPG + Var'!$K$6+COUNTIF(BDD!H55:AR55,3)*'ButsMPG + Var'!$K$5+COUNTIF(BDD!H55:AR55,2)*'ButsMPG + Var'!$K$4+COUNTIF(BDD!H55:AR55,1)*'ButsMPG + Var'!$K$3,IF(C52="M",COUNTIF(BDD!H55:AR55,10)*'ButsMPG + Var'!$K$22+COUNTIF(BDD!H55:AR55,9)*'ButsMPG + Var'!$K$21+COUNTIF(BDD!H55:AR55,8)*'ButsMPG + Var'!$K$20+COUNTIF(BDD!H55:AR55,7)*'ButsMPG + Var'!$K$19+COUNTIF(BDD!H55:AR55,6)*'ButsMPG + Var'!$K$18+COUNTIF(BDD!H55:AR55,5)*'ButsMPG + Var'!$K$17+COUNTIF(BDD!H55:AR55,4)*'ButsMPG + Var'!$K$16+COUNTIF(BDD!H55:AR55,3)*'ButsMPG + Var'!$K$15+COUNTIF(BDD!H55:AR55,2)*'ButsMPG + Var'!$K$14+COUNTIF(BDD!H55:AR55,1)*'ButsMPG + Var'!$K$13,IF(C52="D",COUNTIF(BDD!H55:AR55,10)*'ButsMPG + Var'!$K$32+COUNTIF(BDD!H55:AR55,9)*'ButsMPG + Var'!$K$31+COUNTIF(BDD!H55:AR55,8)*'ButsMPG + Var'!$K$30+COUNTIF(BDD!H55:AR55,7)*'ButsMPG + Var'!$K$29+COUNTIF(BDD!H55:AR55,6)*'ButsMPG + Var'!$K$28+COUNTIF(BDD!H55:AR55,5)*'ButsMPG + Var'!$K$27+COUNTIF(BDD!H55:AR55,4)*'ButsMPG + Var'!$K$26+COUNTIF(BDD!H55:AR55,3)*'ButsMPG + Var'!$K$25+COUNTIF(BDD!H55:AR55,2)*'ButsMPG + Var'!$K$24+COUNTIF(BDD!H55:AR55,1)*'ButsMPG + Var'!$K$23,0)))</f>
        <v>0</v>
      </c>
      <c r="H52" s="25">
        <f t="shared" si="1"/>
        <v>0</v>
      </c>
      <c r="I52" s="25">
        <f>BDD!G55</f>
        <v>0</v>
      </c>
      <c r="J52" s="25">
        <f>SUMPRODUCT(BDD!H55:AS55,'ButsMPG + Var'!$B$46:$AM$46)</f>
        <v>0</v>
      </c>
      <c r="K52" s="25" t="e">
        <f>10*('ButsMPG + Var'!$H$37*J52/MAX(J:J)+'ButsMPG + Var'!$G$37*H52/MAX(H:H))</f>
        <v>#DIV/0!</v>
      </c>
      <c r="L52" s="1">
        <f>IF(ISNA(VLOOKUP(B52,PrixMini!$B$3:$E$573,4,FALSE)),1,VLOOKUP(B52,PrixMini!$B$3:$E$573,4,FALSE))</f>
        <v>1</v>
      </c>
      <c r="M52" s="25" t="e">
        <f>IF(ROUND(CalculCotation!$D$3*EXP(CalculCotation!$C$3*K52)-CalculCotation!$D$3+1,0)&gt;L52,ROUND(CalculCotation!$D$3*EXP(CalculCotation!$C$3*K52)-CalculCotation!$D$3+1,0),L52)</f>
        <v>#DIV/0!</v>
      </c>
    </row>
    <row r="53" spans="2:13" x14ac:dyDescent="0.3">
      <c r="B53" s="1">
        <f>BDD!C56</f>
        <v>0</v>
      </c>
      <c r="C53" s="1">
        <f>BDD!B56</f>
        <v>0</v>
      </c>
      <c r="D53" s="1">
        <f>BDD!A56</f>
        <v>0</v>
      </c>
      <c r="E53" s="1">
        <f>BDD!D56</f>
        <v>0</v>
      </c>
      <c r="F53" s="1">
        <f>BDD!F56</f>
        <v>0</v>
      </c>
      <c r="G53" s="25">
        <f>'ButsMPG + Var'!$I$39*IF(C53="A",COUNTIF(BDD!H56:AR56,10)*'ButsMPG + Var'!$K$12+COUNTIF(BDD!H56:AR56,9)*'ButsMPG + Var'!$K$11+COUNTIF(BDD!H56:AR56,8)*'ButsMPG + Var'!$K$10+COUNTIF(BDD!H56:AR56,7)*'ButsMPG + Var'!$K$9+COUNTIF(BDD!H56:AR56,6)*'ButsMPG + Var'!$K$8+COUNTIF(BDD!H56:AR56,5)*'ButsMPG + Var'!$K$7+COUNTIF(BDD!H56:AR56,4)*'ButsMPG + Var'!$K$6+COUNTIF(BDD!H56:AR56,3)*'ButsMPG + Var'!$K$5+COUNTIF(BDD!H56:AR56,2)*'ButsMPG + Var'!$K$4+COUNTIF(BDD!H56:AR56,1)*'ButsMPG + Var'!$K$3,IF(C53="M",COUNTIF(BDD!H56:AR56,10)*'ButsMPG + Var'!$K$22+COUNTIF(BDD!H56:AR56,9)*'ButsMPG + Var'!$K$21+COUNTIF(BDD!H56:AR56,8)*'ButsMPG + Var'!$K$20+COUNTIF(BDD!H56:AR56,7)*'ButsMPG + Var'!$K$19+COUNTIF(BDD!H56:AR56,6)*'ButsMPG + Var'!$K$18+COUNTIF(BDD!H56:AR56,5)*'ButsMPG + Var'!$K$17+COUNTIF(BDD!H56:AR56,4)*'ButsMPG + Var'!$K$16+COUNTIF(BDD!H56:AR56,3)*'ButsMPG + Var'!$K$15+COUNTIF(BDD!H56:AR56,2)*'ButsMPG + Var'!$K$14+COUNTIF(BDD!H56:AR56,1)*'ButsMPG + Var'!$K$13,IF(C53="D",COUNTIF(BDD!H56:AR56,10)*'ButsMPG + Var'!$K$32+COUNTIF(BDD!H56:AR56,9)*'ButsMPG + Var'!$K$31+COUNTIF(BDD!H56:AR56,8)*'ButsMPG + Var'!$K$30+COUNTIF(BDD!H56:AR56,7)*'ButsMPG + Var'!$K$29+COUNTIF(BDD!H56:AR56,6)*'ButsMPG + Var'!$K$28+COUNTIF(BDD!H56:AR56,5)*'ButsMPG + Var'!$K$27+COUNTIF(BDD!H56:AR56,4)*'ButsMPG + Var'!$K$26+COUNTIF(BDD!H56:AR56,3)*'ButsMPG + Var'!$K$25+COUNTIF(BDD!H56:AR56,2)*'ButsMPG + Var'!$K$24+COUNTIF(BDD!H56:AR56,1)*'ButsMPG + Var'!$K$23,0)))</f>
        <v>0</v>
      </c>
      <c r="H53" s="25">
        <f t="shared" si="1"/>
        <v>0</v>
      </c>
      <c r="I53" s="25">
        <f>BDD!G56</f>
        <v>0</v>
      </c>
      <c r="J53" s="25">
        <f>SUMPRODUCT(BDD!H56:AS56,'ButsMPG + Var'!$B$46:$AM$46)</f>
        <v>0</v>
      </c>
      <c r="K53" s="25" t="e">
        <f>10*('ButsMPG + Var'!$H$37*J53/MAX(J:J)+'ButsMPG + Var'!$G$37*H53/MAX(H:H))</f>
        <v>#DIV/0!</v>
      </c>
      <c r="L53" s="1">
        <f>IF(ISNA(VLOOKUP(B53,PrixMini!$B$3:$E$573,4,FALSE)),1,VLOOKUP(B53,PrixMini!$B$3:$E$573,4,FALSE))</f>
        <v>1</v>
      </c>
      <c r="M53" s="25" t="e">
        <f>IF(ROUND(CalculCotation!$D$3*EXP(CalculCotation!$C$3*K53)-CalculCotation!$D$3+1,0)&gt;L53,ROUND(CalculCotation!$D$3*EXP(CalculCotation!$C$3*K53)-CalculCotation!$D$3+1,0),L53)</f>
        <v>#DIV/0!</v>
      </c>
    </row>
    <row r="54" spans="2:13" x14ac:dyDescent="0.3">
      <c r="B54" s="1">
        <f>BDD!C57</f>
        <v>0</v>
      </c>
      <c r="C54" s="1">
        <f>BDD!B57</f>
        <v>0</v>
      </c>
      <c r="D54" s="1">
        <f>BDD!A57</f>
        <v>0</v>
      </c>
      <c r="E54" s="1">
        <f>BDD!D57</f>
        <v>0</v>
      </c>
      <c r="F54" s="1">
        <f>BDD!F57</f>
        <v>0</v>
      </c>
      <c r="G54" s="25">
        <f>'ButsMPG + Var'!$I$39*IF(C54="A",COUNTIF(BDD!H57:AR57,10)*'ButsMPG + Var'!$K$12+COUNTIF(BDD!H57:AR57,9)*'ButsMPG + Var'!$K$11+COUNTIF(BDD!H57:AR57,8)*'ButsMPG + Var'!$K$10+COUNTIF(BDD!H57:AR57,7)*'ButsMPG + Var'!$K$9+COUNTIF(BDD!H57:AR57,6)*'ButsMPG + Var'!$K$8+COUNTIF(BDD!H57:AR57,5)*'ButsMPG + Var'!$K$7+COUNTIF(BDD!H57:AR57,4)*'ButsMPG + Var'!$K$6+COUNTIF(BDD!H57:AR57,3)*'ButsMPG + Var'!$K$5+COUNTIF(BDD!H57:AR57,2)*'ButsMPG + Var'!$K$4+COUNTIF(BDD!H57:AR57,1)*'ButsMPG + Var'!$K$3,IF(C54="M",COUNTIF(BDD!H57:AR57,10)*'ButsMPG + Var'!$K$22+COUNTIF(BDD!H57:AR57,9)*'ButsMPG + Var'!$K$21+COUNTIF(BDD!H57:AR57,8)*'ButsMPG + Var'!$K$20+COUNTIF(BDD!H57:AR57,7)*'ButsMPG + Var'!$K$19+COUNTIF(BDD!H57:AR57,6)*'ButsMPG + Var'!$K$18+COUNTIF(BDD!H57:AR57,5)*'ButsMPG + Var'!$K$17+COUNTIF(BDD!H57:AR57,4)*'ButsMPG + Var'!$K$16+COUNTIF(BDD!H57:AR57,3)*'ButsMPG + Var'!$K$15+COUNTIF(BDD!H57:AR57,2)*'ButsMPG + Var'!$K$14+COUNTIF(BDD!H57:AR57,1)*'ButsMPG + Var'!$K$13,IF(C54="D",COUNTIF(BDD!H57:AR57,10)*'ButsMPG + Var'!$K$32+COUNTIF(BDD!H57:AR57,9)*'ButsMPG + Var'!$K$31+COUNTIF(BDD!H57:AR57,8)*'ButsMPG + Var'!$K$30+COUNTIF(BDD!H57:AR57,7)*'ButsMPG + Var'!$K$29+COUNTIF(BDD!H57:AR57,6)*'ButsMPG + Var'!$K$28+COUNTIF(BDD!H57:AR57,5)*'ButsMPG + Var'!$K$27+COUNTIF(BDD!H57:AR57,4)*'ButsMPG + Var'!$K$26+COUNTIF(BDD!H57:AR57,3)*'ButsMPG + Var'!$K$25+COUNTIF(BDD!H57:AR57,2)*'ButsMPG + Var'!$K$24+COUNTIF(BDD!H57:AR57,1)*'ButsMPG + Var'!$K$23,0)))</f>
        <v>0</v>
      </c>
      <c r="H54" s="25">
        <f t="shared" si="1"/>
        <v>0</v>
      </c>
      <c r="I54" s="25">
        <f>BDD!G57</f>
        <v>0</v>
      </c>
      <c r="J54" s="25">
        <f>SUMPRODUCT(BDD!H57:AS57,'ButsMPG + Var'!$B$46:$AM$46)</f>
        <v>0</v>
      </c>
      <c r="K54" s="25" t="e">
        <f>10*('ButsMPG + Var'!$H$37*J54/MAX(J:J)+'ButsMPG + Var'!$G$37*H54/MAX(H:H))</f>
        <v>#DIV/0!</v>
      </c>
      <c r="L54" s="1">
        <f>IF(ISNA(VLOOKUP(B54,PrixMini!$B$3:$E$573,4,FALSE)),1,VLOOKUP(B54,PrixMini!$B$3:$E$573,4,FALSE))</f>
        <v>1</v>
      </c>
      <c r="M54" s="25" t="e">
        <f>IF(ROUND(CalculCotation!$D$3*EXP(CalculCotation!$C$3*K54)-CalculCotation!$D$3+1,0)&gt;L54,ROUND(CalculCotation!$D$3*EXP(CalculCotation!$C$3*K54)-CalculCotation!$D$3+1,0),L54)</f>
        <v>#DIV/0!</v>
      </c>
    </row>
    <row r="55" spans="2:13" x14ac:dyDescent="0.3">
      <c r="B55" s="1">
        <f>BDD!C58</f>
        <v>0</v>
      </c>
      <c r="C55" s="1">
        <f>BDD!B58</f>
        <v>0</v>
      </c>
      <c r="D55" s="1">
        <f>BDD!A58</f>
        <v>0</v>
      </c>
      <c r="E55" s="1">
        <f>BDD!D58</f>
        <v>0</v>
      </c>
      <c r="F55" s="1">
        <f>BDD!F58</f>
        <v>0</v>
      </c>
      <c r="G55" s="25">
        <f>'ButsMPG + Var'!$I$39*IF(C55="A",COUNTIF(BDD!H58:AR58,10)*'ButsMPG + Var'!$K$12+COUNTIF(BDD!H58:AR58,9)*'ButsMPG + Var'!$K$11+COUNTIF(BDD!H58:AR58,8)*'ButsMPG + Var'!$K$10+COUNTIF(BDD!H58:AR58,7)*'ButsMPG + Var'!$K$9+COUNTIF(BDD!H58:AR58,6)*'ButsMPG + Var'!$K$8+COUNTIF(BDD!H58:AR58,5)*'ButsMPG + Var'!$K$7+COUNTIF(BDD!H58:AR58,4)*'ButsMPG + Var'!$K$6+COUNTIF(BDD!H58:AR58,3)*'ButsMPG + Var'!$K$5+COUNTIF(BDD!H58:AR58,2)*'ButsMPG + Var'!$K$4+COUNTIF(BDD!H58:AR58,1)*'ButsMPG + Var'!$K$3,IF(C55="M",COUNTIF(BDD!H58:AR58,10)*'ButsMPG + Var'!$K$22+COUNTIF(BDD!H58:AR58,9)*'ButsMPG + Var'!$K$21+COUNTIF(BDD!H58:AR58,8)*'ButsMPG + Var'!$K$20+COUNTIF(BDD!H58:AR58,7)*'ButsMPG + Var'!$K$19+COUNTIF(BDD!H58:AR58,6)*'ButsMPG + Var'!$K$18+COUNTIF(BDD!H58:AR58,5)*'ButsMPG + Var'!$K$17+COUNTIF(BDD!H58:AR58,4)*'ButsMPG + Var'!$K$16+COUNTIF(BDD!H58:AR58,3)*'ButsMPG + Var'!$K$15+COUNTIF(BDD!H58:AR58,2)*'ButsMPG + Var'!$K$14+COUNTIF(BDD!H58:AR58,1)*'ButsMPG + Var'!$K$13,IF(C55="D",COUNTIF(BDD!H58:AR58,10)*'ButsMPG + Var'!$K$32+COUNTIF(BDD!H58:AR58,9)*'ButsMPG + Var'!$K$31+COUNTIF(BDD!H58:AR58,8)*'ButsMPG + Var'!$K$30+COUNTIF(BDD!H58:AR58,7)*'ButsMPG + Var'!$K$29+COUNTIF(BDD!H58:AR58,6)*'ButsMPG + Var'!$K$28+COUNTIF(BDD!H58:AR58,5)*'ButsMPG + Var'!$K$27+COUNTIF(BDD!H58:AR58,4)*'ButsMPG + Var'!$K$26+COUNTIF(BDD!H58:AR58,3)*'ButsMPG + Var'!$K$25+COUNTIF(BDD!H58:AR58,2)*'ButsMPG + Var'!$K$24+COUNTIF(BDD!H58:AR58,1)*'ButsMPG + Var'!$K$23,0)))</f>
        <v>0</v>
      </c>
      <c r="H55" s="25">
        <f t="shared" si="1"/>
        <v>0</v>
      </c>
      <c r="I55" s="25">
        <f>BDD!G58</f>
        <v>0</v>
      </c>
      <c r="J55" s="25">
        <f>SUMPRODUCT(BDD!H58:AS58,'ButsMPG + Var'!$B$46:$AM$46)</f>
        <v>0</v>
      </c>
      <c r="K55" s="25" t="e">
        <f>10*('ButsMPG + Var'!$H$37*J55/MAX(J:J)+'ButsMPG + Var'!$G$37*H55/MAX(H:H))</f>
        <v>#DIV/0!</v>
      </c>
      <c r="L55" s="1">
        <f>IF(ISNA(VLOOKUP(B55,PrixMini!$B$3:$E$573,4,FALSE)),1,VLOOKUP(B55,PrixMini!$B$3:$E$573,4,FALSE))</f>
        <v>1</v>
      </c>
      <c r="M55" s="25" t="e">
        <f>IF(ROUND(CalculCotation!$D$3*EXP(CalculCotation!$C$3*K55)-CalculCotation!$D$3+1,0)&gt;L55,ROUND(CalculCotation!$D$3*EXP(CalculCotation!$C$3*K55)-CalculCotation!$D$3+1,0),L55)</f>
        <v>#DIV/0!</v>
      </c>
    </row>
    <row r="56" spans="2:13" x14ac:dyDescent="0.3">
      <c r="B56" s="1">
        <f>BDD!C59</f>
        <v>0</v>
      </c>
      <c r="C56" s="1">
        <f>BDD!B59</f>
        <v>0</v>
      </c>
      <c r="D56" s="1">
        <f>BDD!A59</f>
        <v>0</v>
      </c>
      <c r="E56" s="1">
        <f>BDD!D59</f>
        <v>0</v>
      </c>
      <c r="F56" s="1">
        <f>BDD!F59</f>
        <v>0</v>
      </c>
      <c r="G56" s="25">
        <f>'ButsMPG + Var'!$I$39*IF(C56="A",COUNTIF(BDD!H59:AR59,10)*'ButsMPG + Var'!$K$12+COUNTIF(BDD!H59:AR59,9)*'ButsMPG + Var'!$K$11+COUNTIF(BDD!H59:AR59,8)*'ButsMPG + Var'!$K$10+COUNTIF(BDD!H59:AR59,7)*'ButsMPG + Var'!$K$9+COUNTIF(BDD!H59:AR59,6)*'ButsMPG + Var'!$K$8+COUNTIF(BDD!H59:AR59,5)*'ButsMPG + Var'!$K$7+COUNTIF(BDD!H59:AR59,4)*'ButsMPG + Var'!$K$6+COUNTIF(BDD!H59:AR59,3)*'ButsMPG + Var'!$K$5+COUNTIF(BDD!H59:AR59,2)*'ButsMPG + Var'!$K$4+COUNTIF(BDD!H59:AR59,1)*'ButsMPG + Var'!$K$3,IF(C56="M",COUNTIF(BDD!H59:AR59,10)*'ButsMPG + Var'!$K$22+COUNTIF(BDD!H59:AR59,9)*'ButsMPG + Var'!$K$21+COUNTIF(BDD!H59:AR59,8)*'ButsMPG + Var'!$K$20+COUNTIF(BDD!H59:AR59,7)*'ButsMPG + Var'!$K$19+COUNTIF(BDD!H59:AR59,6)*'ButsMPG + Var'!$K$18+COUNTIF(BDD!H59:AR59,5)*'ButsMPG + Var'!$K$17+COUNTIF(BDD!H59:AR59,4)*'ButsMPG + Var'!$K$16+COUNTIF(BDD!H59:AR59,3)*'ButsMPG + Var'!$K$15+COUNTIF(BDD!H59:AR59,2)*'ButsMPG + Var'!$K$14+COUNTIF(BDD!H59:AR59,1)*'ButsMPG + Var'!$K$13,IF(C56="D",COUNTIF(BDD!H59:AR59,10)*'ButsMPG + Var'!$K$32+COUNTIF(BDD!H59:AR59,9)*'ButsMPG + Var'!$K$31+COUNTIF(BDD!H59:AR59,8)*'ButsMPG + Var'!$K$30+COUNTIF(BDD!H59:AR59,7)*'ButsMPG + Var'!$K$29+COUNTIF(BDD!H59:AR59,6)*'ButsMPG + Var'!$K$28+COUNTIF(BDD!H59:AR59,5)*'ButsMPG + Var'!$K$27+COUNTIF(BDD!H59:AR59,4)*'ButsMPG + Var'!$K$26+COUNTIF(BDD!H59:AR59,3)*'ButsMPG + Var'!$K$25+COUNTIF(BDD!H59:AR59,2)*'ButsMPG + Var'!$K$24+COUNTIF(BDD!H59:AR59,1)*'ButsMPG + Var'!$K$23,0)))</f>
        <v>0</v>
      </c>
      <c r="H56" s="25">
        <f t="shared" si="1"/>
        <v>0</v>
      </c>
      <c r="I56" s="25">
        <f>BDD!G59</f>
        <v>0</v>
      </c>
      <c r="J56" s="25">
        <f>SUMPRODUCT(BDD!H59:AS59,'ButsMPG + Var'!$B$46:$AM$46)</f>
        <v>0</v>
      </c>
      <c r="K56" s="25" t="e">
        <f>10*('ButsMPG + Var'!$H$37*J56/MAX(J:J)+'ButsMPG + Var'!$G$37*H56/MAX(H:H))</f>
        <v>#DIV/0!</v>
      </c>
      <c r="L56" s="1">
        <f>IF(ISNA(VLOOKUP(B56,PrixMini!$B$3:$E$573,4,FALSE)),1,VLOOKUP(B56,PrixMini!$B$3:$E$573,4,FALSE))</f>
        <v>1</v>
      </c>
      <c r="M56" s="25" t="e">
        <f>IF(ROUND(CalculCotation!$D$3*EXP(CalculCotation!$C$3*K56)-CalculCotation!$D$3+1,0)&gt;L56,ROUND(CalculCotation!$D$3*EXP(CalculCotation!$C$3*K56)-CalculCotation!$D$3+1,0),L56)</f>
        <v>#DIV/0!</v>
      </c>
    </row>
    <row r="57" spans="2:13" x14ac:dyDescent="0.3">
      <c r="B57" s="1">
        <f>BDD!C60</f>
        <v>0</v>
      </c>
      <c r="C57" s="1">
        <f>BDD!B60</f>
        <v>0</v>
      </c>
      <c r="D57" s="1">
        <f>BDD!A60</f>
        <v>0</v>
      </c>
      <c r="E57" s="1">
        <f>BDD!D60</f>
        <v>0</v>
      </c>
      <c r="F57" s="1">
        <f>BDD!F60</f>
        <v>0</v>
      </c>
      <c r="G57" s="25">
        <f>'ButsMPG + Var'!$I$39*IF(C57="A",COUNTIF(BDD!H60:AR60,10)*'ButsMPG + Var'!$K$12+COUNTIF(BDD!H60:AR60,9)*'ButsMPG + Var'!$K$11+COUNTIF(BDD!H60:AR60,8)*'ButsMPG + Var'!$K$10+COUNTIF(BDD!H60:AR60,7)*'ButsMPG + Var'!$K$9+COUNTIF(BDD!H60:AR60,6)*'ButsMPG + Var'!$K$8+COUNTIF(BDD!H60:AR60,5)*'ButsMPG + Var'!$K$7+COUNTIF(BDD!H60:AR60,4)*'ButsMPG + Var'!$K$6+COUNTIF(BDD!H60:AR60,3)*'ButsMPG + Var'!$K$5+COUNTIF(BDD!H60:AR60,2)*'ButsMPG + Var'!$K$4+COUNTIF(BDD!H60:AR60,1)*'ButsMPG + Var'!$K$3,IF(C57="M",COUNTIF(BDD!H60:AR60,10)*'ButsMPG + Var'!$K$22+COUNTIF(BDD!H60:AR60,9)*'ButsMPG + Var'!$K$21+COUNTIF(BDD!H60:AR60,8)*'ButsMPG + Var'!$K$20+COUNTIF(BDD!H60:AR60,7)*'ButsMPG + Var'!$K$19+COUNTIF(BDD!H60:AR60,6)*'ButsMPG + Var'!$K$18+COUNTIF(BDD!H60:AR60,5)*'ButsMPG + Var'!$K$17+COUNTIF(BDD!H60:AR60,4)*'ButsMPG + Var'!$K$16+COUNTIF(BDD!H60:AR60,3)*'ButsMPG + Var'!$K$15+COUNTIF(BDD!H60:AR60,2)*'ButsMPG + Var'!$K$14+COUNTIF(BDD!H60:AR60,1)*'ButsMPG + Var'!$K$13,IF(C57="D",COUNTIF(BDD!H60:AR60,10)*'ButsMPG + Var'!$K$32+COUNTIF(BDD!H60:AR60,9)*'ButsMPG + Var'!$K$31+COUNTIF(BDD!H60:AR60,8)*'ButsMPG + Var'!$K$30+COUNTIF(BDD!H60:AR60,7)*'ButsMPG + Var'!$K$29+COUNTIF(BDD!H60:AR60,6)*'ButsMPG + Var'!$K$28+COUNTIF(BDD!H60:AR60,5)*'ButsMPG + Var'!$K$27+COUNTIF(BDD!H60:AR60,4)*'ButsMPG + Var'!$K$26+COUNTIF(BDD!H60:AR60,3)*'ButsMPG + Var'!$K$25+COUNTIF(BDD!H60:AR60,2)*'ButsMPG + Var'!$K$24+COUNTIF(BDD!H60:AR60,1)*'ButsMPG + Var'!$K$23,0)))</f>
        <v>0</v>
      </c>
      <c r="H57" s="25">
        <f t="shared" si="1"/>
        <v>0</v>
      </c>
      <c r="I57" s="25">
        <f>BDD!G60</f>
        <v>0</v>
      </c>
      <c r="J57" s="25">
        <f>SUMPRODUCT(BDD!H60:AS60,'ButsMPG + Var'!$B$46:$AM$46)</f>
        <v>0</v>
      </c>
      <c r="K57" s="25" t="e">
        <f>10*('ButsMPG + Var'!$H$37*J57/MAX(J:J)+'ButsMPG + Var'!$G$37*H57/MAX(H:H))</f>
        <v>#DIV/0!</v>
      </c>
      <c r="L57" s="1">
        <f>IF(ISNA(VLOOKUP(B57,PrixMini!$B$3:$E$573,4,FALSE)),1,VLOOKUP(B57,PrixMini!$B$3:$E$573,4,FALSE))</f>
        <v>1</v>
      </c>
      <c r="M57" s="25" t="e">
        <f>IF(ROUND(CalculCotation!$D$3*EXP(CalculCotation!$C$3*K57)-CalculCotation!$D$3+1,0)&gt;L57,ROUND(CalculCotation!$D$3*EXP(CalculCotation!$C$3*K57)-CalculCotation!$D$3+1,0),L57)</f>
        <v>#DIV/0!</v>
      </c>
    </row>
    <row r="58" spans="2:13" x14ac:dyDescent="0.3">
      <c r="B58" s="1">
        <f>BDD!C61</f>
        <v>0</v>
      </c>
      <c r="C58" s="1">
        <f>BDD!B61</f>
        <v>0</v>
      </c>
      <c r="D58" s="1">
        <f>BDD!A61</f>
        <v>0</v>
      </c>
      <c r="E58" s="1">
        <f>BDD!D61</f>
        <v>0</v>
      </c>
      <c r="F58" s="1">
        <f>BDD!F61</f>
        <v>0</v>
      </c>
      <c r="G58" s="25">
        <f>'ButsMPG + Var'!$I$39*IF(C58="A",COUNTIF(BDD!H61:AR61,10)*'ButsMPG + Var'!$K$12+COUNTIF(BDD!H61:AR61,9)*'ButsMPG + Var'!$K$11+COUNTIF(BDD!H61:AR61,8)*'ButsMPG + Var'!$K$10+COUNTIF(BDD!H61:AR61,7)*'ButsMPG + Var'!$K$9+COUNTIF(BDD!H61:AR61,6)*'ButsMPG + Var'!$K$8+COUNTIF(BDD!H61:AR61,5)*'ButsMPG + Var'!$K$7+COUNTIF(BDD!H61:AR61,4)*'ButsMPG + Var'!$K$6+COUNTIF(BDD!H61:AR61,3)*'ButsMPG + Var'!$K$5+COUNTIF(BDD!H61:AR61,2)*'ButsMPG + Var'!$K$4+COUNTIF(BDD!H61:AR61,1)*'ButsMPG + Var'!$K$3,IF(C58="M",COUNTIF(BDD!H61:AR61,10)*'ButsMPG + Var'!$K$22+COUNTIF(BDD!H61:AR61,9)*'ButsMPG + Var'!$K$21+COUNTIF(BDD!H61:AR61,8)*'ButsMPG + Var'!$K$20+COUNTIF(BDD!H61:AR61,7)*'ButsMPG + Var'!$K$19+COUNTIF(BDD!H61:AR61,6)*'ButsMPG + Var'!$K$18+COUNTIF(BDD!H61:AR61,5)*'ButsMPG + Var'!$K$17+COUNTIF(BDD!H61:AR61,4)*'ButsMPG + Var'!$K$16+COUNTIF(BDD!H61:AR61,3)*'ButsMPG + Var'!$K$15+COUNTIF(BDD!H61:AR61,2)*'ButsMPG + Var'!$K$14+COUNTIF(BDD!H61:AR61,1)*'ButsMPG + Var'!$K$13,IF(C58="D",COUNTIF(BDD!H61:AR61,10)*'ButsMPG + Var'!$K$32+COUNTIF(BDD!H61:AR61,9)*'ButsMPG + Var'!$K$31+COUNTIF(BDD!H61:AR61,8)*'ButsMPG + Var'!$K$30+COUNTIF(BDD!H61:AR61,7)*'ButsMPG + Var'!$K$29+COUNTIF(BDD!H61:AR61,6)*'ButsMPG + Var'!$K$28+COUNTIF(BDD!H61:AR61,5)*'ButsMPG + Var'!$K$27+COUNTIF(BDD!H61:AR61,4)*'ButsMPG + Var'!$K$26+COUNTIF(BDD!H61:AR61,3)*'ButsMPG + Var'!$K$25+COUNTIF(BDD!H61:AR61,2)*'ButsMPG + Var'!$K$24+COUNTIF(BDD!H61:AR61,1)*'ButsMPG + Var'!$K$23,0)))</f>
        <v>0</v>
      </c>
      <c r="H58" s="25">
        <f t="shared" si="1"/>
        <v>0</v>
      </c>
      <c r="I58" s="25">
        <f>BDD!G61</f>
        <v>0</v>
      </c>
      <c r="J58" s="25">
        <f>SUMPRODUCT(BDD!H61:AS61,'ButsMPG + Var'!$B$46:$AM$46)</f>
        <v>0</v>
      </c>
      <c r="K58" s="25" t="e">
        <f>10*('ButsMPG + Var'!$H$37*J58/MAX(J:J)+'ButsMPG + Var'!$G$37*H58/MAX(H:H))</f>
        <v>#DIV/0!</v>
      </c>
      <c r="L58" s="1">
        <f>IF(ISNA(VLOOKUP(B58,PrixMini!$B$3:$E$573,4,FALSE)),1,VLOOKUP(B58,PrixMini!$B$3:$E$573,4,FALSE))</f>
        <v>1</v>
      </c>
      <c r="M58" s="25" t="e">
        <f>IF(ROUND(CalculCotation!$D$3*EXP(CalculCotation!$C$3*K58)-CalculCotation!$D$3+1,0)&gt;L58,ROUND(CalculCotation!$D$3*EXP(CalculCotation!$C$3*K58)-CalculCotation!$D$3+1,0),L58)</f>
        <v>#DIV/0!</v>
      </c>
    </row>
    <row r="59" spans="2:13" x14ac:dyDescent="0.3">
      <c r="B59" s="1">
        <f>BDD!C62</f>
        <v>0</v>
      </c>
      <c r="C59" s="1">
        <f>BDD!B62</f>
        <v>0</v>
      </c>
      <c r="D59" s="1">
        <f>BDD!A62</f>
        <v>0</v>
      </c>
      <c r="E59" s="1">
        <f>BDD!D62</f>
        <v>0</v>
      </c>
      <c r="F59" s="1">
        <f>BDD!F62</f>
        <v>0</v>
      </c>
      <c r="G59" s="25">
        <f>'ButsMPG + Var'!$I$39*IF(C59="A",COUNTIF(BDD!H62:AR62,10)*'ButsMPG + Var'!$K$12+COUNTIF(BDD!H62:AR62,9)*'ButsMPG + Var'!$K$11+COUNTIF(BDD!H62:AR62,8)*'ButsMPG + Var'!$K$10+COUNTIF(BDD!H62:AR62,7)*'ButsMPG + Var'!$K$9+COUNTIF(BDD!H62:AR62,6)*'ButsMPG + Var'!$K$8+COUNTIF(BDD!H62:AR62,5)*'ButsMPG + Var'!$K$7+COUNTIF(BDD!H62:AR62,4)*'ButsMPG + Var'!$K$6+COUNTIF(BDD!H62:AR62,3)*'ButsMPG + Var'!$K$5+COUNTIF(BDD!H62:AR62,2)*'ButsMPG + Var'!$K$4+COUNTIF(BDD!H62:AR62,1)*'ButsMPG + Var'!$K$3,IF(C59="M",COUNTIF(BDD!H62:AR62,10)*'ButsMPG + Var'!$K$22+COUNTIF(BDD!H62:AR62,9)*'ButsMPG + Var'!$K$21+COUNTIF(BDD!H62:AR62,8)*'ButsMPG + Var'!$K$20+COUNTIF(BDD!H62:AR62,7)*'ButsMPG + Var'!$K$19+COUNTIF(BDD!H62:AR62,6)*'ButsMPG + Var'!$K$18+COUNTIF(BDD!H62:AR62,5)*'ButsMPG + Var'!$K$17+COUNTIF(BDD!H62:AR62,4)*'ButsMPG + Var'!$K$16+COUNTIF(BDD!H62:AR62,3)*'ButsMPG + Var'!$K$15+COUNTIF(BDD!H62:AR62,2)*'ButsMPG + Var'!$K$14+COUNTIF(BDD!H62:AR62,1)*'ButsMPG + Var'!$K$13,IF(C59="D",COUNTIF(BDD!H62:AR62,10)*'ButsMPG + Var'!$K$32+COUNTIF(BDD!H62:AR62,9)*'ButsMPG + Var'!$K$31+COUNTIF(BDD!H62:AR62,8)*'ButsMPG + Var'!$K$30+COUNTIF(BDD!H62:AR62,7)*'ButsMPG + Var'!$K$29+COUNTIF(BDD!H62:AR62,6)*'ButsMPG + Var'!$K$28+COUNTIF(BDD!H62:AR62,5)*'ButsMPG + Var'!$K$27+COUNTIF(BDD!H62:AR62,4)*'ButsMPG + Var'!$K$26+COUNTIF(BDD!H62:AR62,3)*'ButsMPG + Var'!$K$25+COUNTIF(BDD!H62:AR62,2)*'ButsMPG + Var'!$K$24+COUNTIF(BDD!H62:AR62,1)*'ButsMPG + Var'!$K$23,0)))</f>
        <v>0</v>
      </c>
      <c r="H59" s="25">
        <f t="shared" si="1"/>
        <v>0</v>
      </c>
      <c r="I59" s="25">
        <f>BDD!G62</f>
        <v>0</v>
      </c>
      <c r="J59" s="25">
        <f>SUMPRODUCT(BDD!H62:AS62,'ButsMPG + Var'!$B$46:$AM$46)</f>
        <v>0</v>
      </c>
      <c r="K59" s="25" t="e">
        <f>10*('ButsMPG + Var'!$H$37*J59/MAX(J:J)+'ButsMPG + Var'!$G$37*H59/MAX(H:H))</f>
        <v>#DIV/0!</v>
      </c>
      <c r="L59" s="1">
        <f>IF(ISNA(VLOOKUP(B59,PrixMini!$B$3:$E$573,4,FALSE)),1,VLOOKUP(B59,PrixMini!$B$3:$E$573,4,FALSE))</f>
        <v>1</v>
      </c>
      <c r="M59" s="25" t="e">
        <f>IF(ROUND(CalculCotation!$D$3*EXP(CalculCotation!$C$3*K59)-CalculCotation!$D$3+1,0)&gt;L59,ROUND(CalculCotation!$D$3*EXP(CalculCotation!$C$3*K59)-CalculCotation!$D$3+1,0),L59)</f>
        <v>#DIV/0!</v>
      </c>
    </row>
    <row r="60" spans="2:13" x14ac:dyDescent="0.3">
      <c r="B60" s="1">
        <f>BDD!C63</f>
        <v>0</v>
      </c>
      <c r="C60" s="1">
        <f>BDD!B63</f>
        <v>0</v>
      </c>
      <c r="D60" s="1">
        <f>BDD!A63</f>
        <v>0</v>
      </c>
      <c r="E60" s="1">
        <f>BDD!D63</f>
        <v>0</v>
      </c>
      <c r="F60" s="1">
        <f>BDD!F63</f>
        <v>0</v>
      </c>
      <c r="G60" s="25">
        <f>'ButsMPG + Var'!$I$39*IF(C60="A",COUNTIF(BDD!H63:AR63,10)*'ButsMPG + Var'!$K$12+COUNTIF(BDD!H63:AR63,9)*'ButsMPG + Var'!$K$11+COUNTIF(BDD!H63:AR63,8)*'ButsMPG + Var'!$K$10+COUNTIF(BDD!H63:AR63,7)*'ButsMPG + Var'!$K$9+COUNTIF(BDD!H63:AR63,6)*'ButsMPG + Var'!$K$8+COUNTIF(BDD!H63:AR63,5)*'ButsMPG + Var'!$K$7+COUNTIF(BDD!H63:AR63,4)*'ButsMPG + Var'!$K$6+COUNTIF(BDD!H63:AR63,3)*'ButsMPG + Var'!$K$5+COUNTIF(BDD!H63:AR63,2)*'ButsMPG + Var'!$K$4+COUNTIF(BDD!H63:AR63,1)*'ButsMPG + Var'!$K$3,IF(C60="M",COUNTIF(BDD!H63:AR63,10)*'ButsMPG + Var'!$K$22+COUNTIF(BDD!H63:AR63,9)*'ButsMPG + Var'!$K$21+COUNTIF(BDD!H63:AR63,8)*'ButsMPG + Var'!$K$20+COUNTIF(BDD!H63:AR63,7)*'ButsMPG + Var'!$K$19+COUNTIF(BDD!H63:AR63,6)*'ButsMPG + Var'!$K$18+COUNTIF(BDD!H63:AR63,5)*'ButsMPG + Var'!$K$17+COUNTIF(BDD!H63:AR63,4)*'ButsMPG + Var'!$K$16+COUNTIF(BDD!H63:AR63,3)*'ButsMPG + Var'!$K$15+COUNTIF(BDD!H63:AR63,2)*'ButsMPG + Var'!$K$14+COUNTIF(BDD!H63:AR63,1)*'ButsMPG + Var'!$K$13,IF(C60="D",COUNTIF(BDD!H63:AR63,10)*'ButsMPG + Var'!$K$32+COUNTIF(BDD!H63:AR63,9)*'ButsMPG + Var'!$K$31+COUNTIF(BDD!H63:AR63,8)*'ButsMPG + Var'!$K$30+COUNTIF(BDD!H63:AR63,7)*'ButsMPG + Var'!$K$29+COUNTIF(BDD!H63:AR63,6)*'ButsMPG + Var'!$K$28+COUNTIF(BDD!H63:AR63,5)*'ButsMPG + Var'!$K$27+COUNTIF(BDD!H63:AR63,4)*'ButsMPG + Var'!$K$26+COUNTIF(BDD!H63:AR63,3)*'ButsMPG + Var'!$K$25+COUNTIF(BDD!H63:AR63,2)*'ButsMPG + Var'!$K$24+COUNTIF(BDD!H63:AR63,1)*'ButsMPG + Var'!$K$23,0)))</f>
        <v>0</v>
      </c>
      <c r="H60" s="25">
        <f t="shared" si="1"/>
        <v>0</v>
      </c>
      <c r="I60" s="25">
        <f>BDD!G63</f>
        <v>0</v>
      </c>
      <c r="J60" s="25">
        <f>SUMPRODUCT(BDD!H63:AS63,'ButsMPG + Var'!$B$46:$AM$46)</f>
        <v>0</v>
      </c>
      <c r="K60" s="25" t="e">
        <f>10*('ButsMPG + Var'!$H$37*J60/MAX(J:J)+'ButsMPG + Var'!$G$37*H60/MAX(H:H))</f>
        <v>#DIV/0!</v>
      </c>
      <c r="L60" s="1">
        <f>IF(ISNA(VLOOKUP(B60,PrixMini!$B$3:$E$573,4,FALSE)),1,VLOOKUP(B60,PrixMini!$B$3:$E$573,4,FALSE))</f>
        <v>1</v>
      </c>
      <c r="M60" s="25" t="e">
        <f>IF(ROUND(CalculCotation!$D$3*EXP(CalculCotation!$C$3*K60)-CalculCotation!$D$3+1,0)&gt;L60,ROUND(CalculCotation!$D$3*EXP(CalculCotation!$C$3*K60)-CalculCotation!$D$3+1,0),L60)</f>
        <v>#DIV/0!</v>
      </c>
    </row>
    <row r="61" spans="2:13" x14ac:dyDescent="0.3">
      <c r="B61" s="1">
        <f>BDD!C64</f>
        <v>0</v>
      </c>
      <c r="C61" s="1">
        <f>BDD!B64</f>
        <v>0</v>
      </c>
      <c r="D61" s="1">
        <f>BDD!A64</f>
        <v>0</v>
      </c>
      <c r="E61" s="1">
        <f>BDD!D64</f>
        <v>0</v>
      </c>
      <c r="F61" s="1">
        <f>BDD!F64</f>
        <v>0</v>
      </c>
      <c r="G61" s="25">
        <f>'ButsMPG + Var'!$I$39*IF(C61="A",COUNTIF(BDD!H64:AR64,10)*'ButsMPG + Var'!$K$12+COUNTIF(BDD!H64:AR64,9)*'ButsMPG + Var'!$K$11+COUNTIF(BDD!H64:AR64,8)*'ButsMPG + Var'!$K$10+COUNTIF(BDD!H64:AR64,7)*'ButsMPG + Var'!$K$9+COUNTIF(BDD!H64:AR64,6)*'ButsMPG + Var'!$K$8+COUNTIF(BDD!H64:AR64,5)*'ButsMPG + Var'!$K$7+COUNTIF(BDD!H64:AR64,4)*'ButsMPG + Var'!$K$6+COUNTIF(BDD!H64:AR64,3)*'ButsMPG + Var'!$K$5+COUNTIF(BDD!H64:AR64,2)*'ButsMPG + Var'!$K$4+COUNTIF(BDD!H64:AR64,1)*'ButsMPG + Var'!$K$3,IF(C61="M",COUNTIF(BDD!H64:AR64,10)*'ButsMPG + Var'!$K$22+COUNTIF(BDD!H64:AR64,9)*'ButsMPG + Var'!$K$21+COUNTIF(BDD!H64:AR64,8)*'ButsMPG + Var'!$K$20+COUNTIF(BDD!H64:AR64,7)*'ButsMPG + Var'!$K$19+COUNTIF(BDD!H64:AR64,6)*'ButsMPG + Var'!$K$18+COUNTIF(BDD!H64:AR64,5)*'ButsMPG + Var'!$K$17+COUNTIF(BDD!H64:AR64,4)*'ButsMPG + Var'!$K$16+COUNTIF(BDD!H64:AR64,3)*'ButsMPG + Var'!$K$15+COUNTIF(BDD!H64:AR64,2)*'ButsMPG + Var'!$K$14+COUNTIF(BDD!H64:AR64,1)*'ButsMPG + Var'!$K$13,IF(C61="D",COUNTIF(BDD!H64:AR64,10)*'ButsMPG + Var'!$K$32+COUNTIF(BDD!H64:AR64,9)*'ButsMPG + Var'!$K$31+COUNTIF(BDD!H64:AR64,8)*'ButsMPG + Var'!$K$30+COUNTIF(BDD!H64:AR64,7)*'ButsMPG + Var'!$K$29+COUNTIF(BDD!H64:AR64,6)*'ButsMPG + Var'!$K$28+COUNTIF(BDD!H64:AR64,5)*'ButsMPG + Var'!$K$27+COUNTIF(BDD!H64:AR64,4)*'ButsMPG + Var'!$K$26+COUNTIF(BDD!H64:AR64,3)*'ButsMPG + Var'!$K$25+COUNTIF(BDD!H64:AR64,2)*'ButsMPG + Var'!$K$24+COUNTIF(BDD!H64:AR64,1)*'ButsMPG + Var'!$K$23,0)))</f>
        <v>0</v>
      </c>
      <c r="H61" s="25">
        <f t="shared" si="1"/>
        <v>0</v>
      </c>
      <c r="I61" s="25">
        <f>BDD!G64</f>
        <v>0</v>
      </c>
      <c r="J61" s="25">
        <f>SUMPRODUCT(BDD!H64:AS64,'ButsMPG + Var'!$B$46:$AM$46)</f>
        <v>0</v>
      </c>
      <c r="K61" s="25" t="e">
        <f>10*('ButsMPG + Var'!$H$37*J61/MAX(J:J)+'ButsMPG + Var'!$G$37*H61/MAX(H:H))</f>
        <v>#DIV/0!</v>
      </c>
      <c r="L61" s="1">
        <f>IF(ISNA(VLOOKUP(B61,PrixMini!$B$3:$E$573,4,FALSE)),1,VLOOKUP(B61,PrixMini!$B$3:$E$573,4,FALSE))</f>
        <v>1</v>
      </c>
      <c r="M61" s="25" t="e">
        <f>IF(ROUND(CalculCotation!$D$3*EXP(CalculCotation!$C$3*K61)-CalculCotation!$D$3+1,0)&gt;L61,ROUND(CalculCotation!$D$3*EXP(CalculCotation!$C$3*K61)-CalculCotation!$D$3+1,0),L61)</f>
        <v>#DIV/0!</v>
      </c>
    </row>
    <row r="62" spans="2:13" x14ac:dyDescent="0.3">
      <c r="B62" s="1">
        <f>BDD!C65</f>
        <v>0</v>
      </c>
      <c r="C62" s="1">
        <f>BDD!B65</f>
        <v>0</v>
      </c>
      <c r="D62" s="1">
        <f>BDD!A65</f>
        <v>0</v>
      </c>
      <c r="E62" s="1">
        <f>BDD!D65</f>
        <v>0</v>
      </c>
      <c r="F62" s="1">
        <f>BDD!F65</f>
        <v>0</v>
      </c>
      <c r="G62" s="25">
        <f>'ButsMPG + Var'!$I$39*IF(C62="A",COUNTIF(BDD!H65:AR65,10)*'ButsMPG + Var'!$K$12+COUNTIF(BDD!H65:AR65,9)*'ButsMPG + Var'!$K$11+COUNTIF(BDD!H65:AR65,8)*'ButsMPG + Var'!$K$10+COUNTIF(BDD!H65:AR65,7)*'ButsMPG + Var'!$K$9+COUNTIF(BDD!H65:AR65,6)*'ButsMPG + Var'!$K$8+COUNTIF(BDD!H65:AR65,5)*'ButsMPG + Var'!$K$7+COUNTIF(BDD!H65:AR65,4)*'ButsMPG + Var'!$K$6+COUNTIF(BDD!H65:AR65,3)*'ButsMPG + Var'!$K$5+COUNTIF(BDD!H65:AR65,2)*'ButsMPG + Var'!$K$4+COUNTIF(BDD!H65:AR65,1)*'ButsMPG + Var'!$K$3,IF(C62="M",COUNTIF(BDD!H65:AR65,10)*'ButsMPG + Var'!$K$22+COUNTIF(BDD!H65:AR65,9)*'ButsMPG + Var'!$K$21+COUNTIF(BDD!H65:AR65,8)*'ButsMPG + Var'!$K$20+COUNTIF(BDD!H65:AR65,7)*'ButsMPG + Var'!$K$19+COUNTIF(BDD!H65:AR65,6)*'ButsMPG + Var'!$K$18+COUNTIF(BDD!H65:AR65,5)*'ButsMPG + Var'!$K$17+COUNTIF(BDD!H65:AR65,4)*'ButsMPG + Var'!$K$16+COUNTIF(BDD!H65:AR65,3)*'ButsMPG + Var'!$K$15+COUNTIF(BDD!H65:AR65,2)*'ButsMPG + Var'!$K$14+COUNTIF(BDD!H65:AR65,1)*'ButsMPG + Var'!$K$13,IF(C62="D",COUNTIF(BDD!H65:AR65,10)*'ButsMPG + Var'!$K$32+COUNTIF(BDD!H65:AR65,9)*'ButsMPG + Var'!$K$31+COUNTIF(BDD!H65:AR65,8)*'ButsMPG + Var'!$K$30+COUNTIF(BDD!H65:AR65,7)*'ButsMPG + Var'!$K$29+COUNTIF(BDD!H65:AR65,6)*'ButsMPG + Var'!$K$28+COUNTIF(BDD!H65:AR65,5)*'ButsMPG + Var'!$K$27+COUNTIF(BDD!H65:AR65,4)*'ButsMPG + Var'!$K$26+COUNTIF(BDD!H65:AR65,3)*'ButsMPG + Var'!$K$25+COUNTIF(BDD!H65:AR65,2)*'ButsMPG + Var'!$K$24+COUNTIF(BDD!H65:AR65,1)*'ButsMPG + Var'!$K$23,0)))</f>
        <v>0</v>
      </c>
      <c r="H62" s="25">
        <f t="shared" si="1"/>
        <v>0</v>
      </c>
      <c r="I62" s="25">
        <f>BDD!G65</f>
        <v>0</v>
      </c>
      <c r="J62" s="25">
        <f>SUMPRODUCT(BDD!H65:AS65,'ButsMPG + Var'!$B$46:$AM$46)</f>
        <v>0</v>
      </c>
      <c r="K62" s="25" t="e">
        <f>10*('ButsMPG + Var'!$H$37*J62/MAX(J:J)+'ButsMPG + Var'!$G$37*H62/MAX(H:H))</f>
        <v>#DIV/0!</v>
      </c>
      <c r="L62" s="1">
        <f>IF(ISNA(VLOOKUP(B62,PrixMini!$B$3:$E$573,4,FALSE)),1,VLOOKUP(B62,PrixMini!$B$3:$E$573,4,FALSE))</f>
        <v>1</v>
      </c>
      <c r="M62" s="25" t="e">
        <f>IF(ROUND(CalculCotation!$D$3*EXP(CalculCotation!$C$3*K62)-CalculCotation!$D$3+1,0)&gt;L62,ROUND(CalculCotation!$D$3*EXP(CalculCotation!$C$3*K62)-CalculCotation!$D$3+1,0),L62)</f>
        <v>#DIV/0!</v>
      </c>
    </row>
    <row r="63" spans="2:13" x14ac:dyDescent="0.3">
      <c r="B63" s="1">
        <f>BDD!C66</f>
        <v>0</v>
      </c>
      <c r="C63" s="1">
        <f>BDD!B66</f>
        <v>0</v>
      </c>
      <c r="D63" s="1">
        <f>BDD!A66</f>
        <v>0</v>
      </c>
      <c r="E63" s="1">
        <f>BDD!D66</f>
        <v>0</v>
      </c>
      <c r="F63" s="1">
        <f>BDD!F66</f>
        <v>0</v>
      </c>
      <c r="G63" s="25">
        <f>'ButsMPG + Var'!$I$39*IF(C63="A",COUNTIF(BDD!H66:AR66,10)*'ButsMPG + Var'!$K$12+COUNTIF(BDD!H66:AR66,9)*'ButsMPG + Var'!$K$11+COUNTIF(BDD!H66:AR66,8)*'ButsMPG + Var'!$K$10+COUNTIF(BDD!H66:AR66,7)*'ButsMPG + Var'!$K$9+COUNTIF(BDD!H66:AR66,6)*'ButsMPG + Var'!$K$8+COUNTIF(BDD!H66:AR66,5)*'ButsMPG + Var'!$K$7+COUNTIF(BDD!H66:AR66,4)*'ButsMPG + Var'!$K$6+COUNTIF(BDD!H66:AR66,3)*'ButsMPG + Var'!$K$5+COUNTIF(BDD!H66:AR66,2)*'ButsMPG + Var'!$K$4+COUNTIF(BDD!H66:AR66,1)*'ButsMPG + Var'!$K$3,IF(C63="M",COUNTIF(BDD!H66:AR66,10)*'ButsMPG + Var'!$K$22+COUNTIF(BDD!H66:AR66,9)*'ButsMPG + Var'!$K$21+COUNTIF(BDD!H66:AR66,8)*'ButsMPG + Var'!$K$20+COUNTIF(BDD!H66:AR66,7)*'ButsMPG + Var'!$K$19+COUNTIF(BDD!H66:AR66,6)*'ButsMPG + Var'!$K$18+COUNTIF(BDD!H66:AR66,5)*'ButsMPG + Var'!$K$17+COUNTIF(BDD!H66:AR66,4)*'ButsMPG + Var'!$K$16+COUNTIF(BDD!H66:AR66,3)*'ButsMPG + Var'!$K$15+COUNTIF(BDD!H66:AR66,2)*'ButsMPG + Var'!$K$14+COUNTIF(BDD!H66:AR66,1)*'ButsMPG + Var'!$K$13,IF(C63="D",COUNTIF(BDD!H66:AR66,10)*'ButsMPG + Var'!$K$32+COUNTIF(BDD!H66:AR66,9)*'ButsMPG + Var'!$K$31+COUNTIF(BDD!H66:AR66,8)*'ButsMPG + Var'!$K$30+COUNTIF(BDD!H66:AR66,7)*'ButsMPG + Var'!$K$29+COUNTIF(BDD!H66:AR66,6)*'ButsMPG + Var'!$K$28+COUNTIF(BDD!H66:AR66,5)*'ButsMPG + Var'!$K$27+COUNTIF(BDD!H66:AR66,4)*'ButsMPG + Var'!$K$26+COUNTIF(BDD!H66:AR66,3)*'ButsMPG + Var'!$K$25+COUNTIF(BDD!H66:AR66,2)*'ButsMPG + Var'!$K$24+COUNTIF(BDD!H66:AR66,1)*'ButsMPG + Var'!$K$23,0)))</f>
        <v>0</v>
      </c>
      <c r="H63" s="25">
        <f t="shared" si="1"/>
        <v>0</v>
      </c>
      <c r="I63" s="25">
        <f>BDD!G66</f>
        <v>0</v>
      </c>
      <c r="J63" s="25">
        <f>SUMPRODUCT(BDD!H66:AS66,'ButsMPG + Var'!$B$46:$AM$46)</f>
        <v>0</v>
      </c>
      <c r="K63" s="25" t="e">
        <f>10*('ButsMPG + Var'!$H$37*J63/MAX(J:J)+'ButsMPG + Var'!$G$37*H63/MAX(H:H))</f>
        <v>#DIV/0!</v>
      </c>
      <c r="L63" s="1">
        <f>IF(ISNA(VLOOKUP(B63,PrixMini!$B$3:$E$573,4,FALSE)),1,VLOOKUP(B63,PrixMini!$B$3:$E$573,4,FALSE))</f>
        <v>1</v>
      </c>
      <c r="M63" s="25" t="e">
        <f>IF(ROUND(CalculCotation!$D$3*EXP(CalculCotation!$C$3*K63)-CalculCotation!$D$3+1,0)&gt;L63,ROUND(CalculCotation!$D$3*EXP(CalculCotation!$C$3*K63)-CalculCotation!$D$3+1,0),L63)</f>
        <v>#DIV/0!</v>
      </c>
    </row>
    <row r="64" spans="2:13" x14ac:dyDescent="0.3">
      <c r="B64" s="1">
        <f>BDD!C67</f>
        <v>0</v>
      </c>
      <c r="C64" s="1">
        <f>BDD!B67</f>
        <v>0</v>
      </c>
      <c r="D64" s="1">
        <f>BDD!A67</f>
        <v>0</v>
      </c>
      <c r="E64" s="1">
        <f>BDD!D67</f>
        <v>0</v>
      </c>
      <c r="F64" s="1">
        <f>BDD!F67</f>
        <v>0</v>
      </c>
      <c r="G64" s="25">
        <f>'ButsMPG + Var'!$I$39*IF(C64="A",COUNTIF(BDD!H67:AR67,10)*'ButsMPG + Var'!$K$12+COUNTIF(BDD!H67:AR67,9)*'ButsMPG + Var'!$K$11+COUNTIF(BDD!H67:AR67,8)*'ButsMPG + Var'!$K$10+COUNTIF(BDD!H67:AR67,7)*'ButsMPG + Var'!$K$9+COUNTIF(BDD!H67:AR67,6)*'ButsMPG + Var'!$K$8+COUNTIF(BDD!H67:AR67,5)*'ButsMPG + Var'!$K$7+COUNTIF(BDD!H67:AR67,4)*'ButsMPG + Var'!$K$6+COUNTIF(BDD!H67:AR67,3)*'ButsMPG + Var'!$K$5+COUNTIF(BDD!H67:AR67,2)*'ButsMPG + Var'!$K$4+COUNTIF(BDD!H67:AR67,1)*'ButsMPG + Var'!$K$3,IF(C64="M",COUNTIF(BDD!H67:AR67,10)*'ButsMPG + Var'!$K$22+COUNTIF(BDD!H67:AR67,9)*'ButsMPG + Var'!$K$21+COUNTIF(BDD!H67:AR67,8)*'ButsMPG + Var'!$K$20+COUNTIF(BDD!H67:AR67,7)*'ButsMPG + Var'!$K$19+COUNTIF(BDD!H67:AR67,6)*'ButsMPG + Var'!$K$18+COUNTIF(BDD!H67:AR67,5)*'ButsMPG + Var'!$K$17+COUNTIF(BDD!H67:AR67,4)*'ButsMPG + Var'!$K$16+COUNTIF(BDD!H67:AR67,3)*'ButsMPG + Var'!$K$15+COUNTIF(BDD!H67:AR67,2)*'ButsMPG + Var'!$K$14+COUNTIF(BDD!H67:AR67,1)*'ButsMPG + Var'!$K$13,IF(C64="D",COUNTIF(BDD!H67:AR67,10)*'ButsMPG + Var'!$K$32+COUNTIF(BDD!H67:AR67,9)*'ButsMPG + Var'!$K$31+COUNTIF(BDD!H67:AR67,8)*'ButsMPG + Var'!$K$30+COUNTIF(BDD!H67:AR67,7)*'ButsMPG + Var'!$K$29+COUNTIF(BDD!H67:AR67,6)*'ButsMPG + Var'!$K$28+COUNTIF(BDD!H67:AR67,5)*'ButsMPG + Var'!$K$27+COUNTIF(BDD!H67:AR67,4)*'ButsMPG + Var'!$K$26+COUNTIF(BDD!H67:AR67,3)*'ButsMPG + Var'!$K$25+COUNTIF(BDD!H67:AR67,2)*'ButsMPG + Var'!$K$24+COUNTIF(BDD!H67:AR67,1)*'ButsMPG + Var'!$K$23,0)))</f>
        <v>0</v>
      </c>
      <c r="H64" s="25">
        <f t="shared" si="1"/>
        <v>0</v>
      </c>
      <c r="I64" s="25">
        <f>BDD!G67</f>
        <v>0</v>
      </c>
      <c r="J64" s="25">
        <f>SUMPRODUCT(BDD!H67:AS67,'ButsMPG + Var'!$B$46:$AM$46)</f>
        <v>0</v>
      </c>
      <c r="K64" s="25" t="e">
        <f>10*('ButsMPG + Var'!$H$37*J64/MAX(J:J)+'ButsMPG + Var'!$G$37*H64/MAX(H:H))</f>
        <v>#DIV/0!</v>
      </c>
      <c r="L64" s="1">
        <f>IF(ISNA(VLOOKUP(B64,PrixMini!$B$3:$E$573,4,FALSE)),1,VLOOKUP(B64,PrixMini!$B$3:$E$573,4,FALSE))</f>
        <v>1</v>
      </c>
      <c r="M64" s="25" t="e">
        <f>IF(ROUND(CalculCotation!$D$3*EXP(CalculCotation!$C$3*K64)-CalculCotation!$D$3+1,0)&gt;L64,ROUND(CalculCotation!$D$3*EXP(CalculCotation!$C$3*K64)-CalculCotation!$D$3+1,0),L64)</f>
        <v>#DIV/0!</v>
      </c>
    </row>
    <row r="65" spans="2:13" x14ac:dyDescent="0.3">
      <c r="B65" s="1">
        <f>BDD!C68</f>
        <v>0</v>
      </c>
      <c r="C65" s="1">
        <f>BDD!B68</f>
        <v>0</v>
      </c>
      <c r="D65" s="1">
        <f>BDD!A68</f>
        <v>0</v>
      </c>
      <c r="E65" s="1">
        <f>BDD!D68</f>
        <v>0</v>
      </c>
      <c r="F65" s="1">
        <f>BDD!F68</f>
        <v>0</v>
      </c>
      <c r="G65" s="25">
        <f>'ButsMPG + Var'!$I$39*IF(C65="A",COUNTIF(BDD!H68:AR68,10)*'ButsMPG + Var'!$K$12+COUNTIF(BDD!H68:AR68,9)*'ButsMPG + Var'!$K$11+COUNTIF(BDD!H68:AR68,8)*'ButsMPG + Var'!$K$10+COUNTIF(BDD!H68:AR68,7)*'ButsMPG + Var'!$K$9+COUNTIF(BDD!H68:AR68,6)*'ButsMPG + Var'!$K$8+COUNTIF(BDD!H68:AR68,5)*'ButsMPG + Var'!$K$7+COUNTIF(BDD!H68:AR68,4)*'ButsMPG + Var'!$K$6+COUNTIF(BDD!H68:AR68,3)*'ButsMPG + Var'!$K$5+COUNTIF(BDD!H68:AR68,2)*'ButsMPG + Var'!$K$4+COUNTIF(BDD!H68:AR68,1)*'ButsMPG + Var'!$K$3,IF(C65="M",COUNTIF(BDD!H68:AR68,10)*'ButsMPG + Var'!$K$22+COUNTIF(BDD!H68:AR68,9)*'ButsMPG + Var'!$K$21+COUNTIF(BDD!H68:AR68,8)*'ButsMPG + Var'!$K$20+COUNTIF(BDD!H68:AR68,7)*'ButsMPG + Var'!$K$19+COUNTIF(BDD!H68:AR68,6)*'ButsMPG + Var'!$K$18+COUNTIF(BDD!H68:AR68,5)*'ButsMPG + Var'!$K$17+COUNTIF(BDD!H68:AR68,4)*'ButsMPG + Var'!$K$16+COUNTIF(BDD!H68:AR68,3)*'ButsMPG + Var'!$K$15+COUNTIF(BDD!H68:AR68,2)*'ButsMPG + Var'!$K$14+COUNTIF(BDD!H68:AR68,1)*'ButsMPG + Var'!$K$13,IF(C65="D",COUNTIF(BDD!H68:AR68,10)*'ButsMPG + Var'!$K$32+COUNTIF(BDD!H68:AR68,9)*'ButsMPG + Var'!$K$31+COUNTIF(BDD!H68:AR68,8)*'ButsMPG + Var'!$K$30+COUNTIF(BDD!H68:AR68,7)*'ButsMPG + Var'!$K$29+COUNTIF(BDD!H68:AR68,6)*'ButsMPG + Var'!$K$28+COUNTIF(BDD!H68:AR68,5)*'ButsMPG + Var'!$K$27+COUNTIF(BDD!H68:AR68,4)*'ButsMPG + Var'!$K$26+COUNTIF(BDD!H68:AR68,3)*'ButsMPG + Var'!$K$25+COUNTIF(BDD!H68:AR68,2)*'ButsMPG + Var'!$K$24+COUNTIF(BDD!H68:AR68,1)*'ButsMPG + Var'!$K$23,0)))</f>
        <v>0</v>
      </c>
      <c r="H65" s="25">
        <f t="shared" si="1"/>
        <v>0</v>
      </c>
      <c r="I65" s="25">
        <f>BDD!G68</f>
        <v>0</v>
      </c>
      <c r="J65" s="25">
        <f>SUMPRODUCT(BDD!H68:AS68,'ButsMPG + Var'!$B$46:$AM$46)</f>
        <v>0</v>
      </c>
      <c r="K65" s="25" t="e">
        <f>10*('ButsMPG + Var'!$H$37*J65/MAX(J:J)+'ButsMPG + Var'!$G$37*H65/MAX(H:H))</f>
        <v>#DIV/0!</v>
      </c>
      <c r="L65" s="1">
        <f>IF(ISNA(VLOOKUP(B65,PrixMini!$B$3:$E$573,4,FALSE)),1,VLOOKUP(B65,PrixMini!$B$3:$E$573,4,FALSE))</f>
        <v>1</v>
      </c>
      <c r="M65" s="25" t="e">
        <f>IF(ROUND(CalculCotation!$D$3*EXP(CalculCotation!$C$3*K65)-CalculCotation!$D$3+1,0)&gt;L65,ROUND(CalculCotation!$D$3*EXP(CalculCotation!$C$3*K65)-CalculCotation!$D$3+1,0),L65)</f>
        <v>#DIV/0!</v>
      </c>
    </row>
    <row r="66" spans="2:13" x14ac:dyDescent="0.3">
      <c r="B66" s="1">
        <f>BDD!C69</f>
        <v>0</v>
      </c>
      <c r="C66" s="1">
        <f>BDD!B69</f>
        <v>0</v>
      </c>
      <c r="D66" s="1">
        <f>BDD!A69</f>
        <v>0</v>
      </c>
      <c r="E66" s="1">
        <f>BDD!D69</f>
        <v>0</v>
      </c>
      <c r="F66" s="1">
        <f>BDD!F69</f>
        <v>0</v>
      </c>
      <c r="G66" s="25">
        <f>'ButsMPG + Var'!$I$39*IF(C66="A",COUNTIF(BDD!H69:AR69,10)*'ButsMPG + Var'!$K$12+COUNTIF(BDD!H69:AR69,9)*'ButsMPG + Var'!$K$11+COUNTIF(BDD!H69:AR69,8)*'ButsMPG + Var'!$K$10+COUNTIF(BDD!H69:AR69,7)*'ButsMPG + Var'!$K$9+COUNTIF(BDD!H69:AR69,6)*'ButsMPG + Var'!$K$8+COUNTIF(BDD!H69:AR69,5)*'ButsMPG + Var'!$K$7+COUNTIF(BDD!H69:AR69,4)*'ButsMPG + Var'!$K$6+COUNTIF(BDD!H69:AR69,3)*'ButsMPG + Var'!$K$5+COUNTIF(BDD!H69:AR69,2)*'ButsMPG + Var'!$K$4+COUNTIF(BDD!H69:AR69,1)*'ButsMPG + Var'!$K$3,IF(C66="M",COUNTIF(BDD!H69:AR69,10)*'ButsMPG + Var'!$K$22+COUNTIF(BDD!H69:AR69,9)*'ButsMPG + Var'!$K$21+COUNTIF(BDD!H69:AR69,8)*'ButsMPG + Var'!$K$20+COUNTIF(BDD!H69:AR69,7)*'ButsMPG + Var'!$K$19+COUNTIF(BDD!H69:AR69,6)*'ButsMPG + Var'!$K$18+COUNTIF(BDD!H69:AR69,5)*'ButsMPG + Var'!$K$17+COUNTIF(BDD!H69:AR69,4)*'ButsMPG + Var'!$K$16+COUNTIF(BDD!H69:AR69,3)*'ButsMPG + Var'!$K$15+COUNTIF(BDD!H69:AR69,2)*'ButsMPG + Var'!$K$14+COUNTIF(BDD!H69:AR69,1)*'ButsMPG + Var'!$K$13,IF(C66="D",COUNTIF(BDD!H69:AR69,10)*'ButsMPG + Var'!$K$32+COUNTIF(BDD!H69:AR69,9)*'ButsMPG + Var'!$K$31+COUNTIF(BDD!H69:AR69,8)*'ButsMPG + Var'!$K$30+COUNTIF(BDD!H69:AR69,7)*'ButsMPG + Var'!$K$29+COUNTIF(BDD!H69:AR69,6)*'ButsMPG + Var'!$K$28+COUNTIF(BDD!H69:AR69,5)*'ButsMPG + Var'!$K$27+COUNTIF(BDD!H69:AR69,4)*'ButsMPG + Var'!$K$26+COUNTIF(BDD!H69:AR69,3)*'ButsMPG + Var'!$K$25+COUNTIF(BDD!H69:AR69,2)*'ButsMPG + Var'!$K$24+COUNTIF(BDD!H69:AR69,1)*'ButsMPG + Var'!$K$23,0)))</f>
        <v>0</v>
      </c>
      <c r="H66" s="25">
        <f t="shared" si="1"/>
        <v>0</v>
      </c>
      <c r="I66" s="25">
        <f>BDD!G69</f>
        <v>0</v>
      </c>
      <c r="J66" s="25">
        <f>SUMPRODUCT(BDD!H69:AS69,'ButsMPG + Var'!$B$46:$AM$46)</f>
        <v>0</v>
      </c>
      <c r="K66" s="25" t="e">
        <f>10*('ButsMPG + Var'!$H$37*J66/MAX(J:J)+'ButsMPG + Var'!$G$37*H66/MAX(H:H))</f>
        <v>#DIV/0!</v>
      </c>
      <c r="L66" s="1">
        <f>IF(ISNA(VLOOKUP(B66,PrixMini!$B$3:$E$573,4,FALSE)),1,VLOOKUP(B66,PrixMini!$B$3:$E$573,4,FALSE))</f>
        <v>1</v>
      </c>
      <c r="M66" s="25" t="e">
        <f>IF(ROUND(CalculCotation!$D$3*EXP(CalculCotation!$C$3*K66)-CalculCotation!$D$3+1,0)&gt;L66,ROUND(CalculCotation!$D$3*EXP(CalculCotation!$C$3*K66)-CalculCotation!$D$3+1,0),L66)</f>
        <v>#DIV/0!</v>
      </c>
    </row>
    <row r="67" spans="2:13" x14ac:dyDescent="0.3">
      <c r="B67" s="1">
        <f>BDD!C70</f>
        <v>0</v>
      </c>
      <c r="C67" s="1">
        <f>BDD!B70</f>
        <v>0</v>
      </c>
      <c r="D67" s="1">
        <f>BDD!A70</f>
        <v>0</v>
      </c>
      <c r="E67" s="1">
        <f>BDD!D70</f>
        <v>0</v>
      </c>
      <c r="F67" s="1">
        <f>BDD!F70</f>
        <v>0</v>
      </c>
      <c r="G67" s="25">
        <f>'ButsMPG + Var'!$I$39*IF(C67="A",COUNTIF(BDD!H70:AR70,10)*'ButsMPG + Var'!$K$12+COUNTIF(BDD!H70:AR70,9)*'ButsMPG + Var'!$K$11+COUNTIF(BDD!H70:AR70,8)*'ButsMPG + Var'!$K$10+COUNTIF(BDD!H70:AR70,7)*'ButsMPG + Var'!$K$9+COUNTIF(BDD!H70:AR70,6)*'ButsMPG + Var'!$K$8+COUNTIF(BDD!H70:AR70,5)*'ButsMPG + Var'!$K$7+COUNTIF(BDD!H70:AR70,4)*'ButsMPG + Var'!$K$6+COUNTIF(BDD!H70:AR70,3)*'ButsMPG + Var'!$K$5+COUNTIF(BDD!H70:AR70,2)*'ButsMPG + Var'!$K$4+COUNTIF(BDD!H70:AR70,1)*'ButsMPG + Var'!$K$3,IF(C67="M",COUNTIF(BDD!H70:AR70,10)*'ButsMPG + Var'!$K$22+COUNTIF(BDD!H70:AR70,9)*'ButsMPG + Var'!$K$21+COUNTIF(BDD!H70:AR70,8)*'ButsMPG + Var'!$K$20+COUNTIF(BDD!H70:AR70,7)*'ButsMPG + Var'!$K$19+COUNTIF(BDD!H70:AR70,6)*'ButsMPG + Var'!$K$18+COUNTIF(BDD!H70:AR70,5)*'ButsMPG + Var'!$K$17+COUNTIF(BDD!H70:AR70,4)*'ButsMPG + Var'!$K$16+COUNTIF(BDD!H70:AR70,3)*'ButsMPG + Var'!$K$15+COUNTIF(BDD!H70:AR70,2)*'ButsMPG + Var'!$K$14+COUNTIF(BDD!H70:AR70,1)*'ButsMPG + Var'!$K$13,IF(C67="D",COUNTIF(BDD!H70:AR70,10)*'ButsMPG + Var'!$K$32+COUNTIF(BDD!H70:AR70,9)*'ButsMPG + Var'!$K$31+COUNTIF(BDD!H70:AR70,8)*'ButsMPG + Var'!$K$30+COUNTIF(BDD!H70:AR70,7)*'ButsMPG + Var'!$K$29+COUNTIF(BDD!H70:AR70,6)*'ButsMPG + Var'!$K$28+COUNTIF(BDD!H70:AR70,5)*'ButsMPG + Var'!$K$27+COUNTIF(BDD!H70:AR70,4)*'ButsMPG + Var'!$K$26+COUNTIF(BDD!H70:AR70,3)*'ButsMPG + Var'!$K$25+COUNTIF(BDD!H70:AR70,2)*'ButsMPG + Var'!$K$24+COUNTIF(BDD!H70:AR70,1)*'ButsMPG + Var'!$K$23,0)))</f>
        <v>0</v>
      </c>
      <c r="H67" s="25">
        <f t="shared" si="1"/>
        <v>0</v>
      </c>
      <c r="I67" s="25">
        <f>BDD!G70</f>
        <v>0</v>
      </c>
      <c r="J67" s="25">
        <f>SUMPRODUCT(BDD!H70:AS70,'ButsMPG + Var'!$B$46:$AM$46)</f>
        <v>0</v>
      </c>
      <c r="K67" s="25" t="e">
        <f>10*('ButsMPG + Var'!$H$37*J67/MAX(J:J)+'ButsMPG + Var'!$G$37*H67/MAX(H:H))</f>
        <v>#DIV/0!</v>
      </c>
      <c r="L67" s="1">
        <f>IF(ISNA(VLOOKUP(B67,PrixMini!$B$3:$E$573,4,FALSE)),1,VLOOKUP(B67,PrixMini!$B$3:$E$573,4,FALSE))</f>
        <v>1</v>
      </c>
      <c r="M67" s="25" t="e">
        <f>IF(ROUND(CalculCotation!$D$3*EXP(CalculCotation!$C$3*K67)-CalculCotation!$D$3+1,0)&gt;L67,ROUND(CalculCotation!$D$3*EXP(CalculCotation!$C$3*K67)-CalculCotation!$D$3+1,0),L67)</f>
        <v>#DIV/0!</v>
      </c>
    </row>
    <row r="68" spans="2:13" x14ac:dyDescent="0.3">
      <c r="B68" s="1">
        <f>BDD!C71</f>
        <v>0</v>
      </c>
      <c r="C68" s="1">
        <f>BDD!B71</f>
        <v>0</v>
      </c>
      <c r="D68" s="1">
        <f>BDD!A71</f>
        <v>0</v>
      </c>
      <c r="E68" s="1">
        <f>BDD!D71</f>
        <v>0</v>
      </c>
      <c r="F68" s="1">
        <f>BDD!F71</f>
        <v>0</v>
      </c>
      <c r="G68" s="25">
        <f>'ButsMPG + Var'!$I$39*IF(C68="A",COUNTIF(BDD!H71:AR71,10)*'ButsMPG + Var'!$K$12+COUNTIF(BDD!H71:AR71,9)*'ButsMPG + Var'!$K$11+COUNTIF(BDD!H71:AR71,8)*'ButsMPG + Var'!$K$10+COUNTIF(BDD!H71:AR71,7)*'ButsMPG + Var'!$K$9+COUNTIF(BDD!H71:AR71,6)*'ButsMPG + Var'!$K$8+COUNTIF(BDD!H71:AR71,5)*'ButsMPG + Var'!$K$7+COUNTIF(BDD!H71:AR71,4)*'ButsMPG + Var'!$K$6+COUNTIF(BDD!H71:AR71,3)*'ButsMPG + Var'!$K$5+COUNTIF(BDD!H71:AR71,2)*'ButsMPG + Var'!$K$4+COUNTIF(BDD!H71:AR71,1)*'ButsMPG + Var'!$K$3,IF(C68="M",COUNTIF(BDD!H71:AR71,10)*'ButsMPG + Var'!$K$22+COUNTIF(BDD!H71:AR71,9)*'ButsMPG + Var'!$K$21+COUNTIF(BDD!H71:AR71,8)*'ButsMPG + Var'!$K$20+COUNTIF(BDD!H71:AR71,7)*'ButsMPG + Var'!$K$19+COUNTIF(BDD!H71:AR71,6)*'ButsMPG + Var'!$K$18+COUNTIF(BDD!H71:AR71,5)*'ButsMPG + Var'!$K$17+COUNTIF(BDD!H71:AR71,4)*'ButsMPG + Var'!$K$16+COUNTIF(BDD!H71:AR71,3)*'ButsMPG + Var'!$K$15+COUNTIF(BDD!H71:AR71,2)*'ButsMPG + Var'!$K$14+COUNTIF(BDD!H71:AR71,1)*'ButsMPG + Var'!$K$13,IF(C68="D",COUNTIF(BDD!H71:AR71,10)*'ButsMPG + Var'!$K$32+COUNTIF(BDD!H71:AR71,9)*'ButsMPG + Var'!$K$31+COUNTIF(BDD!H71:AR71,8)*'ButsMPG + Var'!$K$30+COUNTIF(BDD!H71:AR71,7)*'ButsMPG + Var'!$K$29+COUNTIF(BDD!H71:AR71,6)*'ButsMPG + Var'!$K$28+COUNTIF(BDD!H71:AR71,5)*'ButsMPG + Var'!$K$27+COUNTIF(BDD!H71:AR71,4)*'ButsMPG + Var'!$K$26+COUNTIF(BDD!H71:AR71,3)*'ButsMPG + Var'!$K$25+COUNTIF(BDD!H71:AR71,2)*'ButsMPG + Var'!$K$24+COUNTIF(BDD!H71:AR71,1)*'ButsMPG + Var'!$K$23,0)))</f>
        <v>0</v>
      </c>
      <c r="H68" s="25">
        <f t="shared" ref="H68:H131" si="2">SUM(F68:G68)</f>
        <v>0</v>
      </c>
      <c r="I68" s="25">
        <f>BDD!G71</f>
        <v>0</v>
      </c>
      <c r="J68" s="25">
        <f>SUMPRODUCT(BDD!H71:AS71,'ButsMPG + Var'!$B$46:$AM$46)</f>
        <v>0</v>
      </c>
      <c r="K68" s="25" t="e">
        <f>10*('ButsMPG + Var'!$H$37*J68/MAX(J:J)+'ButsMPG + Var'!$G$37*H68/MAX(H:H))</f>
        <v>#DIV/0!</v>
      </c>
      <c r="L68" s="1">
        <f>IF(ISNA(VLOOKUP(B68,PrixMini!$B$3:$E$573,4,FALSE)),1,VLOOKUP(B68,PrixMini!$B$3:$E$573,4,FALSE))</f>
        <v>1</v>
      </c>
      <c r="M68" s="25" t="e">
        <f>IF(ROUND(CalculCotation!$D$3*EXP(CalculCotation!$C$3*K68)-CalculCotation!$D$3+1,0)&gt;L68,ROUND(CalculCotation!$D$3*EXP(CalculCotation!$C$3*K68)-CalculCotation!$D$3+1,0),L68)</f>
        <v>#DIV/0!</v>
      </c>
    </row>
    <row r="69" spans="2:13" x14ac:dyDescent="0.3">
      <c r="B69" s="1">
        <f>BDD!C72</f>
        <v>0</v>
      </c>
      <c r="C69" s="1">
        <f>BDD!B72</f>
        <v>0</v>
      </c>
      <c r="D69" s="1">
        <f>BDD!A72</f>
        <v>0</v>
      </c>
      <c r="E69" s="1">
        <f>BDD!D72</f>
        <v>0</v>
      </c>
      <c r="F69" s="1">
        <f>BDD!F72</f>
        <v>0</v>
      </c>
      <c r="G69" s="25">
        <f>'ButsMPG + Var'!$I$39*IF(C69="A",COUNTIF(BDD!H72:AR72,10)*'ButsMPG + Var'!$K$12+COUNTIF(BDD!H72:AR72,9)*'ButsMPG + Var'!$K$11+COUNTIF(BDD!H72:AR72,8)*'ButsMPG + Var'!$K$10+COUNTIF(BDD!H72:AR72,7)*'ButsMPG + Var'!$K$9+COUNTIF(BDD!H72:AR72,6)*'ButsMPG + Var'!$K$8+COUNTIF(BDD!H72:AR72,5)*'ButsMPG + Var'!$K$7+COUNTIF(BDD!H72:AR72,4)*'ButsMPG + Var'!$K$6+COUNTIF(BDD!H72:AR72,3)*'ButsMPG + Var'!$K$5+COUNTIF(BDD!H72:AR72,2)*'ButsMPG + Var'!$K$4+COUNTIF(BDD!H72:AR72,1)*'ButsMPG + Var'!$K$3,IF(C69="M",COUNTIF(BDD!H72:AR72,10)*'ButsMPG + Var'!$K$22+COUNTIF(BDD!H72:AR72,9)*'ButsMPG + Var'!$K$21+COUNTIF(BDD!H72:AR72,8)*'ButsMPG + Var'!$K$20+COUNTIF(BDD!H72:AR72,7)*'ButsMPG + Var'!$K$19+COUNTIF(BDD!H72:AR72,6)*'ButsMPG + Var'!$K$18+COUNTIF(BDD!H72:AR72,5)*'ButsMPG + Var'!$K$17+COUNTIF(BDD!H72:AR72,4)*'ButsMPG + Var'!$K$16+COUNTIF(BDD!H72:AR72,3)*'ButsMPG + Var'!$K$15+COUNTIF(BDD!H72:AR72,2)*'ButsMPG + Var'!$K$14+COUNTIF(BDD!H72:AR72,1)*'ButsMPG + Var'!$K$13,IF(C69="D",COUNTIF(BDD!H72:AR72,10)*'ButsMPG + Var'!$K$32+COUNTIF(BDD!H72:AR72,9)*'ButsMPG + Var'!$K$31+COUNTIF(BDD!H72:AR72,8)*'ButsMPG + Var'!$K$30+COUNTIF(BDD!H72:AR72,7)*'ButsMPG + Var'!$K$29+COUNTIF(BDD!H72:AR72,6)*'ButsMPG + Var'!$K$28+COUNTIF(BDD!H72:AR72,5)*'ButsMPG + Var'!$K$27+COUNTIF(BDD!H72:AR72,4)*'ButsMPG + Var'!$K$26+COUNTIF(BDD!H72:AR72,3)*'ButsMPG + Var'!$K$25+COUNTIF(BDD!H72:AR72,2)*'ButsMPG + Var'!$K$24+COUNTIF(BDD!H72:AR72,1)*'ButsMPG + Var'!$K$23,0)))</f>
        <v>0</v>
      </c>
      <c r="H69" s="25">
        <f t="shared" si="2"/>
        <v>0</v>
      </c>
      <c r="I69" s="25">
        <f>BDD!G72</f>
        <v>0</v>
      </c>
      <c r="J69" s="25">
        <f>SUMPRODUCT(BDD!H72:AS72,'ButsMPG + Var'!$B$46:$AM$46)</f>
        <v>0</v>
      </c>
      <c r="K69" s="25" t="e">
        <f>10*('ButsMPG + Var'!$H$37*J69/MAX(J:J)+'ButsMPG + Var'!$G$37*H69/MAX(H:H))</f>
        <v>#DIV/0!</v>
      </c>
      <c r="L69" s="1">
        <f>IF(ISNA(VLOOKUP(B69,PrixMini!$B$3:$E$573,4,FALSE)),1,VLOOKUP(B69,PrixMini!$B$3:$E$573,4,FALSE))</f>
        <v>1</v>
      </c>
      <c r="M69" s="25" t="e">
        <f>IF(ROUND(CalculCotation!$D$3*EXP(CalculCotation!$C$3*K69)-CalculCotation!$D$3+1,0)&gt;L69,ROUND(CalculCotation!$D$3*EXP(CalculCotation!$C$3*K69)-CalculCotation!$D$3+1,0),L69)</f>
        <v>#DIV/0!</v>
      </c>
    </row>
    <row r="70" spans="2:13" x14ac:dyDescent="0.3">
      <c r="B70" s="1">
        <f>BDD!C73</f>
        <v>0</v>
      </c>
      <c r="C70" s="1">
        <f>BDD!B73</f>
        <v>0</v>
      </c>
      <c r="D70" s="1">
        <f>BDD!A73</f>
        <v>0</v>
      </c>
      <c r="E70" s="1">
        <f>BDD!D73</f>
        <v>0</v>
      </c>
      <c r="F70" s="1">
        <f>BDD!F73</f>
        <v>0</v>
      </c>
      <c r="G70" s="25">
        <f>'ButsMPG + Var'!$I$39*IF(C70="A",COUNTIF(BDD!H73:AR73,10)*'ButsMPG + Var'!$K$12+COUNTIF(BDD!H73:AR73,9)*'ButsMPG + Var'!$K$11+COUNTIF(BDD!H73:AR73,8)*'ButsMPG + Var'!$K$10+COUNTIF(BDD!H73:AR73,7)*'ButsMPG + Var'!$K$9+COUNTIF(BDD!H73:AR73,6)*'ButsMPG + Var'!$K$8+COUNTIF(BDD!H73:AR73,5)*'ButsMPG + Var'!$K$7+COUNTIF(BDD!H73:AR73,4)*'ButsMPG + Var'!$K$6+COUNTIF(BDD!H73:AR73,3)*'ButsMPG + Var'!$K$5+COUNTIF(BDD!H73:AR73,2)*'ButsMPG + Var'!$K$4+COUNTIF(BDD!H73:AR73,1)*'ButsMPG + Var'!$K$3,IF(C70="M",COUNTIF(BDD!H73:AR73,10)*'ButsMPG + Var'!$K$22+COUNTIF(BDD!H73:AR73,9)*'ButsMPG + Var'!$K$21+COUNTIF(BDD!H73:AR73,8)*'ButsMPG + Var'!$K$20+COUNTIF(BDD!H73:AR73,7)*'ButsMPG + Var'!$K$19+COUNTIF(BDD!H73:AR73,6)*'ButsMPG + Var'!$K$18+COUNTIF(BDD!H73:AR73,5)*'ButsMPG + Var'!$K$17+COUNTIF(BDD!H73:AR73,4)*'ButsMPG + Var'!$K$16+COUNTIF(BDD!H73:AR73,3)*'ButsMPG + Var'!$K$15+COUNTIF(BDD!H73:AR73,2)*'ButsMPG + Var'!$K$14+COUNTIF(BDD!H73:AR73,1)*'ButsMPG + Var'!$K$13,IF(C70="D",COUNTIF(BDD!H73:AR73,10)*'ButsMPG + Var'!$K$32+COUNTIF(BDD!H73:AR73,9)*'ButsMPG + Var'!$K$31+COUNTIF(BDD!H73:AR73,8)*'ButsMPG + Var'!$K$30+COUNTIF(BDD!H73:AR73,7)*'ButsMPG + Var'!$K$29+COUNTIF(BDD!H73:AR73,6)*'ButsMPG + Var'!$K$28+COUNTIF(BDD!H73:AR73,5)*'ButsMPG + Var'!$K$27+COUNTIF(BDD!H73:AR73,4)*'ButsMPG + Var'!$K$26+COUNTIF(BDD!H73:AR73,3)*'ButsMPG + Var'!$K$25+COUNTIF(BDD!H73:AR73,2)*'ButsMPG + Var'!$K$24+COUNTIF(BDD!H73:AR73,1)*'ButsMPG + Var'!$K$23,0)))</f>
        <v>0</v>
      </c>
      <c r="H70" s="25">
        <f t="shared" si="2"/>
        <v>0</v>
      </c>
      <c r="I70" s="25">
        <f>BDD!G73</f>
        <v>0</v>
      </c>
      <c r="J70" s="25">
        <f>SUMPRODUCT(BDD!H73:AS73,'ButsMPG + Var'!$B$46:$AM$46)</f>
        <v>0</v>
      </c>
      <c r="K70" s="25" t="e">
        <f>10*('ButsMPG + Var'!$H$37*J70/MAX(J:J)+'ButsMPG + Var'!$G$37*H70/MAX(H:H))</f>
        <v>#DIV/0!</v>
      </c>
      <c r="L70" s="1">
        <f>IF(ISNA(VLOOKUP(B70,PrixMini!$B$3:$E$573,4,FALSE)),1,VLOOKUP(B70,PrixMini!$B$3:$E$573,4,FALSE))</f>
        <v>1</v>
      </c>
      <c r="M70" s="25" t="e">
        <f>IF(ROUND(CalculCotation!$D$3*EXP(CalculCotation!$C$3*K70)-CalculCotation!$D$3+1,0)&gt;L70,ROUND(CalculCotation!$D$3*EXP(CalculCotation!$C$3*K70)-CalculCotation!$D$3+1,0),L70)</f>
        <v>#DIV/0!</v>
      </c>
    </row>
    <row r="71" spans="2:13" x14ac:dyDescent="0.3">
      <c r="B71" s="1">
        <f>BDD!C74</f>
        <v>0</v>
      </c>
      <c r="C71" s="1">
        <f>BDD!B74</f>
        <v>0</v>
      </c>
      <c r="D71" s="1">
        <f>BDD!A74</f>
        <v>0</v>
      </c>
      <c r="E71" s="1">
        <f>BDD!D74</f>
        <v>0</v>
      </c>
      <c r="F71" s="1">
        <f>BDD!F74</f>
        <v>0</v>
      </c>
      <c r="G71" s="25">
        <f>'ButsMPG + Var'!$I$39*IF(C71="A",COUNTIF(BDD!H74:AR74,10)*'ButsMPG + Var'!$K$12+COUNTIF(BDD!H74:AR74,9)*'ButsMPG + Var'!$K$11+COUNTIF(BDD!H74:AR74,8)*'ButsMPG + Var'!$K$10+COUNTIF(BDD!H74:AR74,7)*'ButsMPG + Var'!$K$9+COUNTIF(BDD!H74:AR74,6)*'ButsMPG + Var'!$K$8+COUNTIF(BDD!H74:AR74,5)*'ButsMPG + Var'!$K$7+COUNTIF(BDD!H74:AR74,4)*'ButsMPG + Var'!$K$6+COUNTIF(BDD!H74:AR74,3)*'ButsMPG + Var'!$K$5+COUNTIF(BDD!H74:AR74,2)*'ButsMPG + Var'!$K$4+COUNTIF(BDD!H74:AR74,1)*'ButsMPG + Var'!$K$3,IF(C71="M",COUNTIF(BDD!H74:AR74,10)*'ButsMPG + Var'!$K$22+COUNTIF(BDD!H74:AR74,9)*'ButsMPG + Var'!$K$21+COUNTIF(BDD!H74:AR74,8)*'ButsMPG + Var'!$K$20+COUNTIF(BDD!H74:AR74,7)*'ButsMPG + Var'!$K$19+COUNTIF(BDD!H74:AR74,6)*'ButsMPG + Var'!$K$18+COUNTIF(BDD!H74:AR74,5)*'ButsMPG + Var'!$K$17+COUNTIF(BDD!H74:AR74,4)*'ButsMPG + Var'!$K$16+COUNTIF(BDD!H74:AR74,3)*'ButsMPG + Var'!$K$15+COUNTIF(BDD!H74:AR74,2)*'ButsMPG + Var'!$K$14+COUNTIF(BDD!H74:AR74,1)*'ButsMPG + Var'!$K$13,IF(C71="D",COUNTIF(BDD!H74:AR74,10)*'ButsMPG + Var'!$K$32+COUNTIF(BDD!H74:AR74,9)*'ButsMPG + Var'!$K$31+COUNTIF(BDD!H74:AR74,8)*'ButsMPG + Var'!$K$30+COUNTIF(BDD!H74:AR74,7)*'ButsMPG + Var'!$K$29+COUNTIF(BDD!H74:AR74,6)*'ButsMPG + Var'!$K$28+COUNTIF(BDD!H74:AR74,5)*'ButsMPG + Var'!$K$27+COUNTIF(BDD!H74:AR74,4)*'ButsMPG + Var'!$K$26+COUNTIF(BDD!H74:AR74,3)*'ButsMPG + Var'!$K$25+COUNTIF(BDD!H74:AR74,2)*'ButsMPG + Var'!$K$24+COUNTIF(BDD!H74:AR74,1)*'ButsMPG + Var'!$K$23,0)))</f>
        <v>0</v>
      </c>
      <c r="H71" s="25">
        <f t="shared" si="2"/>
        <v>0</v>
      </c>
      <c r="I71" s="25">
        <f>BDD!G74</f>
        <v>0</v>
      </c>
      <c r="J71" s="25">
        <f>SUMPRODUCT(BDD!H74:AS74,'ButsMPG + Var'!$B$46:$AM$46)</f>
        <v>0</v>
      </c>
      <c r="K71" s="25" t="e">
        <f>10*('ButsMPG + Var'!$H$37*J71/MAX(J:J)+'ButsMPG + Var'!$G$37*H71/MAX(H:H))</f>
        <v>#DIV/0!</v>
      </c>
      <c r="L71" s="1">
        <f>IF(ISNA(VLOOKUP(B71,PrixMini!$B$3:$E$573,4,FALSE)),1,VLOOKUP(B71,PrixMini!$B$3:$E$573,4,FALSE))</f>
        <v>1</v>
      </c>
      <c r="M71" s="25" t="e">
        <f>IF(ROUND(CalculCotation!$D$3*EXP(CalculCotation!$C$3*K71)-CalculCotation!$D$3+1,0)&gt;L71,ROUND(CalculCotation!$D$3*EXP(CalculCotation!$C$3*K71)-CalculCotation!$D$3+1,0),L71)</f>
        <v>#DIV/0!</v>
      </c>
    </row>
    <row r="72" spans="2:13" x14ac:dyDescent="0.3">
      <c r="B72" s="1">
        <f>BDD!C75</f>
        <v>0</v>
      </c>
      <c r="C72" s="1">
        <f>BDD!B75</f>
        <v>0</v>
      </c>
      <c r="D72" s="1">
        <f>BDD!A75</f>
        <v>0</v>
      </c>
      <c r="E72" s="1">
        <f>BDD!D75</f>
        <v>0</v>
      </c>
      <c r="F72" s="1">
        <f>BDD!F75</f>
        <v>0</v>
      </c>
      <c r="G72" s="25">
        <f>'ButsMPG + Var'!$I$39*IF(C72="A",COUNTIF(BDD!H75:AR75,10)*'ButsMPG + Var'!$K$12+COUNTIF(BDD!H75:AR75,9)*'ButsMPG + Var'!$K$11+COUNTIF(BDD!H75:AR75,8)*'ButsMPG + Var'!$K$10+COUNTIF(BDD!H75:AR75,7)*'ButsMPG + Var'!$K$9+COUNTIF(BDD!H75:AR75,6)*'ButsMPG + Var'!$K$8+COUNTIF(BDD!H75:AR75,5)*'ButsMPG + Var'!$K$7+COUNTIF(BDD!H75:AR75,4)*'ButsMPG + Var'!$K$6+COUNTIF(BDD!H75:AR75,3)*'ButsMPG + Var'!$K$5+COUNTIF(BDD!H75:AR75,2)*'ButsMPG + Var'!$K$4+COUNTIF(BDD!H75:AR75,1)*'ButsMPG + Var'!$K$3,IF(C72="M",COUNTIF(BDD!H75:AR75,10)*'ButsMPG + Var'!$K$22+COUNTIF(BDD!H75:AR75,9)*'ButsMPG + Var'!$K$21+COUNTIF(BDD!H75:AR75,8)*'ButsMPG + Var'!$K$20+COUNTIF(BDD!H75:AR75,7)*'ButsMPG + Var'!$K$19+COUNTIF(BDD!H75:AR75,6)*'ButsMPG + Var'!$K$18+COUNTIF(BDD!H75:AR75,5)*'ButsMPG + Var'!$K$17+COUNTIF(BDD!H75:AR75,4)*'ButsMPG + Var'!$K$16+COUNTIF(BDD!H75:AR75,3)*'ButsMPG + Var'!$K$15+COUNTIF(BDD!H75:AR75,2)*'ButsMPG + Var'!$K$14+COUNTIF(BDD!H75:AR75,1)*'ButsMPG + Var'!$K$13,IF(C72="D",COUNTIF(BDD!H75:AR75,10)*'ButsMPG + Var'!$K$32+COUNTIF(BDD!H75:AR75,9)*'ButsMPG + Var'!$K$31+COUNTIF(BDD!H75:AR75,8)*'ButsMPG + Var'!$K$30+COUNTIF(BDD!H75:AR75,7)*'ButsMPG + Var'!$K$29+COUNTIF(BDD!H75:AR75,6)*'ButsMPG + Var'!$K$28+COUNTIF(BDD!H75:AR75,5)*'ButsMPG + Var'!$K$27+COUNTIF(BDD!H75:AR75,4)*'ButsMPG + Var'!$K$26+COUNTIF(BDD!H75:AR75,3)*'ButsMPG + Var'!$K$25+COUNTIF(BDD!H75:AR75,2)*'ButsMPG + Var'!$K$24+COUNTIF(BDD!H75:AR75,1)*'ButsMPG + Var'!$K$23,0)))</f>
        <v>0</v>
      </c>
      <c r="H72" s="25">
        <f t="shared" si="2"/>
        <v>0</v>
      </c>
      <c r="I72" s="25">
        <f>BDD!G75</f>
        <v>0</v>
      </c>
      <c r="J72" s="25">
        <f>SUMPRODUCT(BDD!H75:AS75,'ButsMPG + Var'!$B$46:$AM$46)</f>
        <v>0</v>
      </c>
      <c r="K72" s="25" t="e">
        <f>10*('ButsMPG + Var'!$H$37*J72/MAX(J:J)+'ButsMPG + Var'!$G$37*H72/MAX(H:H))</f>
        <v>#DIV/0!</v>
      </c>
      <c r="L72" s="1">
        <f>IF(ISNA(VLOOKUP(B72,PrixMini!$B$3:$E$573,4,FALSE)),1,VLOOKUP(B72,PrixMini!$B$3:$E$573,4,FALSE))</f>
        <v>1</v>
      </c>
      <c r="M72" s="25" t="e">
        <f>IF(ROUND(CalculCotation!$D$3*EXP(CalculCotation!$C$3*K72)-CalculCotation!$D$3+1,0)&gt;L72,ROUND(CalculCotation!$D$3*EXP(CalculCotation!$C$3*K72)-CalculCotation!$D$3+1,0),L72)</f>
        <v>#DIV/0!</v>
      </c>
    </row>
    <row r="73" spans="2:13" x14ac:dyDescent="0.3">
      <c r="B73" s="1">
        <f>BDD!C76</f>
        <v>0</v>
      </c>
      <c r="C73" s="1">
        <f>BDD!B76</f>
        <v>0</v>
      </c>
      <c r="D73" s="1">
        <f>BDD!A76</f>
        <v>0</v>
      </c>
      <c r="E73" s="1">
        <f>BDD!D76</f>
        <v>0</v>
      </c>
      <c r="F73" s="1">
        <f>BDD!F76</f>
        <v>0</v>
      </c>
      <c r="G73" s="25">
        <f>'ButsMPG + Var'!$I$39*IF(C73="A",COUNTIF(BDD!H76:AR76,10)*'ButsMPG + Var'!$K$12+COUNTIF(BDD!H76:AR76,9)*'ButsMPG + Var'!$K$11+COUNTIF(BDD!H76:AR76,8)*'ButsMPG + Var'!$K$10+COUNTIF(BDD!H76:AR76,7)*'ButsMPG + Var'!$K$9+COUNTIF(BDD!H76:AR76,6)*'ButsMPG + Var'!$K$8+COUNTIF(BDD!H76:AR76,5)*'ButsMPG + Var'!$K$7+COUNTIF(BDD!H76:AR76,4)*'ButsMPG + Var'!$K$6+COUNTIF(BDD!H76:AR76,3)*'ButsMPG + Var'!$K$5+COUNTIF(BDD!H76:AR76,2)*'ButsMPG + Var'!$K$4+COUNTIF(BDD!H76:AR76,1)*'ButsMPG + Var'!$K$3,IF(C73="M",COUNTIF(BDD!H76:AR76,10)*'ButsMPG + Var'!$K$22+COUNTIF(BDD!H76:AR76,9)*'ButsMPG + Var'!$K$21+COUNTIF(BDD!H76:AR76,8)*'ButsMPG + Var'!$K$20+COUNTIF(BDD!H76:AR76,7)*'ButsMPG + Var'!$K$19+COUNTIF(BDD!H76:AR76,6)*'ButsMPG + Var'!$K$18+COUNTIF(BDD!H76:AR76,5)*'ButsMPG + Var'!$K$17+COUNTIF(BDD!H76:AR76,4)*'ButsMPG + Var'!$K$16+COUNTIF(BDD!H76:AR76,3)*'ButsMPG + Var'!$K$15+COUNTIF(BDD!H76:AR76,2)*'ButsMPG + Var'!$K$14+COUNTIF(BDD!H76:AR76,1)*'ButsMPG + Var'!$K$13,IF(C73="D",COUNTIF(BDD!H76:AR76,10)*'ButsMPG + Var'!$K$32+COUNTIF(BDD!H76:AR76,9)*'ButsMPG + Var'!$K$31+COUNTIF(BDD!H76:AR76,8)*'ButsMPG + Var'!$K$30+COUNTIF(BDD!H76:AR76,7)*'ButsMPG + Var'!$K$29+COUNTIF(BDD!H76:AR76,6)*'ButsMPG + Var'!$K$28+COUNTIF(BDD!H76:AR76,5)*'ButsMPG + Var'!$K$27+COUNTIF(BDD!H76:AR76,4)*'ButsMPG + Var'!$K$26+COUNTIF(BDD!H76:AR76,3)*'ButsMPG + Var'!$K$25+COUNTIF(BDD!H76:AR76,2)*'ButsMPG + Var'!$K$24+COUNTIF(BDD!H76:AR76,1)*'ButsMPG + Var'!$K$23,0)))</f>
        <v>0</v>
      </c>
      <c r="H73" s="25">
        <f t="shared" si="2"/>
        <v>0</v>
      </c>
      <c r="I73" s="25">
        <f>BDD!G76</f>
        <v>0</v>
      </c>
      <c r="J73" s="25">
        <f>SUMPRODUCT(BDD!H76:AS76,'ButsMPG + Var'!$B$46:$AM$46)</f>
        <v>0</v>
      </c>
      <c r="K73" s="25" t="e">
        <f>10*('ButsMPG + Var'!$H$37*J73/MAX(J:J)+'ButsMPG + Var'!$G$37*H73/MAX(H:H))</f>
        <v>#DIV/0!</v>
      </c>
      <c r="L73" s="1">
        <f>IF(ISNA(VLOOKUP(B73,PrixMini!$B$3:$E$573,4,FALSE)),1,VLOOKUP(B73,PrixMini!$B$3:$E$573,4,FALSE))</f>
        <v>1</v>
      </c>
      <c r="M73" s="25" t="e">
        <f>IF(ROUND(CalculCotation!$D$3*EXP(CalculCotation!$C$3*K73)-CalculCotation!$D$3+1,0)&gt;L73,ROUND(CalculCotation!$D$3*EXP(CalculCotation!$C$3*K73)-CalculCotation!$D$3+1,0),L73)</f>
        <v>#DIV/0!</v>
      </c>
    </row>
    <row r="74" spans="2:13" x14ac:dyDescent="0.3">
      <c r="B74" s="1">
        <f>BDD!C77</f>
        <v>0</v>
      </c>
      <c r="C74" s="1">
        <f>BDD!B77</f>
        <v>0</v>
      </c>
      <c r="D74" s="1">
        <f>BDD!A77</f>
        <v>0</v>
      </c>
      <c r="E74" s="1">
        <f>BDD!D77</f>
        <v>0</v>
      </c>
      <c r="F74" s="1">
        <f>BDD!F77</f>
        <v>0</v>
      </c>
      <c r="G74" s="25">
        <f>'ButsMPG + Var'!$I$39*IF(C74="A",COUNTIF(BDD!H77:AR77,10)*'ButsMPG + Var'!$K$12+COUNTIF(BDD!H77:AR77,9)*'ButsMPG + Var'!$K$11+COUNTIF(BDD!H77:AR77,8)*'ButsMPG + Var'!$K$10+COUNTIF(BDD!H77:AR77,7)*'ButsMPG + Var'!$K$9+COUNTIF(BDD!H77:AR77,6)*'ButsMPG + Var'!$K$8+COUNTIF(BDD!H77:AR77,5)*'ButsMPG + Var'!$K$7+COUNTIF(BDD!H77:AR77,4)*'ButsMPG + Var'!$K$6+COUNTIF(BDD!H77:AR77,3)*'ButsMPG + Var'!$K$5+COUNTIF(BDD!H77:AR77,2)*'ButsMPG + Var'!$K$4+COUNTIF(BDD!H77:AR77,1)*'ButsMPG + Var'!$K$3,IF(C74="M",COUNTIF(BDD!H77:AR77,10)*'ButsMPG + Var'!$K$22+COUNTIF(BDD!H77:AR77,9)*'ButsMPG + Var'!$K$21+COUNTIF(BDD!H77:AR77,8)*'ButsMPG + Var'!$K$20+COUNTIF(BDD!H77:AR77,7)*'ButsMPG + Var'!$K$19+COUNTIF(BDD!H77:AR77,6)*'ButsMPG + Var'!$K$18+COUNTIF(BDD!H77:AR77,5)*'ButsMPG + Var'!$K$17+COUNTIF(BDD!H77:AR77,4)*'ButsMPG + Var'!$K$16+COUNTIF(BDD!H77:AR77,3)*'ButsMPG + Var'!$K$15+COUNTIF(BDD!H77:AR77,2)*'ButsMPG + Var'!$K$14+COUNTIF(BDD!H77:AR77,1)*'ButsMPG + Var'!$K$13,IF(C74="D",COUNTIF(BDD!H77:AR77,10)*'ButsMPG + Var'!$K$32+COUNTIF(BDD!H77:AR77,9)*'ButsMPG + Var'!$K$31+COUNTIF(BDD!H77:AR77,8)*'ButsMPG + Var'!$K$30+COUNTIF(BDD!H77:AR77,7)*'ButsMPG + Var'!$K$29+COUNTIF(BDD!H77:AR77,6)*'ButsMPG + Var'!$K$28+COUNTIF(BDD!H77:AR77,5)*'ButsMPG + Var'!$K$27+COUNTIF(BDD!H77:AR77,4)*'ButsMPG + Var'!$K$26+COUNTIF(BDD!H77:AR77,3)*'ButsMPG + Var'!$K$25+COUNTIF(BDD!H77:AR77,2)*'ButsMPG + Var'!$K$24+COUNTIF(BDD!H77:AR77,1)*'ButsMPG + Var'!$K$23,0)))</f>
        <v>0</v>
      </c>
      <c r="H74" s="25">
        <f t="shared" si="2"/>
        <v>0</v>
      </c>
      <c r="I74" s="25">
        <f>BDD!G77</f>
        <v>0</v>
      </c>
      <c r="J74" s="25">
        <f>SUMPRODUCT(BDD!H77:AS77,'ButsMPG + Var'!$B$46:$AM$46)</f>
        <v>0</v>
      </c>
      <c r="K74" s="25" t="e">
        <f>10*('ButsMPG + Var'!$H$37*J74/MAX(J:J)+'ButsMPG + Var'!$G$37*H74/MAX(H:H))</f>
        <v>#DIV/0!</v>
      </c>
      <c r="L74" s="1">
        <f>IF(ISNA(VLOOKUP(B74,PrixMini!$B$3:$E$573,4,FALSE)),1,VLOOKUP(B74,PrixMini!$B$3:$E$573,4,FALSE))</f>
        <v>1</v>
      </c>
      <c r="M74" s="25" t="e">
        <f>IF(ROUND(CalculCotation!$D$3*EXP(CalculCotation!$C$3*K74)-CalculCotation!$D$3+1,0)&gt;L74,ROUND(CalculCotation!$D$3*EXP(CalculCotation!$C$3*K74)-CalculCotation!$D$3+1,0),L74)</f>
        <v>#DIV/0!</v>
      </c>
    </row>
    <row r="75" spans="2:13" x14ac:dyDescent="0.3">
      <c r="B75" s="1">
        <f>BDD!C78</f>
        <v>0</v>
      </c>
      <c r="C75" s="1">
        <f>BDD!B78</f>
        <v>0</v>
      </c>
      <c r="D75" s="1">
        <f>BDD!A78</f>
        <v>0</v>
      </c>
      <c r="E75" s="1">
        <f>BDD!D78</f>
        <v>0</v>
      </c>
      <c r="F75" s="1">
        <f>BDD!F78</f>
        <v>0</v>
      </c>
      <c r="G75" s="25">
        <f>'ButsMPG + Var'!$I$39*IF(C75="A",COUNTIF(BDD!H78:AR78,10)*'ButsMPG + Var'!$K$12+COUNTIF(BDD!H78:AR78,9)*'ButsMPG + Var'!$K$11+COUNTIF(BDD!H78:AR78,8)*'ButsMPG + Var'!$K$10+COUNTIF(BDD!H78:AR78,7)*'ButsMPG + Var'!$K$9+COUNTIF(BDD!H78:AR78,6)*'ButsMPG + Var'!$K$8+COUNTIF(BDD!H78:AR78,5)*'ButsMPG + Var'!$K$7+COUNTIF(BDD!H78:AR78,4)*'ButsMPG + Var'!$K$6+COUNTIF(BDD!H78:AR78,3)*'ButsMPG + Var'!$K$5+COUNTIF(BDD!H78:AR78,2)*'ButsMPG + Var'!$K$4+COUNTIF(BDD!H78:AR78,1)*'ButsMPG + Var'!$K$3,IF(C75="M",COUNTIF(BDD!H78:AR78,10)*'ButsMPG + Var'!$K$22+COUNTIF(BDD!H78:AR78,9)*'ButsMPG + Var'!$K$21+COUNTIF(BDD!H78:AR78,8)*'ButsMPG + Var'!$K$20+COUNTIF(BDD!H78:AR78,7)*'ButsMPG + Var'!$K$19+COUNTIF(BDD!H78:AR78,6)*'ButsMPG + Var'!$K$18+COUNTIF(BDD!H78:AR78,5)*'ButsMPG + Var'!$K$17+COUNTIF(BDD!H78:AR78,4)*'ButsMPG + Var'!$K$16+COUNTIF(BDD!H78:AR78,3)*'ButsMPG + Var'!$K$15+COUNTIF(BDD!H78:AR78,2)*'ButsMPG + Var'!$K$14+COUNTIF(BDD!H78:AR78,1)*'ButsMPG + Var'!$K$13,IF(C75="D",COUNTIF(BDD!H78:AR78,10)*'ButsMPG + Var'!$K$32+COUNTIF(BDD!H78:AR78,9)*'ButsMPG + Var'!$K$31+COUNTIF(BDD!H78:AR78,8)*'ButsMPG + Var'!$K$30+COUNTIF(BDD!H78:AR78,7)*'ButsMPG + Var'!$K$29+COUNTIF(BDD!H78:AR78,6)*'ButsMPG + Var'!$K$28+COUNTIF(BDD!H78:AR78,5)*'ButsMPG + Var'!$K$27+COUNTIF(BDD!H78:AR78,4)*'ButsMPG + Var'!$K$26+COUNTIF(BDD!H78:AR78,3)*'ButsMPG + Var'!$K$25+COUNTIF(BDD!H78:AR78,2)*'ButsMPG + Var'!$K$24+COUNTIF(BDD!H78:AR78,1)*'ButsMPG + Var'!$K$23,0)))</f>
        <v>0</v>
      </c>
      <c r="H75" s="25">
        <f t="shared" si="2"/>
        <v>0</v>
      </c>
      <c r="I75" s="25">
        <f>BDD!G78</f>
        <v>0</v>
      </c>
      <c r="J75" s="25">
        <f>SUMPRODUCT(BDD!H78:AS78,'ButsMPG + Var'!$B$46:$AM$46)</f>
        <v>0</v>
      </c>
      <c r="K75" s="25" t="e">
        <f>10*('ButsMPG + Var'!$H$37*J75/MAX(J:J)+'ButsMPG + Var'!$G$37*H75/MAX(H:H))</f>
        <v>#DIV/0!</v>
      </c>
      <c r="L75" s="1">
        <f>IF(ISNA(VLOOKUP(B75,PrixMini!$B$3:$E$573,4,FALSE)),1,VLOOKUP(B75,PrixMini!$B$3:$E$573,4,FALSE))</f>
        <v>1</v>
      </c>
      <c r="M75" s="25" t="e">
        <f>IF(ROUND(CalculCotation!$D$3*EXP(CalculCotation!$C$3*K75)-CalculCotation!$D$3+1,0)&gt;L75,ROUND(CalculCotation!$D$3*EXP(CalculCotation!$C$3*K75)-CalculCotation!$D$3+1,0),L75)</f>
        <v>#DIV/0!</v>
      </c>
    </row>
    <row r="76" spans="2:13" x14ac:dyDescent="0.3">
      <c r="B76" s="1">
        <f>BDD!C79</f>
        <v>0</v>
      </c>
      <c r="C76" s="1">
        <f>BDD!B79</f>
        <v>0</v>
      </c>
      <c r="D76" s="1">
        <f>BDD!A79</f>
        <v>0</v>
      </c>
      <c r="E76" s="1">
        <f>BDD!D79</f>
        <v>0</v>
      </c>
      <c r="F76" s="1">
        <f>BDD!F79</f>
        <v>0</v>
      </c>
      <c r="G76" s="25">
        <f>'ButsMPG + Var'!$I$39*IF(C76="A",COUNTIF(BDD!H79:AR79,10)*'ButsMPG + Var'!$K$12+COUNTIF(BDD!H79:AR79,9)*'ButsMPG + Var'!$K$11+COUNTIF(BDD!H79:AR79,8)*'ButsMPG + Var'!$K$10+COUNTIF(BDD!H79:AR79,7)*'ButsMPG + Var'!$K$9+COUNTIF(BDD!H79:AR79,6)*'ButsMPG + Var'!$K$8+COUNTIF(BDD!H79:AR79,5)*'ButsMPG + Var'!$K$7+COUNTIF(BDD!H79:AR79,4)*'ButsMPG + Var'!$K$6+COUNTIF(BDD!H79:AR79,3)*'ButsMPG + Var'!$K$5+COUNTIF(BDD!H79:AR79,2)*'ButsMPG + Var'!$K$4+COUNTIF(BDD!H79:AR79,1)*'ButsMPG + Var'!$K$3,IF(C76="M",COUNTIF(BDD!H79:AR79,10)*'ButsMPG + Var'!$K$22+COUNTIF(BDD!H79:AR79,9)*'ButsMPG + Var'!$K$21+COUNTIF(BDD!H79:AR79,8)*'ButsMPG + Var'!$K$20+COUNTIF(BDD!H79:AR79,7)*'ButsMPG + Var'!$K$19+COUNTIF(BDD!H79:AR79,6)*'ButsMPG + Var'!$K$18+COUNTIF(BDD!H79:AR79,5)*'ButsMPG + Var'!$K$17+COUNTIF(BDD!H79:AR79,4)*'ButsMPG + Var'!$K$16+COUNTIF(BDD!H79:AR79,3)*'ButsMPG + Var'!$K$15+COUNTIF(BDD!H79:AR79,2)*'ButsMPG + Var'!$K$14+COUNTIF(BDD!H79:AR79,1)*'ButsMPG + Var'!$K$13,IF(C76="D",COUNTIF(BDD!H79:AR79,10)*'ButsMPG + Var'!$K$32+COUNTIF(BDD!H79:AR79,9)*'ButsMPG + Var'!$K$31+COUNTIF(BDD!H79:AR79,8)*'ButsMPG + Var'!$K$30+COUNTIF(BDD!H79:AR79,7)*'ButsMPG + Var'!$K$29+COUNTIF(BDD!H79:AR79,6)*'ButsMPG + Var'!$K$28+COUNTIF(BDD!H79:AR79,5)*'ButsMPG + Var'!$K$27+COUNTIF(BDD!H79:AR79,4)*'ButsMPG + Var'!$K$26+COUNTIF(BDD!H79:AR79,3)*'ButsMPG + Var'!$K$25+COUNTIF(BDD!H79:AR79,2)*'ButsMPG + Var'!$K$24+COUNTIF(BDD!H79:AR79,1)*'ButsMPG + Var'!$K$23,0)))</f>
        <v>0</v>
      </c>
      <c r="H76" s="25">
        <f t="shared" si="2"/>
        <v>0</v>
      </c>
      <c r="I76" s="25">
        <f>BDD!G79</f>
        <v>0</v>
      </c>
      <c r="J76" s="25">
        <f>SUMPRODUCT(BDD!H79:AS79,'ButsMPG + Var'!$B$46:$AM$46)</f>
        <v>0</v>
      </c>
      <c r="K76" s="25" t="e">
        <f>10*('ButsMPG + Var'!$H$37*J76/MAX(J:J)+'ButsMPG + Var'!$G$37*H76/MAX(H:H))</f>
        <v>#DIV/0!</v>
      </c>
      <c r="L76" s="1">
        <f>IF(ISNA(VLOOKUP(B76,PrixMini!$B$3:$E$573,4,FALSE)),1,VLOOKUP(B76,PrixMini!$B$3:$E$573,4,FALSE))</f>
        <v>1</v>
      </c>
      <c r="M76" s="25" t="e">
        <f>IF(ROUND(CalculCotation!$D$3*EXP(CalculCotation!$C$3*K76)-CalculCotation!$D$3+1,0)&gt;L76,ROUND(CalculCotation!$D$3*EXP(CalculCotation!$C$3*K76)-CalculCotation!$D$3+1,0),L76)</f>
        <v>#DIV/0!</v>
      </c>
    </row>
    <row r="77" spans="2:13" x14ac:dyDescent="0.3">
      <c r="B77" s="1">
        <f>BDD!C80</f>
        <v>0</v>
      </c>
      <c r="C77" s="1">
        <f>BDD!B80</f>
        <v>0</v>
      </c>
      <c r="D77" s="1">
        <f>BDD!A80</f>
        <v>0</v>
      </c>
      <c r="E77" s="1">
        <f>BDD!D80</f>
        <v>0</v>
      </c>
      <c r="F77" s="1">
        <f>BDD!F80</f>
        <v>0</v>
      </c>
      <c r="G77" s="25">
        <f>'ButsMPG + Var'!$I$39*IF(C77="A",COUNTIF(BDD!H80:AR80,10)*'ButsMPG + Var'!$K$12+COUNTIF(BDD!H80:AR80,9)*'ButsMPG + Var'!$K$11+COUNTIF(BDD!H80:AR80,8)*'ButsMPG + Var'!$K$10+COUNTIF(BDD!H80:AR80,7)*'ButsMPG + Var'!$K$9+COUNTIF(BDD!H80:AR80,6)*'ButsMPG + Var'!$K$8+COUNTIF(BDD!H80:AR80,5)*'ButsMPG + Var'!$K$7+COUNTIF(BDD!H80:AR80,4)*'ButsMPG + Var'!$K$6+COUNTIF(BDD!H80:AR80,3)*'ButsMPG + Var'!$K$5+COUNTIF(BDD!H80:AR80,2)*'ButsMPG + Var'!$K$4+COUNTIF(BDD!H80:AR80,1)*'ButsMPG + Var'!$K$3,IF(C77="M",COUNTIF(BDD!H80:AR80,10)*'ButsMPG + Var'!$K$22+COUNTIF(BDD!H80:AR80,9)*'ButsMPG + Var'!$K$21+COUNTIF(BDD!H80:AR80,8)*'ButsMPG + Var'!$K$20+COUNTIF(BDD!H80:AR80,7)*'ButsMPG + Var'!$K$19+COUNTIF(BDD!H80:AR80,6)*'ButsMPG + Var'!$K$18+COUNTIF(BDD!H80:AR80,5)*'ButsMPG + Var'!$K$17+COUNTIF(BDD!H80:AR80,4)*'ButsMPG + Var'!$K$16+COUNTIF(BDD!H80:AR80,3)*'ButsMPG + Var'!$K$15+COUNTIF(BDD!H80:AR80,2)*'ButsMPG + Var'!$K$14+COUNTIF(BDD!H80:AR80,1)*'ButsMPG + Var'!$K$13,IF(C77="D",COUNTIF(BDD!H80:AR80,10)*'ButsMPG + Var'!$K$32+COUNTIF(BDD!H80:AR80,9)*'ButsMPG + Var'!$K$31+COUNTIF(BDD!H80:AR80,8)*'ButsMPG + Var'!$K$30+COUNTIF(BDD!H80:AR80,7)*'ButsMPG + Var'!$K$29+COUNTIF(BDD!H80:AR80,6)*'ButsMPG + Var'!$K$28+COUNTIF(BDD!H80:AR80,5)*'ButsMPG + Var'!$K$27+COUNTIF(BDD!H80:AR80,4)*'ButsMPG + Var'!$K$26+COUNTIF(BDD!H80:AR80,3)*'ButsMPG + Var'!$K$25+COUNTIF(BDD!H80:AR80,2)*'ButsMPG + Var'!$K$24+COUNTIF(BDD!H80:AR80,1)*'ButsMPG + Var'!$K$23,0)))</f>
        <v>0</v>
      </c>
      <c r="H77" s="25">
        <f t="shared" si="2"/>
        <v>0</v>
      </c>
      <c r="I77" s="25">
        <f>BDD!G80</f>
        <v>0</v>
      </c>
      <c r="J77" s="25">
        <f>SUMPRODUCT(BDD!H80:AS80,'ButsMPG + Var'!$B$46:$AM$46)</f>
        <v>0</v>
      </c>
      <c r="K77" s="25" t="e">
        <f>10*('ButsMPG + Var'!$H$37*J77/MAX(J:J)+'ButsMPG + Var'!$G$37*H77/MAX(H:H))</f>
        <v>#DIV/0!</v>
      </c>
      <c r="L77" s="1">
        <f>IF(ISNA(VLOOKUP(B77,PrixMini!$B$3:$E$573,4,FALSE)),1,VLOOKUP(B77,PrixMini!$B$3:$E$573,4,FALSE))</f>
        <v>1</v>
      </c>
      <c r="M77" s="25" t="e">
        <f>IF(ROUND(CalculCotation!$D$3*EXP(CalculCotation!$C$3*K77)-CalculCotation!$D$3+1,0)&gt;L77,ROUND(CalculCotation!$D$3*EXP(CalculCotation!$C$3*K77)-CalculCotation!$D$3+1,0),L77)</f>
        <v>#DIV/0!</v>
      </c>
    </row>
    <row r="78" spans="2:13" x14ac:dyDescent="0.3">
      <c r="B78" s="1">
        <f>BDD!C81</f>
        <v>0</v>
      </c>
      <c r="C78" s="1">
        <f>BDD!B81</f>
        <v>0</v>
      </c>
      <c r="D78" s="1">
        <f>BDD!A81</f>
        <v>0</v>
      </c>
      <c r="E78" s="1">
        <f>BDD!D81</f>
        <v>0</v>
      </c>
      <c r="F78" s="1">
        <f>BDD!F81</f>
        <v>0</v>
      </c>
      <c r="G78" s="25">
        <f>'ButsMPG + Var'!$I$39*IF(C78="A",COUNTIF(BDD!H81:AR81,10)*'ButsMPG + Var'!$K$12+COUNTIF(BDD!H81:AR81,9)*'ButsMPG + Var'!$K$11+COUNTIF(BDD!H81:AR81,8)*'ButsMPG + Var'!$K$10+COUNTIF(BDD!H81:AR81,7)*'ButsMPG + Var'!$K$9+COUNTIF(BDD!H81:AR81,6)*'ButsMPG + Var'!$K$8+COUNTIF(BDD!H81:AR81,5)*'ButsMPG + Var'!$K$7+COUNTIF(BDD!H81:AR81,4)*'ButsMPG + Var'!$K$6+COUNTIF(BDD!H81:AR81,3)*'ButsMPG + Var'!$K$5+COUNTIF(BDD!H81:AR81,2)*'ButsMPG + Var'!$K$4+COUNTIF(BDD!H81:AR81,1)*'ButsMPG + Var'!$K$3,IF(C78="M",COUNTIF(BDD!H81:AR81,10)*'ButsMPG + Var'!$K$22+COUNTIF(BDD!H81:AR81,9)*'ButsMPG + Var'!$K$21+COUNTIF(BDD!H81:AR81,8)*'ButsMPG + Var'!$K$20+COUNTIF(BDD!H81:AR81,7)*'ButsMPG + Var'!$K$19+COUNTIF(BDD!H81:AR81,6)*'ButsMPG + Var'!$K$18+COUNTIF(BDD!H81:AR81,5)*'ButsMPG + Var'!$K$17+COUNTIF(BDD!H81:AR81,4)*'ButsMPG + Var'!$K$16+COUNTIF(BDD!H81:AR81,3)*'ButsMPG + Var'!$K$15+COUNTIF(BDD!H81:AR81,2)*'ButsMPG + Var'!$K$14+COUNTIF(BDD!H81:AR81,1)*'ButsMPG + Var'!$K$13,IF(C78="D",COUNTIF(BDD!H81:AR81,10)*'ButsMPG + Var'!$K$32+COUNTIF(BDD!H81:AR81,9)*'ButsMPG + Var'!$K$31+COUNTIF(BDD!H81:AR81,8)*'ButsMPG + Var'!$K$30+COUNTIF(BDD!H81:AR81,7)*'ButsMPG + Var'!$K$29+COUNTIF(BDD!H81:AR81,6)*'ButsMPG + Var'!$K$28+COUNTIF(BDD!H81:AR81,5)*'ButsMPG + Var'!$K$27+COUNTIF(BDD!H81:AR81,4)*'ButsMPG + Var'!$K$26+COUNTIF(BDD!H81:AR81,3)*'ButsMPG + Var'!$K$25+COUNTIF(BDD!H81:AR81,2)*'ButsMPG + Var'!$K$24+COUNTIF(BDD!H81:AR81,1)*'ButsMPG + Var'!$K$23,0)))</f>
        <v>0</v>
      </c>
      <c r="H78" s="25">
        <f t="shared" si="2"/>
        <v>0</v>
      </c>
      <c r="I78" s="25">
        <f>BDD!G81</f>
        <v>0</v>
      </c>
      <c r="J78" s="25">
        <f>SUMPRODUCT(BDD!H81:AS81,'ButsMPG + Var'!$B$46:$AM$46)</f>
        <v>0</v>
      </c>
      <c r="K78" s="25" t="e">
        <f>10*('ButsMPG + Var'!$H$37*J78/MAX(J:J)+'ButsMPG + Var'!$G$37*H78/MAX(H:H))</f>
        <v>#DIV/0!</v>
      </c>
      <c r="L78" s="1">
        <f>IF(ISNA(VLOOKUP(B78,PrixMini!$B$3:$E$573,4,FALSE)),1,VLOOKUP(B78,PrixMini!$B$3:$E$573,4,FALSE))</f>
        <v>1</v>
      </c>
      <c r="M78" s="25" t="e">
        <f>IF(ROUND(CalculCotation!$D$3*EXP(CalculCotation!$C$3*K78)-CalculCotation!$D$3+1,0)&gt;L78,ROUND(CalculCotation!$D$3*EXP(CalculCotation!$C$3*K78)-CalculCotation!$D$3+1,0),L78)</f>
        <v>#DIV/0!</v>
      </c>
    </row>
    <row r="79" spans="2:13" x14ac:dyDescent="0.3">
      <c r="B79" s="1">
        <f>BDD!C82</f>
        <v>0</v>
      </c>
      <c r="C79" s="1">
        <f>BDD!B82</f>
        <v>0</v>
      </c>
      <c r="D79" s="1">
        <f>BDD!A82</f>
        <v>0</v>
      </c>
      <c r="E79" s="1">
        <f>BDD!D82</f>
        <v>0</v>
      </c>
      <c r="F79" s="1">
        <f>BDD!F82</f>
        <v>0</v>
      </c>
      <c r="G79" s="25">
        <f>'ButsMPG + Var'!$I$39*IF(C79="A",COUNTIF(BDD!H82:AR82,10)*'ButsMPG + Var'!$K$12+COUNTIF(BDD!H82:AR82,9)*'ButsMPG + Var'!$K$11+COUNTIF(BDD!H82:AR82,8)*'ButsMPG + Var'!$K$10+COUNTIF(BDD!H82:AR82,7)*'ButsMPG + Var'!$K$9+COUNTIF(BDD!H82:AR82,6)*'ButsMPG + Var'!$K$8+COUNTIF(BDD!H82:AR82,5)*'ButsMPG + Var'!$K$7+COUNTIF(BDD!H82:AR82,4)*'ButsMPG + Var'!$K$6+COUNTIF(BDD!H82:AR82,3)*'ButsMPG + Var'!$K$5+COUNTIF(BDD!H82:AR82,2)*'ButsMPG + Var'!$K$4+COUNTIF(BDD!H82:AR82,1)*'ButsMPG + Var'!$K$3,IF(C79="M",COUNTIF(BDD!H82:AR82,10)*'ButsMPG + Var'!$K$22+COUNTIF(BDD!H82:AR82,9)*'ButsMPG + Var'!$K$21+COUNTIF(BDD!H82:AR82,8)*'ButsMPG + Var'!$K$20+COUNTIF(BDD!H82:AR82,7)*'ButsMPG + Var'!$K$19+COUNTIF(BDD!H82:AR82,6)*'ButsMPG + Var'!$K$18+COUNTIF(BDD!H82:AR82,5)*'ButsMPG + Var'!$K$17+COUNTIF(BDD!H82:AR82,4)*'ButsMPG + Var'!$K$16+COUNTIF(BDD!H82:AR82,3)*'ButsMPG + Var'!$K$15+COUNTIF(BDD!H82:AR82,2)*'ButsMPG + Var'!$K$14+COUNTIF(BDD!H82:AR82,1)*'ButsMPG + Var'!$K$13,IF(C79="D",COUNTIF(BDD!H82:AR82,10)*'ButsMPG + Var'!$K$32+COUNTIF(BDD!H82:AR82,9)*'ButsMPG + Var'!$K$31+COUNTIF(BDD!H82:AR82,8)*'ButsMPG + Var'!$K$30+COUNTIF(BDD!H82:AR82,7)*'ButsMPG + Var'!$K$29+COUNTIF(BDD!H82:AR82,6)*'ButsMPG + Var'!$K$28+COUNTIF(BDD!H82:AR82,5)*'ButsMPG + Var'!$K$27+COUNTIF(BDD!H82:AR82,4)*'ButsMPG + Var'!$K$26+COUNTIF(BDD!H82:AR82,3)*'ButsMPG + Var'!$K$25+COUNTIF(BDD!H82:AR82,2)*'ButsMPG + Var'!$K$24+COUNTIF(BDD!H82:AR82,1)*'ButsMPG + Var'!$K$23,0)))</f>
        <v>0</v>
      </c>
      <c r="H79" s="25">
        <f t="shared" si="2"/>
        <v>0</v>
      </c>
      <c r="I79" s="25">
        <f>BDD!G82</f>
        <v>0</v>
      </c>
      <c r="J79" s="25">
        <f>SUMPRODUCT(BDD!H82:AS82,'ButsMPG + Var'!$B$46:$AM$46)</f>
        <v>0</v>
      </c>
      <c r="K79" s="25" t="e">
        <f>10*('ButsMPG + Var'!$H$37*J79/MAX(J:J)+'ButsMPG + Var'!$G$37*H79/MAX(H:H))</f>
        <v>#DIV/0!</v>
      </c>
      <c r="L79" s="1">
        <f>IF(ISNA(VLOOKUP(B79,PrixMini!$B$3:$E$573,4,FALSE)),1,VLOOKUP(B79,PrixMini!$B$3:$E$573,4,FALSE))</f>
        <v>1</v>
      </c>
      <c r="M79" s="25" t="e">
        <f>IF(ROUND(CalculCotation!$D$3*EXP(CalculCotation!$C$3*K79)-CalculCotation!$D$3+1,0)&gt;L79,ROUND(CalculCotation!$D$3*EXP(CalculCotation!$C$3*K79)-CalculCotation!$D$3+1,0),L79)</f>
        <v>#DIV/0!</v>
      </c>
    </row>
    <row r="80" spans="2:13" x14ac:dyDescent="0.3">
      <c r="B80" s="1">
        <f>BDD!C83</f>
        <v>0</v>
      </c>
      <c r="C80" s="1">
        <f>BDD!B83</f>
        <v>0</v>
      </c>
      <c r="D80" s="1">
        <f>BDD!A83</f>
        <v>0</v>
      </c>
      <c r="E80" s="1">
        <f>BDD!D83</f>
        <v>0</v>
      </c>
      <c r="F80" s="1">
        <f>BDD!F83</f>
        <v>0</v>
      </c>
      <c r="G80" s="25">
        <f>'ButsMPG + Var'!$I$39*IF(C80="A",COUNTIF(BDD!H83:AR83,10)*'ButsMPG + Var'!$K$12+COUNTIF(BDD!H83:AR83,9)*'ButsMPG + Var'!$K$11+COUNTIF(BDD!H83:AR83,8)*'ButsMPG + Var'!$K$10+COUNTIF(BDD!H83:AR83,7)*'ButsMPG + Var'!$K$9+COUNTIF(BDD!H83:AR83,6)*'ButsMPG + Var'!$K$8+COUNTIF(BDD!H83:AR83,5)*'ButsMPG + Var'!$K$7+COUNTIF(BDD!H83:AR83,4)*'ButsMPG + Var'!$K$6+COUNTIF(BDD!H83:AR83,3)*'ButsMPG + Var'!$K$5+COUNTIF(BDD!H83:AR83,2)*'ButsMPG + Var'!$K$4+COUNTIF(BDD!H83:AR83,1)*'ButsMPG + Var'!$K$3,IF(C80="M",COUNTIF(BDD!H83:AR83,10)*'ButsMPG + Var'!$K$22+COUNTIF(BDD!H83:AR83,9)*'ButsMPG + Var'!$K$21+COUNTIF(BDD!H83:AR83,8)*'ButsMPG + Var'!$K$20+COUNTIF(BDD!H83:AR83,7)*'ButsMPG + Var'!$K$19+COUNTIF(BDD!H83:AR83,6)*'ButsMPG + Var'!$K$18+COUNTIF(BDD!H83:AR83,5)*'ButsMPG + Var'!$K$17+COUNTIF(BDD!H83:AR83,4)*'ButsMPG + Var'!$K$16+COUNTIF(BDD!H83:AR83,3)*'ButsMPG + Var'!$K$15+COUNTIF(BDD!H83:AR83,2)*'ButsMPG + Var'!$K$14+COUNTIF(BDD!H83:AR83,1)*'ButsMPG + Var'!$K$13,IF(C80="D",COUNTIF(BDD!H83:AR83,10)*'ButsMPG + Var'!$K$32+COUNTIF(BDD!H83:AR83,9)*'ButsMPG + Var'!$K$31+COUNTIF(BDD!H83:AR83,8)*'ButsMPG + Var'!$K$30+COUNTIF(BDD!H83:AR83,7)*'ButsMPG + Var'!$K$29+COUNTIF(BDD!H83:AR83,6)*'ButsMPG + Var'!$K$28+COUNTIF(BDD!H83:AR83,5)*'ButsMPG + Var'!$K$27+COUNTIF(BDD!H83:AR83,4)*'ButsMPG + Var'!$K$26+COUNTIF(BDD!H83:AR83,3)*'ButsMPG + Var'!$K$25+COUNTIF(BDD!H83:AR83,2)*'ButsMPG + Var'!$K$24+COUNTIF(BDD!H83:AR83,1)*'ButsMPG + Var'!$K$23,0)))</f>
        <v>0</v>
      </c>
      <c r="H80" s="25">
        <f t="shared" si="2"/>
        <v>0</v>
      </c>
      <c r="I80" s="25">
        <f>BDD!G83</f>
        <v>0</v>
      </c>
      <c r="J80" s="25">
        <f>SUMPRODUCT(BDD!H83:AS83,'ButsMPG + Var'!$B$46:$AM$46)</f>
        <v>0</v>
      </c>
      <c r="K80" s="25" t="e">
        <f>10*('ButsMPG + Var'!$H$37*J80/MAX(J:J)+'ButsMPG + Var'!$G$37*H80/MAX(H:H))</f>
        <v>#DIV/0!</v>
      </c>
      <c r="L80" s="1">
        <f>IF(ISNA(VLOOKUP(B80,PrixMini!$B$3:$E$573,4,FALSE)),1,VLOOKUP(B80,PrixMini!$B$3:$E$573,4,FALSE))</f>
        <v>1</v>
      </c>
      <c r="M80" s="25" t="e">
        <f>IF(ROUND(CalculCotation!$D$3*EXP(CalculCotation!$C$3*K80)-CalculCotation!$D$3+1,0)&gt;L80,ROUND(CalculCotation!$D$3*EXP(CalculCotation!$C$3*K80)-CalculCotation!$D$3+1,0),L80)</f>
        <v>#DIV/0!</v>
      </c>
    </row>
    <row r="81" spans="2:13" x14ac:dyDescent="0.3">
      <c r="B81" s="1">
        <f>BDD!C84</f>
        <v>0</v>
      </c>
      <c r="C81" s="1">
        <f>BDD!B84</f>
        <v>0</v>
      </c>
      <c r="D81" s="1">
        <f>BDD!A84</f>
        <v>0</v>
      </c>
      <c r="E81" s="1">
        <f>BDD!D84</f>
        <v>0</v>
      </c>
      <c r="F81" s="1">
        <f>BDD!F84</f>
        <v>0</v>
      </c>
      <c r="G81" s="25">
        <f>'ButsMPG + Var'!$I$39*IF(C81="A",COUNTIF(BDD!H84:AR84,10)*'ButsMPG + Var'!$K$12+COUNTIF(BDD!H84:AR84,9)*'ButsMPG + Var'!$K$11+COUNTIF(BDD!H84:AR84,8)*'ButsMPG + Var'!$K$10+COUNTIF(BDD!H84:AR84,7)*'ButsMPG + Var'!$K$9+COUNTIF(BDD!H84:AR84,6)*'ButsMPG + Var'!$K$8+COUNTIF(BDD!H84:AR84,5)*'ButsMPG + Var'!$K$7+COUNTIF(BDD!H84:AR84,4)*'ButsMPG + Var'!$K$6+COUNTIF(BDD!H84:AR84,3)*'ButsMPG + Var'!$K$5+COUNTIF(BDD!H84:AR84,2)*'ButsMPG + Var'!$K$4+COUNTIF(BDD!H84:AR84,1)*'ButsMPG + Var'!$K$3,IF(C81="M",COUNTIF(BDD!H84:AR84,10)*'ButsMPG + Var'!$K$22+COUNTIF(BDD!H84:AR84,9)*'ButsMPG + Var'!$K$21+COUNTIF(BDD!H84:AR84,8)*'ButsMPG + Var'!$K$20+COUNTIF(BDD!H84:AR84,7)*'ButsMPG + Var'!$K$19+COUNTIF(BDD!H84:AR84,6)*'ButsMPG + Var'!$K$18+COUNTIF(BDD!H84:AR84,5)*'ButsMPG + Var'!$K$17+COUNTIF(BDD!H84:AR84,4)*'ButsMPG + Var'!$K$16+COUNTIF(BDD!H84:AR84,3)*'ButsMPG + Var'!$K$15+COUNTIF(BDD!H84:AR84,2)*'ButsMPG + Var'!$K$14+COUNTIF(BDD!H84:AR84,1)*'ButsMPG + Var'!$K$13,IF(C81="D",COUNTIF(BDD!H84:AR84,10)*'ButsMPG + Var'!$K$32+COUNTIF(BDD!H84:AR84,9)*'ButsMPG + Var'!$K$31+COUNTIF(BDD!H84:AR84,8)*'ButsMPG + Var'!$K$30+COUNTIF(BDD!H84:AR84,7)*'ButsMPG + Var'!$K$29+COUNTIF(BDD!H84:AR84,6)*'ButsMPG + Var'!$K$28+COUNTIF(BDD!H84:AR84,5)*'ButsMPG + Var'!$K$27+COUNTIF(BDD!H84:AR84,4)*'ButsMPG + Var'!$K$26+COUNTIF(BDD!H84:AR84,3)*'ButsMPG + Var'!$K$25+COUNTIF(BDD!H84:AR84,2)*'ButsMPG + Var'!$K$24+COUNTIF(BDD!H84:AR84,1)*'ButsMPG + Var'!$K$23,0)))</f>
        <v>0</v>
      </c>
      <c r="H81" s="25">
        <f t="shared" si="2"/>
        <v>0</v>
      </c>
      <c r="I81" s="25">
        <f>BDD!G84</f>
        <v>0</v>
      </c>
      <c r="J81" s="25">
        <f>SUMPRODUCT(BDD!H84:AS84,'ButsMPG + Var'!$B$46:$AM$46)</f>
        <v>0</v>
      </c>
      <c r="K81" s="25" t="e">
        <f>10*('ButsMPG + Var'!$H$37*J81/MAX(J:J)+'ButsMPG + Var'!$G$37*H81/MAX(H:H))</f>
        <v>#DIV/0!</v>
      </c>
      <c r="L81" s="1">
        <f>IF(ISNA(VLOOKUP(B81,PrixMini!$B$3:$E$573,4,FALSE)),1,VLOOKUP(B81,PrixMini!$B$3:$E$573,4,FALSE))</f>
        <v>1</v>
      </c>
      <c r="M81" s="25" t="e">
        <f>IF(ROUND(CalculCotation!$D$3*EXP(CalculCotation!$C$3*K81)-CalculCotation!$D$3+1,0)&gt;L81,ROUND(CalculCotation!$D$3*EXP(CalculCotation!$C$3*K81)-CalculCotation!$D$3+1,0),L81)</f>
        <v>#DIV/0!</v>
      </c>
    </row>
    <row r="82" spans="2:13" x14ac:dyDescent="0.3">
      <c r="B82" s="1">
        <f>BDD!C85</f>
        <v>0</v>
      </c>
      <c r="C82" s="1">
        <f>BDD!B85</f>
        <v>0</v>
      </c>
      <c r="D82" s="1">
        <f>BDD!A85</f>
        <v>0</v>
      </c>
      <c r="E82" s="1">
        <f>BDD!D85</f>
        <v>0</v>
      </c>
      <c r="F82" s="1">
        <f>BDD!F85</f>
        <v>0</v>
      </c>
      <c r="G82" s="25">
        <f>'ButsMPG + Var'!$I$39*IF(C82="A",COUNTIF(BDD!H85:AR85,10)*'ButsMPG + Var'!$K$12+COUNTIF(BDD!H85:AR85,9)*'ButsMPG + Var'!$K$11+COUNTIF(BDD!H85:AR85,8)*'ButsMPG + Var'!$K$10+COUNTIF(BDD!H85:AR85,7)*'ButsMPG + Var'!$K$9+COUNTIF(BDD!H85:AR85,6)*'ButsMPG + Var'!$K$8+COUNTIF(BDD!H85:AR85,5)*'ButsMPG + Var'!$K$7+COUNTIF(BDD!H85:AR85,4)*'ButsMPG + Var'!$K$6+COUNTIF(BDD!H85:AR85,3)*'ButsMPG + Var'!$K$5+COUNTIF(BDD!H85:AR85,2)*'ButsMPG + Var'!$K$4+COUNTIF(BDD!H85:AR85,1)*'ButsMPG + Var'!$K$3,IF(C82="M",COUNTIF(BDD!H85:AR85,10)*'ButsMPG + Var'!$K$22+COUNTIF(BDD!H85:AR85,9)*'ButsMPG + Var'!$K$21+COUNTIF(BDD!H85:AR85,8)*'ButsMPG + Var'!$K$20+COUNTIF(BDD!H85:AR85,7)*'ButsMPG + Var'!$K$19+COUNTIF(BDD!H85:AR85,6)*'ButsMPG + Var'!$K$18+COUNTIF(BDD!H85:AR85,5)*'ButsMPG + Var'!$K$17+COUNTIF(BDD!H85:AR85,4)*'ButsMPG + Var'!$K$16+COUNTIF(BDD!H85:AR85,3)*'ButsMPG + Var'!$K$15+COUNTIF(BDD!H85:AR85,2)*'ButsMPG + Var'!$K$14+COUNTIF(BDD!H85:AR85,1)*'ButsMPG + Var'!$K$13,IF(C82="D",COUNTIF(BDD!H85:AR85,10)*'ButsMPG + Var'!$K$32+COUNTIF(BDD!H85:AR85,9)*'ButsMPG + Var'!$K$31+COUNTIF(BDD!H85:AR85,8)*'ButsMPG + Var'!$K$30+COUNTIF(BDD!H85:AR85,7)*'ButsMPG + Var'!$K$29+COUNTIF(BDD!H85:AR85,6)*'ButsMPG + Var'!$K$28+COUNTIF(BDD!H85:AR85,5)*'ButsMPG + Var'!$K$27+COUNTIF(BDD!H85:AR85,4)*'ButsMPG + Var'!$K$26+COUNTIF(BDD!H85:AR85,3)*'ButsMPG + Var'!$K$25+COUNTIF(BDD!H85:AR85,2)*'ButsMPG + Var'!$K$24+COUNTIF(BDD!H85:AR85,1)*'ButsMPG + Var'!$K$23,0)))</f>
        <v>0</v>
      </c>
      <c r="H82" s="25">
        <f t="shared" si="2"/>
        <v>0</v>
      </c>
      <c r="I82" s="25">
        <f>BDD!G85</f>
        <v>0</v>
      </c>
      <c r="J82" s="25">
        <f>SUMPRODUCT(BDD!H85:AS85,'ButsMPG + Var'!$B$46:$AM$46)</f>
        <v>0</v>
      </c>
      <c r="K82" s="25" t="e">
        <f>10*('ButsMPG + Var'!$H$37*J82/MAX(J:J)+'ButsMPG + Var'!$G$37*H82/MAX(H:H))</f>
        <v>#DIV/0!</v>
      </c>
      <c r="L82" s="1">
        <f>IF(ISNA(VLOOKUP(B82,PrixMini!$B$3:$E$573,4,FALSE)),1,VLOOKUP(B82,PrixMini!$B$3:$E$573,4,FALSE))</f>
        <v>1</v>
      </c>
      <c r="M82" s="25" t="e">
        <f>IF(ROUND(CalculCotation!$D$3*EXP(CalculCotation!$C$3*K82)-CalculCotation!$D$3+1,0)&gt;L82,ROUND(CalculCotation!$D$3*EXP(CalculCotation!$C$3*K82)-CalculCotation!$D$3+1,0),L82)</f>
        <v>#DIV/0!</v>
      </c>
    </row>
    <row r="83" spans="2:13" x14ac:dyDescent="0.3">
      <c r="B83" s="1">
        <f>BDD!C86</f>
        <v>0</v>
      </c>
      <c r="C83" s="1">
        <f>BDD!B86</f>
        <v>0</v>
      </c>
      <c r="D83" s="1">
        <f>BDD!A86</f>
        <v>0</v>
      </c>
      <c r="E83" s="1">
        <f>BDD!D86</f>
        <v>0</v>
      </c>
      <c r="F83" s="1">
        <f>BDD!F86</f>
        <v>0</v>
      </c>
      <c r="G83" s="25">
        <f>'ButsMPG + Var'!$I$39*IF(C83="A",COUNTIF(BDD!H86:AR86,10)*'ButsMPG + Var'!$K$12+COUNTIF(BDD!H86:AR86,9)*'ButsMPG + Var'!$K$11+COUNTIF(BDD!H86:AR86,8)*'ButsMPG + Var'!$K$10+COUNTIF(BDD!H86:AR86,7)*'ButsMPG + Var'!$K$9+COUNTIF(BDD!H86:AR86,6)*'ButsMPG + Var'!$K$8+COUNTIF(BDD!H86:AR86,5)*'ButsMPG + Var'!$K$7+COUNTIF(BDD!H86:AR86,4)*'ButsMPG + Var'!$K$6+COUNTIF(BDD!H86:AR86,3)*'ButsMPG + Var'!$K$5+COUNTIF(BDD!H86:AR86,2)*'ButsMPG + Var'!$K$4+COUNTIF(BDD!H86:AR86,1)*'ButsMPG + Var'!$K$3,IF(C83="M",COUNTIF(BDD!H86:AR86,10)*'ButsMPG + Var'!$K$22+COUNTIF(BDD!H86:AR86,9)*'ButsMPG + Var'!$K$21+COUNTIF(BDD!H86:AR86,8)*'ButsMPG + Var'!$K$20+COUNTIF(BDD!H86:AR86,7)*'ButsMPG + Var'!$K$19+COUNTIF(BDD!H86:AR86,6)*'ButsMPG + Var'!$K$18+COUNTIF(BDD!H86:AR86,5)*'ButsMPG + Var'!$K$17+COUNTIF(BDD!H86:AR86,4)*'ButsMPG + Var'!$K$16+COUNTIF(BDD!H86:AR86,3)*'ButsMPG + Var'!$K$15+COUNTIF(BDD!H86:AR86,2)*'ButsMPG + Var'!$K$14+COUNTIF(BDD!H86:AR86,1)*'ButsMPG + Var'!$K$13,IF(C83="D",COUNTIF(BDD!H86:AR86,10)*'ButsMPG + Var'!$K$32+COUNTIF(BDD!H86:AR86,9)*'ButsMPG + Var'!$K$31+COUNTIF(BDD!H86:AR86,8)*'ButsMPG + Var'!$K$30+COUNTIF(BDD!H86:AR86,7)*'ButsMPG + Var'!$K$29+COUNTIF(BDD!H86:AR86,6)*'ButsMPG + Var'!$K$28+COUNTIF(BDD!H86:AR86,5)*'ButsMPG + Var'!$K$27+COUNTIF(BDD!H86:AR86,4)*'ButsMPG + Var'!$K$26+COUNTIF(BDD!H86:AR86,3)*'ButsMPG + Var'!$K$25+COUNTIF(BDD!H86:AR86,2)*'ButsMPG + Var'!$K$24+COUNTIF(BDD!H86:AR86,1)*'ButsMPG + Var'!$K$23,0)))</f>
        <v>0</v>
      </c>
      <c r="H83" s="25">
        <f t="shared" si="2"/>
        <v>0</v>
      </c>
      <c r="I83" s="25">
        <f>BDD!G86</f>
        <v>0</v>
      </c>
      <c r="J83" s="25">
        <f>SUMPRODUCT(BDD!H86:AS86,'ButsMPG + Var'!$B$46:$AM$46)</f>
        <v>0</v>
      </c>
      <c r="K83" s="25" t="e">
        <f>10*('ButsMPG + Var'!$H$37*J83/MAX(J:J)+'ButsMPG + Var'!$G$37*H83/MAX(H:H))</f>
        <v>#DIV/0!</v>
      </c>
      <c r="L83" s="1">
        <f>IF(ISNA(VLOOKUP(B83,PrixMini!$B$3:$E$573,4,FALSE)),1,VLOOKUP(B83,PrixMini!$B$3:$E$573,4,FALSE))</f>
        <v>1</v>
      </c>
      <c r="M83" s="25" t="e">
        <f>IF(ROUND(CalculCotation!$D$3*EXP(CalculCotation!$C$3*K83)-CalculCotation!$D$3+1,0)&gt;L83,ROUND(CalculCotation!$D$3*EXP(CalculCotation!$C$3*K83)-CalculCotation!$D$3+1,0),L83)</f>
        <v>#DIV/0!</v>
      </c>
    </row>
    <row r="84" spans="2:13" x14ac:dyDescent="0.3">
      <c r="B84" s="1">
        <f>BDD!C87</f>
        <v>0</v>
      </c>
      <c r="C84" s="1">
        <f>BDD!B87</f>
        <v>0</v>
      </c>
      <c r="D84" s="1">
        <f>BDD!A87</f>
        <v>0</v>
      </c>
      <c r="E84" s="1">
        <f>BDD!D87</f>
        <v>0</v>
      </c>
      <c r="F84" s="1">
        <f>BDD!F87</f>
        <v>0</v>
      </c>
      <c r="G84" s="25">
        <f>'ButsMPG + Var'!$I$39*IF(C84="A",COUNTIF(BDD!H87:AR87,10)*'ButsMPG + Var'!$K$12+COUNTIF(BDD!H87:AR87,9)*'ButsMPG + Var'!$K$11+COUNTIF(BDD!H87:AR87,8)*'ButsMPG + Var'!$K$10+COUNTIF(BDD!H87:AR87,7)*'ButsMPG + Var'!$K$9+COUNTIF(BDD!H87:AR87,6)*'ButsMPG + Var'!$K$8+COUNTIF(BDD!H87:AR87,5)*'ButsMPG + Var'!$K$7+COUNTIF(BDD!H87:AR87,4)*'ButsMPG + Var'!$K$6+COUNTIF(BDD!H87:AR87,3)*'ButsMPG + Var'!$K$5+COUNTIF(BDD!H87:AR87,2)*'ButsMPG + Var'!$K$4+COUNTIF(BDD!H87:AR87,1)*'ButsMPG + Var'!$K$3,IF(C84="M",COUNTIF(BDD!H87:AR87,10)*'ButsMPG + Var'!$K$22+COUNTIF(BDD!H87:AR87,9)*'ButsMPG + Var'!$K$21+COUNTIF(BDD!H87:AR87,8)*'ButsMPG + Var'!$K$20+COUNTIF(BDD!H87:AR87,7)*'ButsMPG + Var'!$K$19+COUNTIF(BDD!H87:AR87,6)*'ButsMPG + Var'!$K$18+COUNTIF(BDD!H87:AR87,5)*'ButsMPG + Var'!$K$17+COUNTIF(BDD!H87:AR87,4)*'ButsMPG + Var'!$K$16+COUNTIF(BDD!H87:AR87,3)*'ButsMPG + Var'!$K$15+COUNTIF(BDD!H87:AR87,2)*'ButsMPG + Var'!$K$14+COUNTIF(BDD!H87:AR87,1)*'ButsMPG + Var'!$K$13,IF(C84="D",COUNTIF(BDD!H87:AR87,10)*'ButsMPG + Var'!$K$32+COUNTIF(BDD!H87:AR87,9)*'ButsMPG + Var'!$K$31+COUNTIF(BDD!H87:AR87,8)*'ButsMPG + Var'!$K$30+COUNTIF(BDD!H87:AR87,7)*'ButsMPG + Var'!$K$29+COUNTIF(BDD!H87:AR87,6)*'ButsMPG + Var'!$K$28+COUNTIF(BDD!H87:AR87,5)*'ButsMPG + Var'!$K$27+COUNTIF(BDD!H87:AR87,4)*'ButsMPG + Var'!$K$26+COUNTIF(BDD!H87:AR87,3)*'ButsMPG + Var'!$K$25+COUNTIF(BDD!H87:AR87,2)*'ButsMPG + Var'!$K$24+COUNTIF(BDD!H87:AR87,1)*'ButsMPG + Var'!$K$23,0)))</f>
        <v>0</v>
      </c>
      <c r="H84" s="25">
        <f t="shared" si="2"/>
        <v>0</v>
      </c>
      <c r="I84" s="25">
        <f>BDD!G87</f>
        <v>0</v>
      </c>
      <c r="J84" s="25">
        <f>SUMPRODUCT(BDD!H87:AS87,'ButsMPG + Var'!$B$46:$AM$46)</f>
        <v>0</v>
      </c>
      <c r="K84" s="25" t="e">
        <f>10*('ButsMPG + Var'!$H$37*J84/MAX(J:J)+'ButsMPG + Var'!$G$37*H84/MAX(H:H))</f>
        <v>#DIV/0!</v>
      </c>
      <c r="L84" s="1">
        <f>IF(ISNA(VLOOKUP(B84,PrixMini!$B$3:$E$573,4,FALSE)),1,VLOOKUP(B84,PrixMini!$B$3:$E$573,4,FALSE))</f>
        <v>1</v>
      </c>
      <c r="M84" s="25" t="e">
        <f>IF(ROUND(CalculCotation!$D$3*EXP(CalculCotation!$C$3*K84)-CalculCotation!$D$3+1,0)&gt;L84,ROUND(CalculCotation!$D$3*EXP(CalculCotation!$C$3*K84)-CalculCotation!$D$3+1,0),L84)</f>
        <v>#DIV/0!</v>
      </c>
    </row>
    <row r="85" spans="2:13" x14ac:dyDescent="0.3">
      <c r="B85" s="1">
        <f>BDD!C88</f>
        <v>0</v>
      </c>
      <c r="C85" s="1">
        <f>BDD!B88</f>
        <v>0</v>
      </c>
      <c r="D85" s="1">
        <f>BDD!A88</f>
        <v>0</v>
      </c>
      <c r="E85" s="1">
        <f>BDD!D88</f>
        <v>0</v>
      </c>
      <c r="F85" s="1">
        <f>BDD!F88</f>
        <v>0</v>
      </c>
      <c r="G85" s="25">
        <f>'ButsMPG + Var'!$I$39*IF(C85="A",COUNTIF(BDD!H88:AR88,10)*'ButsMPG + Var'!$K$12+COUNTIF(BDD!H88:AR88,9)*'ButsMPG + Var'!$K$11+COUNTIF(BDD!H88:AR88,8)*'ButsMPG + Var'!$K$10+COUNTIF(BDD!H88:AR88,7)*'ButsMPG + Var'!$K$9+COUNTIF(BDD!H88:AR88,6)*'ButsMPG + Var'!$K$8+COUNTIF(BDD!H88:AR88,5)*'ButsMPG + Var'!$K$7+COUNTIF(BDD!H88:AR88,4)*'ButsMPG + Var'!$K$6+COUNTIF(BDD!H88:AR88,3)*'ButsMPG + Var'!$K$5+COUNTIF(BDD!H88:AR88,2)*'ButsMPG + Var'!$K$4+COUNTIF(BDD!H88:AR88,1)*'ButsMPG + Var'!$K$3,IF(C85="M",COUNTIF(BDD!H88:AR88,10)*'ButsMPG + Var'!$K$22+COUNTIF(BDD!H88:AR88,9)*'ButsMPG + Var'!$K$21+COUNTIF(BDD!H88:AR88,8)*'ButsMPG + Var'!$K$20+COUNTIF(BDD!H88:AR88,7)*'ButsMPG + Var'!$K$19+COUNTIF(BDD!H88:AR88,6)*'ButsMPG + Var'!$K$18+COUNTIF(BDD!H88:AR88,5)*'ButsMPG + Var'!$K$17+COUNTIF(BDD!H88:AR88,4)*'ButsMPG + Var'!$K$16+COUNTIF(BDD!H88:AR88,3)*'ButsMPG + Var'!$K$15+COUNTIF(BDD!H88:AR88,2)*'ButsMPG + Var'!$K$14+COUNTIF(BDD!H88:AR88,1)*'ButsMPG + Var'!$K$13,IF(C85="D",COUNTIF(BDD!H88:AR88,10)*'ButsMPG + Var'!$K$32+COUNTIF(BDD!H88:AR88,9)*'ButsMPG + Var'!$K$31+COUNTIF(BDD!H88:AR88,8)*'ButsMPG + Var'!$K$30+COUNTIF(BDD!H88:AR88,7)*'ButsMPG + Var'!$K$29+COUNTIF(BDD!H88:AR88,6)*'ButsMPG + Var'!$K$28+COUNTIF(BDD!H88:AR88,5)*'ButsMPG + Var'!$K$27+COUNTIF(BDD!H88:AR88,4)*'ButsMPG + Var'!$K$26+COUNTIF(BDD!H88:AR88,3)*'ButsMPG + Var'!$K$25+COUNTIF(BDD!H88:AR88,2)*'ButsMPG + Var'!$K$24+COUNTIF(BDD!H88:AR88,1)*'ButsMPG + Var'!$K$23,0)))</f>
        <v>0</v>
      </c>
      <c r="H85" s="25">
        <f t="shared" si="2"/>
        <v>0</v>
      </c>
      <c r="I85" s="25">
        <f>BDD!G88</f>
        <v>0</v>
      </c>
      <c r="J85" s="25">
        <f>SUMPRODUCT(BDD!H88:AS88,'ButsMPG + Var'!$B$46:$AM$46)</f>
        <v>0</v>
      </c>
      <c r="K85" s="25" t="e">
        <f>10*('ButsMPG + Var'!$H$37*J85/MAX(J:J)+'ButsMPG + Var'!$G$37*H85/MAX(H:H))</f>
        <v>#DIV/0!</v>
      </c>
      <c r="L85" s="1">
        <f>IF(ISNA(VLOOKUP(B85,PrixMini!$B$3:$E$573,4,FALSE)),1,VLOOKUP(B85,PrixMini!$B$3:$E$573,4,FALSE))</f>
        <v>1</v>
      </c>
      <c r="M85" s="25" t="e">
        <f>IF(ROUND(CalculCotation!$D$3*EXP(CalculCotation!$C$3*K85)-CalculCotation!$D$3+1,0)&gt;L85,ROUND(CalculCotation!$D$3*EXP(CalculCotation!$C$3*K85)-CalculCotation!$D$3+1,0),L85)</f>
        <v>#DIV/0!</v>
      </c>
    </row>
    <row r="86" spans="2:13" x14ac:dyDescent="0.3">
      <c r="B86" s="1">
        <f>BDD!C89</f>
        <v>0</v>
      </c>
      <c r="C86" s="1">
        <f>BDD!B89</f>
        <v>0</v>
      </c>
      <c r="D86" s="1">
        <f>BDD!A89</f>
        <v>0</v>
      </c>
      <c r="E86" s="1">
        <f>BDD!D89</f>
        <v>0</v>
      </c>
      <c r="F86" s="1">
        <f>BDD!F89</f>
        <v>0</v>
      </c>
      <c r="G86" s="25">
        <f>'ButsMPG + Var'!$I$39*IF(C86="A",COUNTIF(BDD!H89:AR89,10)*'ButsMPG + Var'!$K$12+COUNTIF(BDD!H89:AR89,9)*'ButsMPG + Var'!$K$11+COUNTIF(BDD!H89:AR89,8)*'ButsMPG + Var'!$K$10+COUNTIF(BDD!H89:AR89,7)*'ButsMPG + Var'!$K$9+COUNTIF(BDD!H89:AR89,6)*'ButsMPG + Var'!$K$8+COUNTIF(BDD!H89:AR89,5)*'ButsMPG + Var'!$K$7+COUNTIF(BDD!H89:AR89,4)*'ButsMPG + Var'!$K$6+COUNTIF(BDD!H89:AR89,3)*'ButsMPG + Var'!$K$5+COUNTIF(BDD!H89:AR89,2)*'ButsMPG + Var'!$K$4+COUNTIF(BDD!H89:AR89,1)*'ButsMPG + Var'!$K$3,IF(C86="M",COUNTIF(BDD!H89:AR89,10)*'ButsMPG + Var'!$K$22+COUNTIF(BDD!H89:AR89,9)*'ButsMPG + Var'!$K$21+COUNTIF(BDD!H89:AR89,8)*'ButsMPG + Var'!$K$20+COUNTIF(BDD!H89:AR89,7)*'ButsMPG + Var'!$K$19+COUNTIF(BDD!H89:AR89,6)*'ButsMPG + Var'!$K$18+COUNTIF(BDD!H89:AR89,5)*'ButsMPG + Var'!$K$17+COUNTIF(BDD!H89:AR89,4)*'ButsMPG + Var'!$K$16+COUNTIF(BDD!H89:AR89,3)*'ButsMPG + Var'!$K$15+COUNTIF(BDD!H89:AR89,2)*'ButsMPG + Var'!$K$14+COUNTIF(BDD!H89:AR89,1)*'ButsMPG + Var'!$K$13,IF(C86="D",COUNTIF(BDD!H89:AR89,10)*'ButsMPG + Var'!$K$32+COUNTIF(BDD!H89:AR89,9)*'ButsMPG + Var'!$K$31+COUNTIF(BDD!H89:AR89,8)*'ButsMPG + Var'!$K$30+COUNTIF(BDD!H89:AR89,7)*'ButsMPG + Var'!$K$29+COUNTIF(BDD!H89:AR89,6)*'ButsMPG + Var'!$K$28+COUNTIF(BDD!H89:AR89,5)*'ButsMPG + Var'!$K$27+COUNTIF(BDD!H89:AR89,4)*'ButsMPG + Var'!$K$26+COUNTIF(BDD!H89:AR89,3)*'ButsMPG + Var'!$K$25+COUNTIF(BDD!H89:AR89,2)*'ButsMPG + Var'!$K$24+COUNTIF(BDD!H89:AR89,1)*'ButsMPG + Var'!$K$23,0)))</f>
        <v>0</v>
      </c>
      <c r="H86" s="25">
        <f t="shared" si="2"/>
        <v>0</v>
      </c>
      <c r="I86" s="25">
        <f>BDD!G89</f>
        <v>0</v>
      </c>
      <c r="J86" s="25">
        <f>SUMPRODUCT(BDD!H89:AS89,'ButsMPG + Var'!$B$46:$AM$46)</f>
        <v>0</v>
      </c>
      <c r="K86" s="25" t="e">
        <f>10*('ButsMPG + Var'!$H$37*J86/MAX(J:J)+'ButsMPG + Var'!$G$37*H86/MAX(H:H))</f>
        <v>#DIV/0!</v>
      </c>
      <c r="L86" s="1">
        <f>IF(ISNA(VLOOKUP(B86,PrixMini!$B$3:$E$573,4,FALSE)),1,VLOOKUP(B86,PrixMini!$B$3:$E$573,4,FALSE))</f>
        <v>1</v>
      </c>
      <c r="M86" s="25" t="e">
        <f>IF(ROUND(CalculCotation!$D$3*EXP(CalculCotation!$C$3*K86)-CalculCotation!$D$3+1,0)&gt;L86,ROUND(CalculCotation!$D$3*EXP(CalculCotation!$C$3*K86)-CalculCotation!$D$3+1,0),L86)</f>
        <v>#DIV/0!</v>
      </c>
    </row>
    <row r="87" spans="2:13" x14ac:dyDescent="0.3">
      <c r="B87" s="1">
        <f>BDD!C90</f>
        <v>0</v>
      </c>
      <c r="C87" s="1">
        <f>BDD!B90</f>
        <v>0</v>
      </c>
      <c r="D87" s="1">
        <f>BDD!A90</f>
        <v>0</v>
      </c>
      <c r="E87" s="1">
        <f>BDD!D90</f>
        <v>0</v>
      </c>
      <c r="F87" s="1">
        <f>BDD!F90</f>
        <v>0</v>
      </c>
      <c r="G87" s="25">
        <f>'ButsMPG + Var'!$I$39*IF(C87="A",COUNTIF(BDD!H90:AR90,10)*'ButsMPG + Var'!$K$12+COUNTIF(BDD!H90:AR90,9)*'ButsMPG + Var'!$K$11+COUNTIF(BDD!H90:AR90,8)*'ButsMPG + Var'!$K$10+COUNTIF(BDD!H90:AR90,7)*'ButsMPG + Var'!$K$9+COUNTIF(BDD!H90:AR90,6)*'ButsMPG + Var'!$K$8+COUNTIF(BDD!H90:AR90,5)*'ButsMPG + Var'!$K$7+COUNTIF(BDD!H90:AR90,4)*'ButsMPG + Var'!$K$6+COUNTIF(BDD!H90:AR90,3)*'ButsMPG + Var'!$K$5+COUNTIF(BDD!H90:AR90,2)*'ButsMPG + Var'!$K$4+COUNTIF(BDD!H90:AR90,1)*'ButsMPG + Var'!$K$3,IF(C87="M",COUNTIF(BDD!H90:AR90,10)*'ButsMPG + Var'!$K$22+COUNTIF(BDD!H90:AR90,9)*'ButsMPG + Var'!$K$21+COUNTIF(BDD!H90:AR90,8)*'ButsMPG + Var'!$K$20+COUNTIF(BDD!H90:AR90,7)*'ButsMPG + Var'!$K$19+COUNTIF(BDD!H90:AR90,6)*'ButsMPG + Var'!$K$18+COUNTIF(BDD!H90:AR90,5)*'ButsMPG + Var'!$K$17+COUNTIF(BDD!H90:AR90,4)*'ButsMPG + Var'!$K$16+COUNTIF(BDD!H90:AR90,3)*'ButsMPG + Var'!$K$15+COUNTIF(BDD!H90:AR90,2)*'ButsMPG + Var'!$K$14+COUNTIF(BDD!H90:AR90,1)*'ButsMPG + Var'!$K$13,IF(C87="D",COUNTIF(BDD!H90:AR90,10)*'ButsMPG + Var'!$K$32+COUNTIF(BDD!H90:AR90,9)*'ButsMPG + Var'!$K$31+COUNTIF(BDD!H90:AR90,8)*'ButsMPG + Var'!$K$30+COUNTIF(BDD!H90:AR90,7)*'ButsMPG + Var'!$K$29+COUNTIF(BDD!H90:AR90,6)*'ButsMPG + Var'!$K$28+COUNTIF(BDD!H90:AR90,5)*'ButsMPG + Var'!$K$27+COUNTIF(BDD!H90:AR90,4)*'ButsMPG + Var'!$K$26+COUNTIF(BDD!H90:AR90,3)*'ButsMPG + Var'!$K$25+COUNTIF(BDD!H90:AR90,2)*'ButsMPG + Var'!$K$24+COUNTIF(BDD!H90:AR90,1)*'ButsMPG + Var'!$K$23,0)))</f>
        <v>0</v>
      </c>
      <c r="H87" s="25">
        <f t="shared" si="2"/>
        <v>0</v>
      </c>
      <c r="I87" s="25">
        <f>BDD!G90</f>
        <v>0</v>
      </c>
      <c r="J87" s="25">
        <f>SUMPRODUCT(BDD!H90:AS90,'ButsMPG + Var'!$B$46:$AM$46)</f>
        <v>0</v>
      </c>
      <c r="K87" s="25" t="e">
        <f>10*('ButsMPG + Var'!$H$37*J87/MAX(J:J)+'ButsMPG + Var'!$G$37*H87/MAX(H:H))</f>
        <v>#DIV/0!</v>
      </c>
      <c r="L87" s="1">
        <f>IF(ISNA(VLOOKUP(B87,PrixMini!$B$3:$E$573,4,FALSE)),1,VLOOKUP(B87,PrixMini!$B$3:$E$573,4,FALSE))</f>
        <v>1</v>
      </c>
      <c r="M87" s="25" t="e">
        <f>IF(ROUND(CalculCotation!$D$3*EXP(CalculCotation!$C$3*K87)-CalculCotation!$D$3+1,0)&gt;L87,ROUND(CalculCotation!$D$3*EXP(CalculCotation!$C$3*K87)-CalculCotation!$D$3+1,0),L87)</f>
        <v>#DIV/0!</v>
      </c>
    </row>
    <row r="88" spans="2:13" x14ac:dyDescent="0.3">
      <c r="B88" s="1">
        <f>BDD!C91</f>
        <v>0</v>
      </c>
      <c r="C88" s="1">
        <f>BDD!B91</f>
        <v>0</v>
      </c>
      <c r="D88" s="1">
        <f>BDD!A91</f>
        <v>0</v>
      </c>
      <c r="E88" s="1">
        <f>BDD!D91</f>
        <v>0</v>
      </c>
      <c r="F88" s="1">
        <f>BDD!F91</f>
        <v>0</v>
      </c>
      <c r="G88" s="25">
        <f>'ButsMPG + Var'!$I$39*IF(C88="A",COUNTIF(BDD!H91:AR91,10)*'ButsMPG + Var'!$K$12+COUNTIF(BDD!H91:AR91,9)*'ButsMPG + Var'!$K$11+COUNTIF(BDD!H91:AR91,8)*'ButsMPG + Var'!$K$10+COUNTIF(BDD!H91:AR91,7)*'ButsMPG + Var'!$K$9+COUNTIF(BDD!H91:AR91,6)*'ButsMPG + Var'!$K$8+COUNTIF(BDD!H91:AR91,5)*'ButsMPG + Var'!$K$7+COUNTIF(BDD!H91:AR91,4)*'ButsMPG + Var'!$K$6+COUNTIF(BDD!H91:AR91,3)*'ButsMPG + Var'!$K$5+COUNTIF(BDD!H91:AR91,2)*'ButsMPG + Var'!$K$4+COUNTIF(BDD!H91:AR91,1)*'ButsMPG + Var'!$K$3,IF(C88="M",COUNTIF(BDD!H91:AR91,10)*'ButsMPG + Var'!$K$22+COUNTIF(BDD!H91:AR91,9)*'ButsMPG + Var'!$K$21+COUNTIF(BDD!H91:AR91,8)*'ButsMPG + Var'!$K$20+COUNTIF(BDD!H91:AR91,7)*'ButsMPG + Var'!$K$19+COUNTIF(BDD!H91:AR91,6)*'ButsMPG + Var'!$K$18+COUNTIF(BDD!H91:AR91,5)*'ButsMPG + Var'!$K$17+COUNTIF(BDD!H91:AR91,4)*'ButsMPG + Var'!$K$16+COUNTIF(BDD!H91:AR91,3)*'ButsMPG + Var'!$K$15+COUNTIF(BDD!H91:AR91,2)*'ButsMPG + Var'!$K$14+COUNTIF(BDD!H91:AR91,1)*'ButsMPG + Var'!$K$13,IF(C88="D",COUNTIF(BDD!H91:AR91,10)*'ButsMPG + Var'!$K$32+COUNTIF(BDD!H91:AR91,9)*'ButsMPG + Var'!$K$31+COUNTIF(BDD!H91:AR91,8)*'ButsMPG + Var'!$K$30+COUNTIF(BDD!H91:AR91,7)*'ButsMPG + Var'!$K$29+COUNTIF(BDD!H91:AR91,6)*'ButsMPG + Var'!$K$28+COUNTIF(BDD!H91:AR91,5)*'ButsMPG + Var'!$K$27+COUNTIF(BDD!H91:AR91,4)*'ButsMPG + Var'!$K$26+COUNTIF(BDD!H91:AR91,3)*'ButsMPG + Var'!$K$25+COUNTIF(BDD!H91:AR91,2)*'ButsMPG + Var'!$K$24+COUNTIF(BDD!H91:AR91,1)*'ButsMPG + Var'!$K$23,0)))</f>
        <v>0</v>
      </c>
      <c r="H88" s="25">
        <f t="shared" si="2"/>
        <v>0</v>
      </c>
      <c r="I88" s="25">
        <f>BDD!G91</f>
        <v>0</v>
      </c>
      <c r="J88" s="25">
        <f>SUMPRODUCT(BDD!H91:AS91,'ButsMPG + Var'!$B$46:$AM$46)</f>
        <v>0</v>
      </c>
      <c r="K88" s="25" t="e">
        <f>10*('ButsMPG + Var'!$H$37*J88/MAX(J:J)+'ButsMPG + Var'!$G$37*H88/MAX(H:H))</f>
        <v>#DIV/0!</v>
      </c>
      <c r="L88" s="1">
        <f>IF(ISNA(VLOOKUP(B88,PrixMini!$B$3:$E$573,4,FALSE)),1,VLOOKUP(B88,PrixMini!$B$3:$E$573,4,FALSE))</f>
        <v>1</v>
      </c>
      <c r="M88" s="25" t="e">
        <f>IF(ROUND(CalculCotation!$D$3*EXP(CalculCotation!$C$3*K88)-CalculCotation!$D$3+1,0)&gt;L88,ROUND(CalculCotation!$D$3*EXP(CalculCotation!$C$3*K88)-CalculCotation!$D$3+1,0),L88)</f>
        <v>#DIV/0!</v>
      </c>
    </row>
    <row r="89" spans="2:13" x14ac:dyDescent="0.3">
      <c r="B89" s="1">
        <f>BDD!C92</f>
        <v>0</v>
      </c>
      <c r="C89" s="1">
        <f>BDD!B92</f>
        <v>0</v>
      </c>
      <c r="D89" s="1">
        <f>BDD!A92</f>
        <v>0</v>
      </c>
      <c r="E89" s="1">
        <f>BDD!D92</f>
        <v>0</v>
      </c>
      <c r="F89" s="1">
        <f>BDD!F92</f>
        <v>0</v>
      </c>
      <c r="G89" s="25">
        <f>'ButsMPG + Var'!$I$39*IF(C89="A",COUNTIF(BDD!H92:AR92,10)*'ButsMPG + Var'!$K$12+COUNTIF(BDD!H92:AR92,9)*'ButsMPG + Var'!$K$11+COUNTIF(BDD!H92:AR92,8)*'ButsMPG + Var'!$K$10+COUNTIF(BDD!H92:AR92,7)*'ButsMPG + Var'!$K$9+COUNTIF(BDD!H92:AR92,6)*'ButsMPG + Var'!$K$8+COUNTIF(BDD!H92:AR92,5)*'ButsMPG + Var'!$K$7+COUNTIF(BDD!H92:AR92,4)*'ButsMPG + Var'!$K$6+COUNTIF(BDD!H92:AR92,3)*'ButsMPG + Var'!$K$5+COUNTIF(BDD!H92:AR92,2)*'ButsMPG + Var'!$K$4+COUNTIF(BDD!H92:AR92,1)*'ButsMPG + Var'!$K$3,IF(C89="M",COUNTIF(BDD!H92:AR92,10)*'ButsMPG + Var'!$K$22+COUNTIF(BDD!H92:AR92,9)*'ButsMPG + Var'!$K$21+COUNTIF(BDD!H92:AR92,8)*'ButsMPG + Var'!$K$20+COUNTIF(BDD!H92:AR92,7)*'ButsMPG + Var'!$K$19+COUNTIF(BDD!H92:AR92,6)*'ButsMPG + Var'!$K$18+COUNTIF(BDD!H92:AR92,5)*'ButsMPG + Var'!$K$17+COUNTIF(BDD!H92:AR92,4)*'ButsMPG + Var'!$K$16+COUNTIF(BDD!H92:AR92,3)*'ButsMPG + Var'!$K$15+COUNTIF(BDD!H92:AR92,2)*'ButsMPG + Var'!$K$14+COUNTIF(BDD!H92:AR92,1)*'ButsMPG + Var'!$K$13,IF(C89="D",COUNTIF(BDD!H92:AR92,10)*'ButsMPG + Var'!$K$32+COUNTIF(BDD!H92:AR92,9)*'ButsMPG + Var'!$K$31+COUNTIF(BDD!H92:AR92,8)*'ButsMPG + Var'!$K$30+COUNTIF(BDD!H92:AR92,7)*'ButsMPG + Var'!$K$29+COUNTIF(BDD!H92:AR92,6)*'ButsMPG + Var'!$K$28+COUNTIF(BDD!H92:AR92,5)*'ButsMPG + Var'!$K$27+COUNTIF(BDD!H92:AR92,4)*'ButsMPG + Var'!$K$26+COUNTIF(BDD!H92:AR92,3)*'ButsMPG + Var'!$K$25+COUNTIF(BDD!H92:AR92,2)*'ButsMPG + Var'!$K$24+COUNTIF(BDD!H92:AR92,1)*'ButsMPG + Var'!$K$23,0)))</f>
        <v>0</v>
      </c>
      <c r="H89" s="25">
        <f t="shared" si="2"/>
        <v>0</v>
      </c>
      <c r="I89" s="25">
        <f>BDD!G92</f>
        <v>0</v>
      </c>
      <c r="J89" s="25">
        <f>SUMPRODUCT(BDD!H92:AS92,'ButsMPG + Var'!$B$46:$AM$46)</f>
        <v>0</v>
      </c>
      <c r="K89" s="25" t="e">
        <f>10*('ButsMPG + Var'!$H$37*J89/MAX(J:J)+'ButsMPG + Var'!$G$37*H89/MAX(H:H))</f>
        <v>#DIV/0!</v>
      </c>
      <c r="L89" s="1">
        <f>IF(ISNA(VLOOKUP(B89,PrixMini!$B$3:$E$573,4,FALSE)),1,VLOOKUP(B89,PrixMini!$B$3:$E$573,4,FALSE))</f>
        <v>1</v>
      </c>
      <c r="M89" s="25" t="e">
        <f>IF(ROUND(CalculCotation!$D$3*EXP(CalculCotation!$C$3*K89)-CalculCotation!$D$3+1,0)&gt;L89,ROUND(CalculCotation!$D$3*EXP(CalculCotation!$C$3*K89)-CalculCotation!$D$3+1,0),L89)</f>
        <v>#DIV/0!</v>
      </c>
    </row>
    <row r="90" spans="2:13" x14ac:dyDescent="0.3">
      <c r="B90" s="1">
        <f>BDD!C93</f>
        <v>0</v>
      </c>
      <c r="C90" s="1">
        <f>BDD!B93</f>
        <v>0</v>
      </c>
      <c r="D90" s="1">
        <f>BDD!A93</f>
        <v>0</v>
      </c>
      <c r="E90" s="1">
        <f>BDD!D93</f>
        <v>0</v>
      </c>
      <c r="F90" s="1">
        <f>BDD!F93</f>
        <v>0</v>
      </c>
      <c r="G90" s="25">
        <f>'ButsMPG + Var'!$I$39*IF(C90="A",COUNTIF(BDD!H93:AR93,10)*'ButsMPG + Var'!$K$12+COUNTIF(BDD!H93:AR93,9)*'ButsMPG + Var'!$K$11+COUNTIF(BDD!H93:AR93,8)*'ButsMPG + Var'!$K$10+COUNTIF(BDD!H93:AR93,7)*'ButsMPG + Var'!$K$9+COUNTIF(BDD!H93:AR93,6)*'ButsMPG + Var'!$K$8+COUNTIF(BDD!H93:AR93,5)*'ButsMPG + Var'!$K$7+COUNTIF(BDD!H93:AR93,4)*'ButsMPG + Var'!$K$6+COUNTIF(BDD!H93:AR93,3)*'ButsMPG + Var'!$K$5+COUNTIF(BDD!H93:AR93,2)*'ButsMPG + Var'!$K$4+COUNTIF(BDD!H93:AR93,1)*'ButsMPG + Var'!$K$3,IF(C90="M",COUNTIF(BDD!H93:AR93,10)*'ButsMPG + Var'!$K$22+COUNTIF(BDD!H93:AR93,9)*'ButsMPG + Var'!$K$21+COUNTIF(BDD!H93:AR93,8)*'ButsMPG + Var'!$K$20+COUNTIF(BDD!H93:AR93,7)*'ButsMPG + Var'!$K$19+COUNTIF(BDD!H93:AR93,6)*'ButsMPG + Var'!$K$18+COUNTIF(BDD!H93:AR93,5)*'ButsMPG + Var'!$K$17+COUNTIF(BDD!H93:AR93,4)*'ButsMPG + Var'!$K$16+COUNTIF(BDD!H93:AR93,3)*'ButsMPG + Var'!$K$15+COUNTIF(BDD!H93:AR93,2)*'ButsMPG + Var'!$K$14+COUNTIF(BDD!H93:AR93,1)*'ButsMPG + Var'!$K$13,IF(C90="D",COUNTIF(BDD!H93:AR93,10)*'ButsMPG + Var'!$K$32+COUNTIF(BDD!H93:AR93,9)*'ButsMPG + Var'!$K$31+COUNTIF(BDD!H93:AR93,8)*'ButsMPG + Var'!$K$30+COUNTIF(BDD!H93:AR93,7)*'ButsMPG + Var'!$K$29+COUNTIF(BDD!H93:AR93,6)*'ButsMPG + Var'!$K$28+COUNTIF(BDD!H93:AR93,5)*'ButsMPG + Var'!$K$27+COUNTIF(BDD!H93:AR93,4)*'ButsMPG + Var'!$K$26+COUNTIF(BDD!H93:AR93,3)*'ButsMPG + Var'!$K$25+COUNTIF(BDD!H93:AR93,2)*'ButsMPG + Var'!$K$24+COUNTIF(BDD!H93:AR93,1)*'ButsMPG + Var'!$K$23,0)))</f>
        <v>0</v>
      </c>
      <c r="H90" s="25">
        <f t="shared" si="2"/>
        <v>0</v>
      </c>
      <c r="I90" s="25">
        <f>BDD!G93</f>
        <v>0</v>
      </c>
      <c r="J90" s="25">
        <f>SUMPRODUCT(BDD!H93:AS93,'ButsMPG + Var'!$B$46:$AM$46)</f>
        <v>0</v>
      </c>
      <c r="K90" s="25" t="e">
        <f>10*('ButsMPG + Var'!$H$37*J90/MAX(J:J)+'ButsMPG + Var'!$G$37*H90/MAX(H:H))</f>
        <v>#DIV/0!</v>
      </c>
      <c r="L90" s="1">
        <f>IF(ISNA(VLOOKUP(B90,PrixMini!$B$3:$E$573,4,FALSE)),1,VLOOKUP(B90,PrixMini!$B$3:$E$573,4,FALSE))</f>
        <v>1</v>
      </c>
      <c r="M90" s="25" t="e">
        <f>IF(ROUND(CalculCotation!$D$3*EXP(CalculCotation!$C$3*K90)-CalculCotation!$D$3+1,0)&gt;L90,ROUND(CalculCotation!$D$3*EXP(CalculCotation!$C$3*K90)-CalculCotation!$D$3+1,0),L90)</f>
        <v>#DIV/0!</v>
      </c>
    </row>
    <row r="91" spans="2:13" x14ac:dyDescent="0.3">
      <c r="B91" s="1">
        <f>BDD!C94</f>
        <v>0</v>
      </c>
      <c r="C91" s="1">
        <f>BDD!B94</f>
        <v>0</v>
      </c>
      <c r="D91" s="1">
        <f>BDD!A94</f>
        <v>0</v>
      </c>
      <c r="E91" s="1">
        <f>BDD!D94</f>
        <v>0</v>
      </c>
      <c r="F91" s="1">
        <f>BDD!F94</f>
        <v>0</v>
      </c>
      <c r="G91" s="25">
        <f>'ButsMPG + Var'!$I$39*IF(C91="A",COUNTIF(BDD!H94:AR94,10)*'ButsMPG + Var'!$K$12+COUNTIF(BDD!H94:AR94,9)*'ButsMPG + Var'!$K$11+COUNTIF(BDD!H94:AR94,8)*'ButsMPG + Var'!$K$10+COUNTIF(BDD!H94:AR94,7)*'ButsMPG + Var'!$K$9+COUNTIF(BDD!H94:AR94,6)*'ButsMPG + Var'!$K$8+COUNTIF(BDD!H94:AR94,5)*'ButsMPG + Var'!$K$7+COUNTIF(BDD!H94:AR94,4)*'ButsMPG + Var'!$K$6+COUNTIF(BDD!H94:AR94,3)*'ButsMPG + Var'!$K$5+COUNTIF(BDD!H94:AR94,2)*'ButsMPG + Var'!$K$4+COUNTIF(BDD!H94:AR94,1)*'ButsMPG + Var'!$K$3,IF(C91="M",COUNTIF(BDD!H94:AR94,10)*'ButsMPG + Var'!$K$22+COUNTIF(BDD!H94:AR94,9)*'ButsMPG + Var'!$K$21+COUNTIF(BDD!H94:AR94,8)*'ButsMPG + Var'!$K$20+COUNTIF(BDD!H94:AR94,7)*'ButsMPG + Var'!$K$19+COUNTIF(BDD!H94:AR94,6)*'ButsMPG + Var'!$K$18+COUNTIF(BDD!H94:AR94,5)*'ButsMPG + Var'!$K$17+COUNTIF(BDD!H94:AR94,4)*'ButsMPG + Var'!$K$16+COUNTIF(BDD!H94:AR94,3)*'ButsMPG + Var'!$K$15+COUNTIF(BDD!H94:AR94,2)*'ButsMPG + Var'!$K$14+COUNTIF(BDD!H94:AR94,1)*'ButsMPG + Var'!$K$13,IF(C91="D",COUNTIF(BDD!H94:AR94,10)*'ButsMPG + Var'!$K$32+COUNTIF(BDD!H94:AR94,9)*'ButsMPG + Var'!$K$31+COUNTIF(BDD!H94:AR94,8)*'ButsMPG + Var'!$K$30+COUNTIF(BDD!H94:AR94,7)*'ButsMPG + Var'!$K$29+COUNTIF(BDD!H94:AR94,6)*'ButsMPG + Var'!$K$28+COUNTIF(BDD!H94:AR94,5)*'ButsMPG + Var'!$K$27+COUNTIF(BDD!H94:AR94,4)*'ButsMPG + Var'!$K$26+COUNTIF(BDD!H94:AR94,3)*'ButsMPG + Var'!$K$25+COUNTIF(BDD!H94:AR94,2)*'ButsMPG + Var'!$K$24+COUNTIF(BDD!H94:AR94,1)*'ButsMPG + Var'!$K$23,0)))</f>
        <v>0</v>
      </c>
      <c r="H91" s="25">
        <f t="shared" si="2"/>
        <v>0</v>
      </c>
      <c r="I91" s="25">
        <f>BDD!G94</f>
        <v>0</v>
      </c>
      <c r="J91" s="25">
        <f>SUMPRODUCT(BDD!H94:AS94,'ButsMPG + Var'!$B$46:$AM$46)</f>
        <v>0</v>
      </c>
      <c r="K91" s="25" t="e">
        <f>10*('ButsMPG + Var'!$H$37*J91/MAX(J:J)+'ButsMPG + Var'!$G$37*H91/MAX(H:H))</f>
        <v>#DIV/0!</v>
      </c>
      <c r="L91" s="1">
        <f>IF(ISNA(VLOOKUP(B91,PrixMini!$B$3:$E$573,4,FALSE)),1,VLOOKUP(B91,PrixMini!$B$3:$E$573,4,FALSE))</f>
        <v>1</v>
      </c>
      <c r="M91" s="25" t="e">
        <f>IF(ROUND(CalculCotation!$D$3*EXP(CalculCotation!$C$3*K91)-CalculCotation!$D$3+1,0)&gt;L91,ROUND(CalculCotation!$D$3*EXP(CalculCotation!$C$3*K91)-CalculCotation!$D$3+1,0),L91)</f>
        <v>#DIV/0!</v>
      </c>
    </row>
    <row r="92" spans="2:13" x14ac:dyDescent="0.3">
      <c r="B92" s="1">
        <f>BDD!C95</f>
        <v>0</v>
      </c>
      <c r="C92" s="1">
        <f>BDD!B95</f>
        <v>0</v>
      </c>
      <c r="D92" s="1">
        <f>BDD!A95</f>
        <v>0</v>
      </c>
      <c r="E92" s="1">
        <f>BDD!D95</f>
        <v>0</v>
      </c>
      <c r="F92" s="1">
        <f>BDD!F95</f>
        <v>0</v>
      </c>
      <c r="G92" s="25">
        <f>'ButsMPG + Var'!$I$39*IF(C92="A",COUNTIF(BDD!H95:AR95,10)*'ButsMPG + Var'!$K$12+COUNTIF(BDD!H95:AR95,9)*'ButsMPG + Var'!$K$11+COUNTIF(BDD!H95:AR95,8)*'ButsMPG + Var'!$K$10+COUNTIF(BDD!H95:AR95,7)*'ButsMPG + Var'!$K$9+COUNTIF(BDD!H95:AR95,6)*'ButsMPG + Var'!$K$8+COUNTIF(BDD!H95:AR95,5)*'ButsMPG + Var'!$K$7+COUNTIF(BDD!H95:AR95,4)*'ButsMPG + Var'!$K$6+COUNTIF(BDD!H95:AR95,3)*'ButsMPG + Var'!$K$5+COUNTIF(BDD!H95:AR95,2)*'ButsMPG + Var'!$K$4+COUNTIF(BDD!H95:AR95,1)*'ButsMPG + Var'!$K$3,IF(C92="M",COUNTIF(BDD!H95:AR95,10)*'ButsMPG + Var'!$K$22+COUNTIF(BDD!H95:AR95,9)*'ButsMPG + Var'!$K$21+COUNTIF(BDD!H95:AR95,8)*'ButsMPG + Var'!$K$20+COUNTIF(BDD!H95:AR95,7)*'ButsMPG + Var'!$K$19+COUNTIF(BDD!H95:AR95,6)*'ButsMPG + Var'!$K$18+COUNTIF(BDD!H95:AR95,5)*'ButsMPG + Var'!$K$17+COUNTIF(BDD!H95:AR95,4)*'ButsMPG + Var'!$K$16+COUNTIF(BDD!H95:AR95,3)*'ButsMPG + Var'!$K$15+COUNTIF(BDD!H95:AR95,2)*'ButsMPG + Var'!$K$14+COUNTIF(BDD!H95:AR95,1)*'ButsMPG + Var'!$K$13,IF(C92="D",COUNTIF(BDD!H95:AR95,10)*'ButsMPG + Var'!$K$32+COUNTIF(BDD!H95:AR95,9)*'ButsMPG + Var'!$K$31+COUNTIF(BDD!H95:AR95,8)*'ButsMPG + Var'!$K$30+COUNTIF(BDD!H95:AR95,7)*'ButsMPG + Var'!$K$29+COUNTIF(BDD!H95:AR95,6)*'ButsMPG + Var'!$K$28+COUNTIF(BDD!H95:AR95,5)*'ButsMPG + Var'!$K$27+COUNTIF(BDD!H95:AR95,4)*'ButsMPG + Var'!$K$26+COUNTIF(BDD!H95:AR95,3)*'ButsMPG + Var'!$K$25+COUNTIF(BDD!H95:AR95,2)*'ButsMPG + Var'!$K$24+COUNTIF(BDD!H95:AR95,1)*'ButsMPG + Var'!$K$23,0)))</f>
        <v>0</v>
      </c>
      <c r="H92" s="25">
        <f t="shared" si="2"/>
        <v>0</v>
      </c>
      <c r="I92" s="25">
        <f>BDD!G95</f>
        <v>0</v>
      </c>
      <c r="J92" s="25">
        <f>SUMPRODUCT(BDD!H95:AS95,'ButsMPG + Var'!$B$46:$AM$46)</f>
        <v>0</v>
      </c>
      <c r="K92" s="25" t="e">
        <f>10*('ButsMPG + Var'!$H$37*J92/MAX(J:J)+'ButsMPG + Var'!$G$37*H92/MAX(H:H))</f>
        <v>#DIV/0!</v>
      </c>
      <c r="L92" s="1">
        <f>IF(ISNA(VLOOKUP(B92,PrixMini!$B$3:$E$573,4,FALSE)),1,VLOOKUP(B92,PrixMini!$B$3:$E$573,4,FALSE))</f>
        <v>1</v>
      </c>
      <c r="M92" s="25" t="e">
        <f>IF(ROUND(CalculCotation!$D$3*EXP(CalculCotation!$C$3*K92)-CalculCotation!$D$3+1,0)&gt;L92,ROUND(CalculCotation!$D$3*EXP(CalculCotation!$C$3*K92)-CalculCotation!$D$3+1,0),L92)</f>
        <v>#DIV/0!</v>
      </c>
    </row>
    <row r="93" spans="2:13" x14ac:dyDescent="0.3">
      <c r="B93" s="1">
        <f>BDD!C96</f>
        <v>0</v>
      </c>
      <c r="C93" s="1">
        <f>BDD!B96</f>
        <v>0</v>
      </c>
      <c r="D93" s="1">
        <f>BDD!A96</f>
        <v>0</v>
      </c>
      <c r="E93" s="1">
        <f>BDD!D96</f>
        <v>0</v>
      </c>
      <c r="F93" s="1">
        <f>BDD!F96</f>
        <v>0</v>
      </c>
      <c r="G93" s="25">
        <f>'ButsMPG + Var'!$I$39*IF(C93="A",COUNTIF(BDD!H96:AR96,10)*'ButsMPG + Var'!$K$12+COUNTIF(BDD!H96:AR96,9)*'ButsMPG + Var'!$K$11+COUNTIF(BDD!H96:AR96,8)*'ButsMPG + Var'!$K$10+COUNTIF(BDD!H96:AR96,7)*'ButsMPG + Var'!$K$9+COUNTIF(BDD!H96:AR96,6)*'ButsMPG + Var'!$K$8+COUNTIF(BDD!H96:AR96,5)*'ButsMPG + Var'!$K$7+COUNTIF(BDD!H96:AR96,4)*'ButsMPG + Var'!$K$6+COUNTIF(BDD!H96:AR96,3)*'ButsMPG + Var'!$K$5+COUNTIF(BDD!H96:AR96,2)*'ButsMPG + Var'!$K$4+COUNTIF(BDD!H96:AR96,1)*'ButsMPG + Var'!$K$3,IF(C93="M",COUNTIF(BDD!H96:AR96,10)*'ButsMPG + Var'!$K$22+COUNTIF(BDD!H96:AR96,9)*'ButsMPG + Var'!$K$21+COUNTIF(BDD!H96:AR96,8)*'ButsMPG + Var'!$K$20+COUNTIF(BDD!H96:AR96,7)*'ButsMPG + Var'!$K$19+COUNTIF(BDD!H96:AR96,6)*'ButsMPG + Var'!$K$18+COUNTIF(BDD!H96:AR96,5)*'ButsMPG + Var'!$K$17+COUNTIF(BDD!H96:AR96,4)*'ButsMPG + Var'!$K$16+COUNTIF(BDD!H96:AR96,3)*'ButsMPG + Var'!$K$15+COUNTIF(BDD!H96:AR96,2)*'ButsMPG + Var'!$K$14+COUNTIF(BDD!H96:AR96,1)*'ButsMPG + Var'!$K$13,IF(C93="D",COUNTIF(BDD!H96:AR96,10)*'ButsMPG + Var'!$K$32+COUNTIF(BDD!H96:AR96,9)*'ButsMPG + Var'!$K$31+COUNTIF(BDD!H96:AR96,8)*'ButsMPG + Var'!$K$30+COUNTIF(BDD!H96:AR96,7)*'ButsMPG + Var'!$K$29+COUNTIF(BDD!H96:AR96,6)*'ButsMPG + Var'!$K$28+COUNTIF(BDD!H96:AR96,5)*'ButsMPG + Var'!$K$27+COUNTIF(BDD!H96:AR96,4)*'ButsMPG + Var'!$K$26+COUNTIF(BDD!H96:AR96,3)*'ButsMPG + Var'!$K$25+COUNTIF(BDD!H96:AR96,2)*'ButsMPG + Var'!$K$24+COUNTIF(BDD!H96:AR96,1)*'ButsMPG + Var'!$K$23,0)))</f>
        <v>0</v>
      </c>
      <c r="H93" s="25">
        <f t="shared" si="2"/>
        <v>0</v>
      </c>
      <c r="I93" s="25">
        <f>BDD!G96</f>
        <v>0</v>
      </c>
      <c r="J93" s="25">
        <f>SUMPRODUCT(BDD!H96:AS96,'ButsMPG + Var'!$B$46:$AM$46)</f>
        <v>0</v>
      </c>
      <c r="K93" s="25" t="e">
        <f>10*('ButsMPG + Var'!$H$37*J93/MAX(J:J)+'ButsMPG + Var'!$G$37*H93/MAX(H:H))</f>
        <v>#DIV/0!</v>
      </c>
      <c r="L93" s="1">
        <f>IF(ISNA(VLOOKUP(B93,PrixMini!$B$3:$E$573,4,FALSE)),1,VLOOKUP(B93,PrixMini!$B$3:$E$573,4,FALSE))</f>
        <v>1</v>
      </c>
      <c r="M93" s="25" t="e">
        <f>IF(ROUND(CalculCotation!$D$3*EXP(CalculCotation!$C$3*K93)-CalculCotation!$D$3+1,0)&gt;L93,ROUND(CalculCotation!$D$3*EXP(CalculCotation!$C$3*K93)-CalculCotation!$D$3+1,0),L93)</f>
        <v>#DIV/0!</v>
      </c>
    </row>
    <row r="94" spans="2:13" x14ac:dyDescent="0.3">
      <c r="B94" s="1">
        <f>BDD!C97</f>
        <v>0</v>
      </c>
      <c r="C94" s="1">
        <f>BDD!B97</f>
        <v>0</v>
      </c>
      <c r="D94" s="1">
        <f>BDD!A97</f>
        <v>0</v>
      </c>
      <c r="E94" s="1">
        <f>BDD!D97</f>
        <v>0</v>
      </c>
      <c r="F94" s="1">
        <f>BDD!F97</f>
        <v>0</v>
      </c>
      <c r="G94" s="25">
        <f>'ButsMPG + Var'!$I$39*IF(C94="A",COUNTIF(BDD!H97:AR97,10)*'ButsMPG + Var'!$K$12+COUNTIF(BDD!H97:AR97,9)*'ButsMPG + Var'!$K$11+COUNTIF(BDD!H97:AR97,8)*'ButsMPG + Var'!$K$10+COUNTIF(BDD!H97:AR97,7)*'ButsMPG + Var'!$K$9+COUNTIF(BDD!H97:AR97,6)*'ButsMPG + Var'!$K$8+COUNTIF(BDD!H97:AR97,5)*'ButsMPG + Var'!$K$7+COUNTIF(BDD!H97:AR97,4)*'ButsMPG + Var'!$K$6+COUNTIF(BDD!H97:AR97,3)*'ButsMPG + Var'!$K$5+COUNTIF(BDD!H97:AR97,2)*'ButsMPG + Var'!$K$4+COUNTIF(BDD!H97:AR97,1)*'ButsMPG + Var'!$K$3,IF(C94="M",COUNTIF(BDD!H97:AR97,10)*'ButsMPG + Var'!$K$22+COUNTIF(BDD!H97:AR97,9)*'ButsMPG + Var'!$K$21+COUNTIF(BDD!H97:AR97,8)*'ButsMPG + Var'!$K$20+COUNTIF(BDD!H97:AR97,7)*'ButsMPG + Var'!$K$19+COUNTIF(BDD!H97:AR97,6)*'ButsMPG + Var'!$K$18+COUNTIF(BDD!H97:AR97,5)*'ButsMPG + Var'!$K$17+COUNTIF(BDD!H97:AR97,4)*'ButsMPG + Var'!$K$16+COUNTIF(BDD!H97:AR97,3)*'ButsMPG + Var'!$K$15+COUNTIF(BDD!H97:AR97,2)*'ButsMPG + Var'!$K$14+COUNTIF(BDD!H97:AR97,1)*'ButsMPG + Var'!$K$13,IF(C94="D",COUNTIF(BDD!H97:AR97,10)*'ButsMPG + Var'!$K$32+COUNTIF(BDD!H97:AR97,9)*'ButsMPG + Var'!$K$31+COUNTIF(BDD!H97:AR97,8)*'ButsMPG + Var'!$K$30+COUNTIF(BDD!H97:AR97,7)*'ButsMPG + Var'!$K$29+COUNTIF(BDD!H97:AR97,6)*'ButsMPG + Var'!$K$28+COUNTIF(BDD!H97:AR97,5)*'ButsMPG + Var'!$K$27+COUNTIF(BDD!H97:AR97,4)*'ButsMPG + Var'!$K$26+COUNTIF(BDD!H97:AR97,3)*'ButsMPG + Var'!$K$25+COUNTIF(BDD!H97:AR97,2)*'ButsMPG + Var'!$K$24+COUNTIF(BDD!H97:AR97,1)*'ButsMPG + Var'!$K$23,0)))</f>
        <v>0</v>
      </c>
      <c r="H94" s="25">
        <f t="shared" si="2"/>
        <v>0</v>
      </c>
      <c r="I94" s="25">
        <f>BDD!G97</f>
        <v>0</v>
      </c>
      <c r="J94" s="25">
        <f>SUMPRODUCT(BDD!H97:AS97,'ButsMPG + Var'!$B$46:$AM$46)</f>
        <v>0</v>
      </c>
      <c r="K94" s="25" t="e">
        <f>10*('ButsMPG + Var'!$H$37*J94/MAX(J:J)+'ButsMPG + Var'!$G$37*H94/MAX(H:H))</f>
        <v>#DIV/0!</v>
      </c>
      <c r="L94" s="1">
        <f>IF(ISNA(VLOOKUP(B94,PrixMini!$B$3:$E$573,4,FALSE)),1,VLOOKUP(B94,PrixMini!$B$3:$E$573,4,FALSE))</f>
        <v>1</v>
      </c>
      <c r="M94" s="25" t="e">
        <f>IF(ROUND(CalculCotation!$D$3*EXP(CalculCotation!$C$3*K94)-CalculCotation!$D$3+1,0)&gt;L94,ROUND(CalculCotation!$D$3*EXP(CalculCotation!$C$3*K94)-CalculCotation!$D$3+1,0),L94)</f>
        <v>#DIV/0!</v>
      </c>
    </row>
    <row r="95" spans="2:13" x14ac:dyDescent="0.3">
      <c r="B95" s="1">
        <f>BDD!C98</f>
        <v>0</v>
      </c>
      <c r="C95" s="1">
        <f>BDD!B98</f>
        <v>0</v>
      </c>
      <c r="D95" s="1">
        <f>BDD!A98</f>
        <v>0</v>
      </c>
      <c r="E95" s="1">
        <f>BDD!D98</f>
        <v>0</v>
      </c>
      <c r="F95" s="1">
        <f>BDD!F98</f>
        <v>0</v>
      </c>
      <c r="G95" s="25">
        <f>'ButsMPG + Var'!$I$39*IF(C95="A",COUNTIF(BDD!H98:AR98,10)*'ButsMPG + Var'!$K$12+COUNTIF(BDD!H98:AR98,9)*'ButsMPG + Var'!$K$11+COUNTIF(BDD!H98:AR98,8)*'ButsMPG + Var'!$K$10+COUNTIF(BDD!H98:AR98,7)*'ButsMPG + Var'!$K$9+COUNTIF(BDD!H98:AR98,6)*'ButsMPG + Var'!$K$8+COUNTIF(BDD!H98:AR98,5)*'ButsMPG + Var'!$K$7+COUNTIF(BDD!H98:AR98,4)*'ButsMPG + Var'!$K$6+COUNTIF(BDD!H98:AR98,3)*'ButsMPG + Var'!$K$5+COUNTIF(BDD!H98:AR98,2)*'ButsMPG + Var'!$K$4+COUNTIF(BDD!H98:AR98,1)*'ButsMPG + Var'!$K$3,IF(C95="M",COUNTIF(BDD!H98:AR98,10)*'ButsMPG + Var'!$K$22+COUNTIF(BDD!H98:AR98,9)*'ButsMPG + Var'!$K$21+COUNTIF(BDD!H98:AR98,8)*'ButsMPG + Var'!$K$20+COUNTIF(BDD!H98:AR98,7)*'ButsMPG + Var'!$K$19+COUNTIF(BDD!H98:AR98,6)*'ButsMPG + Var'!$K$18+COUNTIF(BDD!H98:AR98,5)*'ButsMPG + Var'!$K$17+COUNTIF(BDD!H98:AR98,4)*'ButsMPG + Var'!$K$16+COUNTIF(BDD!H98:AR98,3)*'ButsMPG + Var'!$K$15+COUNTIF(BDD!H98:AR98,2)*'ButsMPG + Var'!$K$14+COUNTIF(BDD!H98:AR98,1)*'ButsMPG + Var'!$K$13,IF(C95="D",COUNTIF(BDD!H98:AR98,10)*'ButsMPG + Var'!$K$32+COUNTIF(BDD!H98:AR98,9)*'ButsMPG + Var'!$K$31+COUNTIF(BDD!H98:AR98,8)*'ButsMPG + Var'!$K$30+COUNTIF(BDD!H98:AR98,7)*'ButsMPG + Var'!$K$29+COUNTIF(BDD!H98:AR98,6)*'ButsMPG + Var'!$K$28+COUNTIF(BDD!H98:AR98,5)*'ButsMPG + Var'!$K$27+COUNTIF(BDD!H98:AR98,4)*'ButsMPG + Var'!$K$26+COUNTIF(BDD!H98:AR98,3)*'ButsMPG + Var'!$K$25+COUNTIF(BDD!H98:AR98,2)*'ButsMPG + Var'!$K$24+COUNTIF(BDD!H98:AR98,1)*'ButsMPG + Var'!$K$23,0)))</f>
        <v>0</v>
      </c>
      <c r="H95" s="25">
        <f t="shared" si="2"/>
        <v>0</v>
      </c>
      <c r="I95" s="25">
        <f>BDD!G98</f>
        <v>0</v>
      </c>
      <c r="J95" s="25">
        <f>SUMPRODUCT(BDD!H98:AS98,'ButsMPG + Var'!$B$46:$AM$46)</f>
        <v>0</v>
      </c>
      <c r="K95" s="25" t="e">
        <f>10*('ButsMPG + Var'!$H$37*J95/MAX(J:J)+'ButsMPG + Var'!$G$37*H95/MAX(H:H))</f>
        <v>#DIV/0!</v>
      </c>
      <c r="L95" s="1">
        <f>IF(ISNA(VLOOKUP(B95,PrixMini!$B$3:$E$573,4,FALSE)),1,VLOOKUP(B95,PrixMini!$B$3:$E$573,4,FALSE))</f>
        <v>1</v>
      </c>
      <c r="M95" s="25" t="e">
        <f>IF(ROUND(CalculCotation!$D$3*EXP(CalculCotation!$C$3*K95)-CalculCotation!$D$3+1,0)&gt;L95,ROUND(CalculCotation!$D$3*EXP(CalculCotation!$C$3*K95)-CalculCotation!$D$3+1,0),L95)</f>
        <v>#DIV/0!</v>
      </c>
    </row>
    <row r="96" spans="2:13" x14ac:dyDescent="0.3">
      <c r="B96" s="1">
        <f>BDD!C99</f>
        <v>0</v>
      </c>
      <c r="C96" s="1">
        <f>BDD!B99</f>
        <v>0</v>
      </c>
      <c r="D96" s="1">
        <f>BDD!A99</f>
        <v>0</v>
      </c>
      <c r="E96" s="1">
        <f>BDD!D99</f>
        <v>0</v>
      </c>
      <c r="F96" s="1">
        <f>BDD!F99</f>
        <v>0</v>
      </c>
      <c r="G96" s="25">
        <f>'ButsMPG + Var'!$I$39*IF(C96="A",COUNTIF(BDD!H99:AR99,10)*'ButsMPG + Var'!$K$12+COUNTIF(BDD!H99:AR99,9)*'ButsMPG + Var'!$K$11+COUNTIF(BDD!H99:AR99,8)*'ButsMPG + Var'!$K$10+COUNTIF(BDD!H99:AR99,7)*'ButsMPG + Var'!$K$9+COUNTIF(BDD!H99:AR99,6)*'ButsMPG + Var'!$K$8+COUNTIF(BDD!H99:AR99,5)*'ButsMPG + Var'!$K$7+COUNTIF(BDD!H99:AR99,4)*'ButsMPG + Var'!$K$6+COUNTIF(BDD!H99:AR99,3)*'ButsMPG + Var'!$K$5+COUNTIF(BDD!H99:AR99,2)*'ButsMPG + Var'!$K$4+COUNTIF(BDD!H99:AR99,1)*'ButsMPG + Var'!$K$3,IF(C96="M",COUNTIF(BDD!H99:AR99,10)*'ButsMPG + Var'!$K$22+COUNTIF(BDD!H99:AR99,9)*'ButsMPG + Var'!$K$21+COUNTIF(BDD!H99:AR99,8)*'ButsMPG + Var'!$K$20+COUNTIF(BDD!H99:AR99,7)*'ButsMPG + Var'!$K$19+COUNTIF(BDD!H99:AR99,6)*'ButsMPG + Var'!$K$18+COUNTIF(BDD!H99:AR99,5)*'ButsMPG + Var'!$K$17+COUNTIF(BDD!H99:AR99,4)*'ButsMPG + Var'!$K$16+COUNTIF(BDD!H99:AR99,3)*'ButsMPG + Var'!$K$15+COUNTIF(BDD!H99:AR99,2)*'ButsMPG + Var'!$K$14+COUNTIF(BDD!H99:AR99,1)*'ButsMPG + Var'!$K$13,IF(C96="D",COUNTIF(BDD!H99:AR99,10)*'ButsMPG + Var'!$K$32+COUNTIF(BDD!H99:AR99,9)*'ButsMPG + Var'!$K$31+COUNTIF(BDD!H99:AR99,8)*'ButsMPG + Var'!$K$30+COUNTIF(BDD!H99:AR99,7)*'ButsMPG + Var'!$K$29+COUNTIF(BDD!H99:AR99,6)*'ButsMPG + Var'!$K$28+COUNTIF(BDD!H99:AR99,5)*'ButsMPG + Var'!$K$27+COUNTIF(BDD!H99:AR99,4)*'ButsMPG + Var'!$K$26+COUNTIF(BDD!H99:AR99,3)*'ButsMPG + Var'!$K$25+COUNTIF(BDD!H99:AR99,2)*'ButsMPG + Var'!$K$24+COUNTIF(BDD!H99:AR99,1)*'ButsMPG + Var'!$K$23,0)))</f>
        <v>0</v>
      </c>
      <c r="H96" s="25">
        <f t="shared" si="2"/>
        <v>0</v>
      </c>
      <c r="I96" s="25">
        <f>BDD!G99</f>
        <v>0</v>
      </c>
      <c r="J96" s="25">
        <f>SUMPRODUCT(BDD!H99:AS99,'ButsMPG + Var'!$B$46:$AM$46)</f>
        <v>0</v>
      </c>
      <c r="K96" s="25" t="e">
        <f>10*('ButsMPG + Var'!$H$37*J96/MAX(J:J)+'ButsMPG + Var'!$G$37*H96/MAX(H:H))</f>
        <v>#DIV/0!</v>
      </c>
      <c r="L96" s="1">
        <f>IF(ISNA(VLOOKUP(B96,PrixMini!$B$3:$E$573,4,FALSE)),1,VLOOKUP(B96,PrixMini!$B$3:$E$573,4,FALSE))</f>
        <v>1</v>
      </c>
      <c r="M96" s="25" t="e">
        <f>IF(ROUND(CalculCotation!$D$3*EXP(CalculCotation!$C$3*K96)-CalculCotation!$D$3+1,0)&gt;L96,ROUND(CalculCotation!$D$3*EXP(CalculCotation!$C$3*K96)-CalculCotation!$D$3+1,0),L96)</f>
        <v>#DIV/0!</v>
      </c>
    </row>
    <row r="97" spans="2:13" x14ac:dyDescent="0.3">
      <c r="B97" s="1">
        <f>BDD!C100</f>
        <v>0</v>
      </c>
      <c r="C97" s="1">
        <f>BDD!B100</f>
        <v>0</v>
      </c>
      <c r="D97" s="1">
        <f>BDD!A100</f>
        <v>0</v>
      </c>
      <c r="E97" s="1">
        <f>BDD!D100</f>
        <v>0</v>
      </c>
      <c r="F97" s="1">
        <f>BDD!F100</f>
        <v>0</v>
      </c>
      <c r="G97" s="25">
        <f>'ButsMPG + Var'!$I$39*IF(C97="A",COUNTIF(BDD!H100:AR100,10)*'ButsMPG + Var'!$K$12+COUNTIF(BDD!H100:AR100,9)*'ButsMPG + Var'!$K$11+COUNTIF(BDD!H100:AR100,8)*'ButsMPG + Var'!$K$10+COUNTIF(BDD!H100:AR100,7)*'ButsMPG + Var'!$K$9+COUNTIF(BDD!H100:AR100,6)*'ButsMPG + Var'!$K$8+COUNTIF(BDD!H100:AR100,5)*'ButsMPG + Var'!$K$7+COUNTIF(BDD!H100:AR100,4)*'ButsMPG + Var'!$K$6+COUNTIF(BDD!H100:AR100,3)*'ButsMPG + Var'!$K$5+COUNTIF(BDD!H100:AR100,2)*'ButsMPG + Var'!$K$4+COUNTIF(BDD!H100:AR100,1)*'ButsMPG + Var'!$K$3,IF(C97="M",COUNTIF(BDD!H100:AR100,10)*'ButsMPG + Var'!$K$22+COUNTIF(BDD!H100:AR100,9)*'ButsMPG + Var'!$K$21+COUNTIF(BDD!H100:AR100,8)*'ButsMPG + Var'!$K$20+COUNTIF(BDD!H100:AR100,7)*'ButsMPG + Var'!$K$19+COUNTIF(BDD!H100:AR100,6)*'ButsMPG + Var'!$K$18+COUNTIF(BDD!H100:AR100,5)*'ButsMPG + Var'!$K$17+COUNTIF(BDD!H100:AR100,4)*'ButsMPG + Var'!$K$16+COUNTIF(BDD!H100:AR100,3)*'ButsMPG + Var'!$K$15+COUNTIF(BDD!H100:AR100,2)*'ButsMPG + Var'!$K$14+COUNTIF(BDD!H100:AR100,1)*'ButsMPG + Var'!$K$13,IF(C97="D",COUNTIF(BDD!H100:AR100,10)*'ButsMPG + Var'!$K$32+COUNTIF(BDD!H100:AR100,9)*'ButsMPG + Var'!$K$31+COUNTIF(BDD!H100:AR100,8)*'ButsMPG + Var'!$K$30+COUNTIF(BDD!H100:AR100,7)*'ButsMPG + Var'!$K$29+COUNTIF(BDD!H100:AR100,6)*'ButsMPG + Var'!$K$28+COUNTIF(BDD!H100:AR100,5)*'ButsMPG + Var'!$K$27+COUNTIF(BDD!H100:AR100,4)*'ButsMPG + Var'!$K$26+COUNTIF(BDD!H100:AR100,3)*'ButsMPG + Var'!$K$25+COUNTIF(BDD!H100:AR100,2)*'ButsMPG + Var'!$K$24+COUNTIF(BDD!H100:AR100,1)*'ButsMPG + Var'!$K$23,0)))</f>
        <v>0</v>
      </c>
      <c r="H97" s="25">
        <f t="shared" si="2"/>
        <v>0</v>
      </c>
      <c r="I97" s="25">
        <f>BDD!G100</f>
        <v>0</v>
      </c>
      <c r="J97" s="25">
        <f>SUMPRODUCT(BDD!H100:AS100,'ButsMPG + Var'!$B$46:$AM$46)</f>
        <v>0</v>
      </c>
      <c r="K97" s="25" t="e">
        <f>10*('ButsMPG + Var'!$H$37*J97/MAX(J:J)+'ButsMPG + Var'!$G$37*H97/MAX(H:H))</f>
        <v>#DIV/0!</v>
      </c>
      <c r="L97" s="1">
        <f>IF(ISNA(VLOOKUP(B97,PrixMini!$B$3:$E$573,4,FALSE)),1,VLOOKUP(B97,PrixMini!$B$3:$E$573,4,FALSE))</f>
        <v>1</v>
      </c>
      <c r="M97" s="25" t="e">
        <f>IF(ROUND(CalculCotation!$D$3*EXP(CalculCotation!$C$3*K97)-CalculCotation!$D$3+1,0)&gt;L97,ROUND(CalculCotation!$D$3*EXP(CalculCotation!$C$3*K97)-CalculCotation!$D$3+1,0),L97)</f>
        <v>#DIV/0!</v>
      </c>
    </row>
    <row r="98" spans="2:13" x14ac:dyDescent="0.3">
      <c r="B98" s="1">
        <f>BDD!C101</f>
        <v>0</v>
      </c>
      <c r="C98" s="1">
        <f>BDD!B101</f>
        <v>0</v>
      </c>
      <c r="D98" s="1">
        <f>BDD!A101</f>
        <v>0</v>
      </c>
      <c r="E98" s="1">
        <f>BDD!D101</f>
        <v>0</v>
      </c>
      <c r="F98" s="1">
        <f>BDD!F101</f>
        <v>0</v>
      </c>
      <c r="G98" s="25">
        <f>'ButsMPG + Var'!$I$39*IF(C98="A",COUNTIF(BDD!H101:AR101,10)*'ButsMPG + Var'!$K$12+COUNTIF(BDD!H101:AR101,9)*'ButsMPG + Var'!$K$11+COUNTIF(BDD!H101:AR101,8)*'ButsMPG + Var'!$K$10+COUNTIF(BDD!H101:AR101,7)*'ButsMPG + Var'!$K$9+COUNTIF(BDD!H101:AR101,6)*'ButsMPG + Var'!$K$8+COUNTIF(BDD!H101:AR101,5)*'ButsMPG + Var'!$K$7+COUNTIF(BDD!H101:AR101,4)*'ButsMPG + Var'!$K$6+COUNTIF(BDD!H101:AR101,3)*'ButsMPG + Var'!$K$5+COUNTIF(BDD!H101:AR101,2)*'ButsMPG + Var'!$K$4+COUNTIF(BDD!H101:AR101,1)*'ButsMPG + Var'!$K$3,IF(C98="M",COUNTIF(BDD!H101:AR101,10)*'ButsMPG + Var'!$K$22+COUNTIF(BDD!H101:AR101,9)*'ButsMPG + Var'!$K$21+COUNTIF(BDD!H101:AR101,8)*'ButsMPG + Var'!$K$20+COUNTIF(BDD!H101:AR101,7)*'ButsMPG + Var'!$K$19+COUNTIF(BDD!H101:AR101,6)*'ButsMPG + Var'!$K$18+COUNTIF(BDD!H101:AR101,5)*'ButsMPG + Var'!$K$17+COUNTIF(BDD!H101:AR101,4)*'ButsMPG + Var'!$K$16+COUNTIF(BDD!H101:AR101,3)*'ButsMPG + Var'!$K$15+COUNTIF(BDD!H101:AR101,2)*'ButsMPG + Var'!$K$14+COUNTIF(BDD!H101:AR101,1)*'ButsMPG + Var'!$K$13,IF(C98="D",COUNTIF(BDD!H101:AR101,10)*'ButsMPG + Var'!$K$32+COUNTIF(BDD!H101:AR101,9)*'ButsMPG + Var'!$K$31+COUNTIF(BDD!H101:AR101,8)*'ButsMPG + Var'!$K$30+COUNTIF(BDD!H101:AR101,7)*'ButsMPG + Var'!$K$29+COUNTIF(BDD!H101:AR101,6)*'ButsMPG + Var'!$K$28+COUNTIF(BDD!H101:AR101,5)*'ButsMPG + Var'!$K$27+COUNTIF(BDD!H101:AR101,4)*'ButsMPG + Var'!$K$26+COUNTIF(BDD!H101:AR101,3)*'ButsMPG + Var'!$K$25+COUNTIF(BDD!H101:AR101,2)*'ButsMPG + Var'!$K$24+COUNTIF(BDD!H101:AR101,1)*'ButsMPG + Var'!$K$23,0)))</f>
        <v>0</v>
      </c>
      <c r="H98" s="25">
        <f t="shared" si="2"/>
        <v>0</v>
      </c>
      <c r="I98" s="25">
        <f>BDD!G101</f>
        <v>0</v>
      </c>
      <c r="J98" s="25">
        <f>SUMPRODUCT(BDD!H101:AS101,'ButsMPG + Var'!$B$46:$AM$46)</f>
        <v>0</v>
      </c>
      <c r="K98" s="25" t="e">
        <f>10*('ButsMPG + Var'!$H$37*J98/MAX(J:J)+'ButsMPG + Var'!$G$37*H98/MAX(H:H))</f>
        <v>#DIV/0!</v>
      </c>
      <c r="L98" s="1">
        <f>IF(ISNA(VLOOKUP(B98,PrixMini!$B$3:$E$573,4,FALSE)),1,VLOOKUP(B98,PrixMini!$B$3:$E$573,4,FALSE))</f>
        <v>1</v>
      </c>
      <c r="M98" s="25" t="e">
        <f>IF(ROUND(CalculCotation!$D$3*EXP(CalculCotation!$C$3*K98)-CalculCotation!$D$3+1,0)&gt;L98,ROUND(CalculCotation!$D$3*EXP(CalculCotation!$C$3*K98)-CalculCotation!$D$3+1,0),L98)</f>
        <v>#DIV/0!</v>
      </c>
    </row>
    <row r="99" spans="2:13" x14ac:dyDescent="0.3">
      <c r="B99" s="1">
        <f>BDD!C102</f>
        <v>0</v>
      </c>
      <c r="C99" s="1">
        <f>BDD!B102</f>
        <v>0</v>
      </c>
      <c r="D99" s="1">
        <f>BDD!A102</f>
        <v>0</v>
      </c>
      <c r="E99" s="1">
        <f>BDD!D102</f>
        <v>0</v>
      </c>
      <c r="F99" s="1">
        <f>BDD!F102</f>
        <v>0</v>
      </c>
      <c r="G99" s="25">
        <f>'ButsMPG + Var'!$I$39*IF(C99="A",COUNTIF(BDD!H102:AR102,10)*'ButsMPG + Var'!$K$12+COUNTIF(BDD!H102:AR102,9)*'ButsMPG + Var'!$K$11+COUNTIF(BDD!H102:AR102,8)*'ButsMPG + Var'!$K$10+COUNTIF(BDD!H102:AR102,7)*'ButsMPG + Var'!$K$9+COUNTIF(BDD!H102:AR102,6)*'ButsMPG + Var'!$K$8+COUNTIF(BDD!H102:AR102,5)*'ButsMPG + Var'!$K$7+COUNTIF(BDD!H102:AR102,4)*'ButsMPG + Var'!$K$6+COUNTIF(BDD!H102:AR102,3)*'ButsMPG + Var'!$K$5+COUNTIF(BDD!H102:AR102,2)*'ButsMPG + Var'!$K$4+COUNTIF(BDD!H102:AR102,1)*'ButsMPG + Var'!$K$3,IF(C99="M",COUNTIF(BDD!H102:AR102,10)*'ButsMPG + Var'!$K$22+COUNTIF(BDD!H102:AR102,9)*'ButsMPG + Var'!$K$21+COUNTIF(BDD!H102:AR102,8)*'ButsMPG + Var'!$K$20+COUNTIF(BDD!H102:AR102,7)*'ButsMPG + Var'!$K$19+COUNTIF(BDD!H102:AR102,6)*'ButsMPG + Var'!$K$18+COUNTIF(BDD!H102:AR102,5)*'ButsMPG + Var'!$K$17+COUNTIF(BDD!H102:AR102,4)*'ButsMPG + Var'!$K$16+COUNTIF(BDD!H102:AR102,3)*'ButsMPG + Var'!$K$15+COUNTIF(BDD!H102:AR102,2)*'ButsMPG + Var'!$K$14+COUNTIF(BDD!H102:AR102,1)*'ButsMPG + Var'!$K$13,IF(C99="D",COUNTIF(BDD!H102:AR102,10)*'ButsMPG + Var'!$K$32+COUNTIF(BDD!H102:AR102,9)*'ButsMPG + Var'!$K$31+COUNTIF(BDD!H102:AR102,8)*'ButsMPG + Var'!$K$30+COUNTIF(BDD!H102:AR102,7)*'ButsMPG + Var'!$K$29+COUNTIF(BDD!H102:AR102,6)*'ButsMPG + Var'!$K$28+COUNTIF(BDD!H102:AR102,5)*'ButsMPG + Var'!$K$27+COUNTIF(BDD!H102:AR102,4)*'ButsMPG + Var'!$K$26+COUNTIF(BDD!H102:AR102,3)*'ButsMPG + Var'!$K$25+COUNTIF(BDD!H102:AR102,2)*'ButsMPG + Var'!$K$24+COUNTIF(BDD!H102:AR102,1)*'ButsMPG + Var'!$K$23,0)))</f>
        <v>0</v>
      </c>
      <c r="H99" s="25">
        <f t="shared" si="2"/>
        <v>0</v>
      </c>
      <c r="I99" s="25">
        <f>BDD!G102</f>
        <v>0</v>
      </c>
      <c r="J99" s="25">
        <f>SUMPRODUCT(BDD!H102:AS102,'ButsMPG + Var'!$B$46:$AM$46)</f>
        <v>0</v>
      </c>
      <c r="K99" s="25" t="e">
        <f>10*('ButsMPG + Var'!$H$37*J99/MAX(J:J)+'ButsMPG + Var'!$G$37*H99/MAX(H:H))</f>
        <v>#DIV/0!</v>
      </c>
      <c r="L99" s="1">
        <f>IF(ISNA(VLOOKUP(B99,PrixMini!$B$3:$E$573,4,FALSE)),1,VLOOKUP(B99,PrixMini!$B$3:$E$573,4,FALSE))</f>
        <v>1</v>
      </c>
      <c r="M99" s="25" t="e">
        <f>IF(ROUND(CalculCotation!$D$3*EXP(CalculCotation!$C$3*K99)-CalculCotation!$D$3+1,0)&gt;L99,ROUND(CalculCotation!$D$3*EXP(CalculCotation!$C$3*K99)-CalculCotation!$D$3+1,0),L99)</f>
        <v>#DIV/0!</v>
      </c>
    </row>
    <row r="100" spans="2:13" x14ac:dyDescent="0.3">
      <c r="B100" s="1">
        <f>BDD!C103</f>
        <v>0</v>
      </c>
      <c r="C100" s="1">
        <f>BDD!B103</f>
        <v>0</v>
      </c>
      <c r="D100" s="1">
        <f>BDD!A103</f>
        <v>0</v>
      </c>
      <c r="E100" s="1">
        <f>BDD!D103</f>
        <v>0</v>
      </c>
      <c r="F100" s="1">
        <f>BDD!F103</f>
        <v>0</v>
      </c>
      <c r="G100" s="25">
        <f>'ButsMPG + Var'!$I$39*IF(C100="A",COUNTIF(BDD!H103:AR103,10)*'ButsMPG + Var'!$K$12+COUNTIF(BDD!H103:AR103,9)*'ButsMPG + Var'!$K$11+COUNTIF(BDD!H103:AR103,8)*'ButsMPG + Var'!$K$10+COUNTIF(BDD!H103:AR103,7)*'ButsMPG + Var'!$K$9+COUNTIF(BDD!H103:AR103,6)*'ButsMPG + Var'!$K$8+COUNTIF(BDD!H103:AR103,5)*'ButsMPG + Var'!$K$7+COUNTIF(BDD!H103:AR103,4)*'ButsMPG + Var'!$K$6+COUNTIF(BDD!H103:AR103,3)*'ButsMPG + Var'!$K$5+COUNTIF(BDD!H103:AR103,2)*'ButsMPG + Var'!$K$4+COUNTIF(BDD!H103:AR103,1)*'ButsMPG + Var'!$K$3,IF(C100="M",COUNTIF(BDD!H103:AR103,10)*'ButsMPG + Var'!$K$22+COUNTIF(BDD!H103:AR103,9)*'ButsMPG + Var'!$K$21+COUNTIF(BDD!H103:AR103,8)*'ButsMPG + Var'!$K$20+COUNTIF(BDD!H103:AR103,7)*'ButsMPG + Var'!$K$19+COUNTIF(BDD!H103:AR103,6)*'ButsMPG + Var'!$K$18+COUNTIF(BDD!H103:AR103,5)*'ButsMPG + Var'!$K$17+COUNTIF(BDD!H103:AR103,4)*'ButsMPG + Var'!$K$16+COUNTIF(BDD!H103:AR103,3)*'ButsMPG + Var'!$K$15+COUNTIF(BDD!H103:AR103,2)*'ButsMPG + Var'!$K$14+COUNTIF(BDD!H103:AR103,1)*'ButsMPG + Var'!$K$13,IF(C100="D",COUNTIF(BDD!H103:AR103,10)*'ButsMPG + Var'!$K$32+COUNTIF(BDD!H103:AR103,9)*'ButsMPG + Var'!$K$31+COUNTIF(BDD!H103:AR103,8)*'ButsMPG + Var'!$K$30+COUNTIF(BDD!H103:AR103,7)*'ButsMPG + Var'!$K$29+COUNTIF(BDD!H103:AR103,6)*'ButsMPG + Var'!$K$28+COUNTIF(BDD!H103:AR103,5)*'ButsMPG + Var'!$K$27+COUNTIF(BDD!H103:AR103,4)*'ButsMPG + Var'!$K$26+COUNTIF(BDD!H103:AR103,3)*'ButsMPG + Var'!$K$25+COUNTIF(BDD!H103:AR103,2)*'ButsMPG + Var'!$K$24+COUNTIF(BDD!H103:AR103,1)*'ButsMPG + Var'!$K$23,0)))</f>
        <v>0</v>
      </c>
      <c r="H100" s="25">
        <f t="shared" si="2"/>
        <v>0</v>
      </c>
      <c r="I100" s="25">
        <f>BDD!G103</f>
        <v>0</v>
      </c>
      <c r="J100" s="25">
        <f>SUMPRODUCT(BDD!H103:AS103,'ButsMPG + Var'!$B$46:$AM$46)</f>
        <v>0</v>
      </c>
      <c r="K100" s="25" t="e">
        <f>10*('ButsMPG + Var'!$H$37*J100/MAX(J:J)+'ButsMPG + Var'!$G$37*H100/MAX(H:H))</f>
        <v>#DIV/0!</v>
      </c>
      <c r="L100" s="1">
        <f>IF(ISNA(VLOOKUP(B100,PrixMini!$B$3:$E$573,4,FALSE)),1,VLOOKUP(B100,PrixMini!$B$3:$E$573,4,FALSE))</f>
        <v>1</v>
      </c>
      <c r="M100" s="25" t="e">
        <f>IF(ROUND(CalculCotation!$D$3*EXP(CalculCotation!$C$3*K100)-CalculCotation!$D$3+1,0)&gt;L100,ROUND(CalculCotation!$D$3*EXP(CalculCotation!$C$3*K100)-CalculCotation!$D$3+1,0),L100)</f>
        <v>#DIV/0!</v>
      </c>
    </row>
    <row r="101" spans="2:13" x14ac:dyDescent="0.3">
      <c r="B101" s="1">
        <f>BDD!C104</f>
        <v>0</v>
      </c>
      <c r="C101" s="1">
        <f>BDD!B104</f>
        <v>0</v>
      </c>
      <c r="D101" s="1">
        <f>BDD!A104</f>
        <v>0</v>
      </c>
      <c r="E101" s="1">
        <f>BDD!D104</f>
        <v>0</v>
      </c>
      <c r="F101" s="1">
        <f>BDD!F104</f>
        <v>0</v>
      </c>
      <c r="G101" s="25">
        <f>'ButsMPG + Var'!$I$39*IF(C101="A",COUNTIF(BDD!H104:AR104,10)*'ButsMPG + Var'!$K$12+COUNTIF(BDD!H104:AR104,9)*'ButsMPG + Var'!$K$11+COUNTIF(BDD!H104:AR104,8)*'ButsMPG + Var'!$K$10+COUNTIF(BDD!H104:AR104,7)*'ButsMPG + Var'!$K$9+COUNTIF(BDD!H104:AR104,6)*'ButsMPG + Var'!$K$8+COUNTIF(BDD!H104:AR104,5)*'ButsMPG + Var'!$K$7+COUNTIF(BDD!H104:AR104,4)*'ButsMPG + Var'!$K$6+COUNTIF(BDD!H104:AR104,3)*'ButsMPG + Var'!$K$5+COUNTIF(BDD!H104:AR104,2)*'ButsMPG + Var'!$K$4+COUNTIF(BDD!H104:AR104,1)*'ButsMPG + Var'!$K$3,IF(C101="M",COUNTIF(BDD!H104:AR104,10)*'ButsMPG + Var'!$K$22+COUNTIF(BDD!H104:AR104,9)*'ButsMPG + Var'!$K$21+COUNTIF(BDD!H104:AR104,8)*'ButsMPG + Var'!$K$20+COUNTIF(BDD!H104:AR104,7)*'ButsMPG + Var'!$K$19+COUNTIF(BDD!H104:AR104,6)*'ButsMPG + Var'!$K$18+COUNTIF(BDD!H104:AR104,5)*'ButsMPG + Var'!$K$17+COUNTIF(BDD!H104:AR104,4)*'ButsMPG + Var'!$K$16+COUNTIF(BDD!H104:AR104,3)*'ButsMPG + Var'!$K$15+COUNTIF(BDD!H104:AR104,2)*'ButsMPG + Var'!$K$14+COUNTIF(BDD!H104:AR104,1)*'ButsMPG + Var'!$K$13,IF(C101="D",COUNTIF(BDD!H104:AR104,10)*'ButsMPG + Var'!$K$32+COUNTIF(BDD!H104:AR104,9)*'ButsMPG + Var'!$K$31+COUNTIF(BDD!H104:AR104,8)*'ButsMPG + Var'!$K$30+COUNTIF(BDD!H104:AR104,7)*'ButsMPG + Var'!$K$29+COUNTIF(BDD!H104:AR104,6)*'ButsMPG + Var'!$K$28+COUNTIF(BDD!H104:AR104,5)*'ButsMPG + Var'!$K$27+COUNTIF(BDD!H104:AR104,4)*'ButsMPG + Var'!$K$26+COUNTIF(BDD!H104:AR104,3)*'ButsMPG + Var'!$K$25+COUNTIF(BDD!H104:AR104,2)*'ButsMPG + Var'!$K$24+COUNTIF(BDD!H104:AR104,1)*'ButsMPG + Var'!$K$23,0)))</f>
        <v>0</v>
      </c>
      <c r="H101" s="25">
        <f t="shared" si="2"/>
        <v>0</v>
      </c>
      <c r="I101" s="25">
        <f>BDD!G104</f>
        <v>0</v>
      </c>
      <c r="J101" s="25">
        <f>SUMPRODUCT(BDD!H104:AS104,'ButsMPG + Var'!$B$46:$AM$46)</f>
        <v>0</v>
      </c>
      <c r="K101" s="25" t="e">
        <f>10*('ButsMPG + Var'!$H$37*J101/MAX(J:J)+'ButsMPG + Var'!$G$37*H101/MAX(H:H))</f>
        <v>#DIV/0!</v>
      </c>
      <c r="L101" s="1">
        <f>IF(ISNA(VLOOKUP(B101,PrixMini!$B$3:$E$573,4,FALSE)),1,VLOOKUP(B101,PrixMini!$B$3:$E$573,4,FALSE))</f>
        <v>1</v>
      </c>
      <c r="M101" s="25" t="e">
        <f>IF(ROUND(CalculCotation!$D$3*EXP(CalculCotation!$C$3*K101)-CalculCotation!$D$3+1,0)&gt;L101,ROUND(CalculCotation!$D$3*EXP(CalculCotation!$C$3*K101)-CalculCotation!$D$3+1,0),L101)</f>
        <v>#DIV/0!</v>
      </c>
    </row>
    <row r="102" spans="2:13" x14ac:dyDescent="0.3">
      <c r="B102" s="1">
        <f>BDD!C105</f>
        <v>0</v>
      </c>
      <c r="C102" s="1">
        <f>BDD!B105</f>
        <v>0</v>
      </c>
      <c r="D102" s="1">
        <f>BDD!A105</f>
        <v>0</v>
      </c>
      <c r="E102" s="1">
        <f>BDD!D105</f>
        <v>0</v>
      </c>
      <c r="F102" s="1">
        <f>BDD!F105</f>
        <v>0</v>
      </c>
      <c r="G102" s="25">
        <f>'ButsMPG + Var'!$I$39*IF(C102="A",COUNTIF(BDD!H105:AR105,10)*'ButsMPG + Var'!$K$12+COUNTIF(BDD!H105:AR105,9)*'ButsMPG + Var'!$K$11+COUNTIF(BDD!H105:AR105,8)*'ButsMPG + Var'!$K$10+COUNTIF(BDD!H105:AR105,7)*'ButsMPG + Var'!$K$9+COUNTIF(BDD!H105:AR105,6)*'ButsMPG + Var'!$K$8+COUNTIF(BDD!H105:AR105,5)*'ButsMPG + Var'!$K$7+COUNTIF(BDD!H105:AR105,4)*'ButsMPG + Var'!$K$6+COUNTIF(BDD!H105:AR105,3)*'ButsMPG + Var'!$K$5+COUNTIF(BDD!H105:AR105,2)*'ButsMPG + Var'!$K$4+COUNTIF(BDD!H105:AR105,1)*'ButsMPG + Var'!$K$3,IF(C102="M",COUNTIF(BDD!H105:AR105,10)*'ButsMPG + Var'!$K$22+COUNTIF(BDD!H105:AR105,9)*'ButsMPG + Var'!$K$21+COUNTIF(BDD!H105:AR105,8)*'ButsMPG + Var'!$K$20+COUNTIF(BDD!H105:AR105,7)*'ButsMPG + Var'!$K$19+COUNTIF(BDD!H105:AR105,6)*'ButsMPG + Var'!$K$18+COUNTIF(BDD!H105:AR105,5)*'ButsMPG + Var'!$K$17+COUNTIF(BDD!H105:AR105,4)*'ButsMPG + Var'!$K$16+COUNTIF(BDD!H105:AR105,3)*'ButsMPG + Var'!$K$15+COUNTIF(BDD!H105:AR105,2)*'ButsMPG + Var'!$K$14+COUNTIF(BDD!H105:AR105,1)*'ButsMPG + Var'!$K$13,IF(C102="D",COUNTIF(BDD!H105:AR105,10)*'ButsMPG + Var'!$K$32+COUNTIF(BDD!H105:AR105,9)*'ButsMPG + Var'!$K$31+COUNTIF(BDD!H105:AR105,8)*'ButsMPG + Var'!$K$30+COUNTIF(BDD!H105:AR105,7)*'ButsMPG + Var'!$K$29+COUNTIF(BDD!H105:AR105,6)*'ButsMPG + Var'!$K$28+COUNTIF(BDD!H105:AR105,5)*'ButsMPG + Var'!$K$27+COUNTIF(BDD!H105:AR105,4)*'ButsMPG + Var'!$K$26+COUNTIF(BDD!H105:AR105,3)*'ButsMPG + Var'!$K$25+COUNTIF(BDD!H105:AR105,2)*'ButsMPG + Var'!$K$24+COUNTIF(BDD!H105:AR105,1)*'ButsMPG + Var'!$K$23,0)))</f>
        <v>0</v>
      </c>
      <c r="H102" s="25">
        <f t="shared" si="2"/>
        <v>0</v>
      </c>
      <c r="I102" s="25">
        <f>BDD!G105</f>
        <v>0</v>
      </c>
      <c r="J102" s="25">
        <f>SUMPRODUCT(BDD!H105:AS105,'ButsMPG + Var'!$B$46:$AM$46)</f>
        <v>0</v>
      </c>
      <c r="K102" s="25" t="e">
        <f>10*('ButsMPG + Var'!$H$37*J102/MAX(J:J)+'ButsMPG + Var'!$G$37*H102/MAX(H:H))</f>
        <v>#DIV/0!</v>
      </c>
      <c r="L102" s="1">
        <f>IF(ISNA(VLOOKUP(B102,PrixMini!$B$3:$E$573,4,FALSE)),1,VLOOKUP(B102,PrixMini!$B$3:$E$573,4,FALSE))</f>
        <v>1</v>
      </c>
      <c r="M102" s="25" t="e">
        <f>IF(ROUND(CalculCotation!$D$3*EXP(CalculCotation!$C$3*K102)-CalculCotation!$D$3+1,0)&gt;L102,ROUND(CalculCotation!$D$3*EXP(CalculCotation!$C$3*K102)-CalculCotation!$D$3+1,0),L102)</f>
        <v>#DIV/0!</v>
      </c>
    </row>
    <row r="103" spans="2:13" x14ac:dyDescent="0.3">
      <c r="B103" s="1">
        <f>BDD!C106</f>
        <v>0</v>
      </c>
      <c r="C103" s="1">
        <f>BDD!B106</f>
        <v>0</v>
      </c>
      <c r="D103" s="1">
        <f>BDD!A106</f>
        <v>0</v>
      </c>
      <c r="E103" s="1">
        <f>BDD!D106</f>
        <v>0</v>
      </c>
      <c r="F103" s="1">
        <f>BDD!F106</f>
        <v>0</v>
      </c>
      <c r="G103" s="25">
        <f>'ButsMPG + Var'!$I$39*IF(C103="A",COUNTIF(BDD!H106:AR106,10)*'ButsMPG + Var'!$K$12+COUNTIF(BDD!H106:AR106,9)*'ButsMPG + Var'!$K$11+COUNTIF(BDD!H106:AR106,8)*'ButsMPG + Var'!$K$10+COUNTIF(BDD!H106:AR106,7)*'ButsMPG + Var'!$K$9+COUNTIF(BDD!H106:AR106,6)*'ButsMPG + Var'!$K$8+COUNTIF(BDD!H106:AR106,5)*'ButsMPG + Var'!$K$7+COUNTIF(BDD!H106:AR106,4)*'ButsMPG + Var'!$K$6+COUNTIF(BDD!H106:AR106,3)*'ButsMPG + Var'!$K$5+COUNTIF(BDD!H106:AR106,2)*'ButsMPG + Var'!$K$4+COUNTIF(BDD!H106:AR106,1)*'ButsMPG + Var'!$K$3,IF(C103="M",COUNTIF(BDD!H106:AR106,10)*'ButsMPG + Var'!$K$22+COUNTIF(BDD!H106:AR106,9)*'ButsMPG + Var'!$K$21+COUNTIF(BDD!H106:AR106,8)*'ButsMPG + Var'!$K$20+COUNTIF(BDD!H106:AR106,7)*'ButsMPG + Var'!$K$19+COUNTIF(BDD!H106:AR106,6)*'ButsMPG + Var'!$K$18+COUNTIF(BDD!H106:AR106,5)*'ButsMPG + Var'!$K$17+COUNTIF(BDD!H106:AR106,4)*'ButsMPG + Var'!$K$16+COUNTIF(BDD!H106:AR106,3)*'ButsMPG + Var'!$K$15+COUNTIF(BDD!H106:AR106,2)*'ButsMPG + Var'!$K$14+COUNTIF(BDD!H106:AR106,1)*'ButsMPG + Var'!$K$13,IF(C103="D",COUNTIF(BDD!H106:AR106,10)*'ButsMPG + Var'!$K$32+COUNTIF(BDD!H106:AR106,9)*'ButsMPG + Var'!$K$31+COUNTIF(BDD!H106:AR106,8)*'ButsMPG + Var'!$K$30+COUNTIF(BDD!H106:AR106,7)*'ButsMPG + Var'!$K$29+COUNTIF(BDD!H106:AR106,6)*'ButsMPG + Var'!$K$28+COUNTIF(BDD!H106:AR106,5)*'ButsMPG + Var'!$K$27+COUNTIF(BDD!H106:AR106,4)*'ButsMPG + Var'!$K$26+COUNTIF(BDD!H106:AR106,3)*'ButsMPG + Var'!$K$25+COUNTIF(BDD!H106:AR106,2)*'ButsMPG + Var'!$K$24+COUNTIF(BDD!H106:AR106,1)*'ButsMPG + Var'!$K$23,0)))</f>
        <v>0</v>
      </c>
      <c r="H103" s="25">
        <f t="shared" si="2"/>
        <v>0</v>
      </c>
      <c r="I103" s="25">
        <f>BDD!G106</f>
        <v>0</v>
      </c>
      <c r="J103" s="25">
        <f>SUMPRODUCT(BDD!H106:AS106,'ButsMPG + Var'!$B$46:$AM$46)</f>
        <v>0</v>
      </c>
      <c r="K103" s="25" t="e">
        <f>10*('ButsMPG + Var'!$H$37*J103/MAX(J:J)+'ButsMPG + Var'!$G$37*H103/MAX(H:H))</f>
        <v>#DIV/0!</v>
      </c>
      <c r="L103" s="1">
        <f>IF(ISNA(VLOOKUP(B103,PrixMini!$B$3:$E$573,4,FALSE)),1,VLOOKUP(B103,PrixMini!$B$3:$E$573,4,FALSE))</f>
        <v>1</v>
      </c>
      <c r="M103" s="25" t="e">
        <f>IF(ROUND(CalculCotation!$D$3*EXP(CalculCotation!$C$3*K103)-CalculCotation!$D$3+1,0)&gt;L103,ROUND(CalculCotation!$D$3*EXP(CalculCotation!$C$3*K103)-CalculCotation!$D$3+1,0),L103)</f>
        <v>#DIV/0!</v>
      </c>
    </row>
    <row r="104" spans="2:13" x14ac:dyDescent="0.3">
      <c r="B104" s="1">
        <f>BDD!C107</f>
        <v>0</v>
      </c>
      <c r="C104" s="1">
        <f>BDD!B107</f>
        <v>0</v>
      </c>
      <c r="D104" s="1">
        <f>BDD!A107</f>
        <v>0</v>
      </c>
      <c r="E104" s="1">
        <f>BDD!D107</f>
        <v>0</v>
      </c>
      <c r="F104" s="1">
        <f>BDD!F107</f>
        <v>0</v>
      </c>
      <c r="G104" s="25">
        <f>'ButsMPG + Var'!$I$39*IF(C104="A",COUNTIF(BDD!H107:AR107,10)*'ButsMPG + Var'!$K$12+COUNTIF(BDD!H107:AR107,9)*'ButsMPG + Var'!$K$11+COUNTIF(BDD!H107:AR107,8)*'ButsMPG + Var'!$K$10+COUNTIF(BDD!H107:AR107,7)*'ButsMPG + Var'!$K$9+COUNTIF(BDD!H107:AR107,6)*'ButsMPG + Var'!$K$8+COUNTIF(BDD!H107:AR107,5)*'ButsMPG + Var'!$K$7+COUNTIF(BDD!H107:AR107,4)*'ButsMPG + Var'!$K$6+COUNTIF(BDD!H107:AR107,3)*'ButsMPG + Var'!$K$5+COUNTIF(BDD!H107:AR107,2)*'ButsMPG + Var'!$K$4+COUNTIF(BDD!H107:AR107,1)*'ButsMPG + Var'!$K$3,IF(C104="M",COUNTIF(BDD!H107:AR107,10)*'ButsMPG + Var'!$K$22+COUNTIF(BDD!H107:AR107,9)*'ButsMPG + Var'!$K$21+COUNTIF(BDD!H107:AR107,8)*'ButsMPG + Var'!$K$20+COUNTIF(BDD!H107:AR107,7)*'ButsMPG + Var'!$K$19+COUNTIF(BDD!H107:AR107,6)*'ButsMPG + Var'!$K$18+COUNTIF(BDD!H107:AR107,5)*'ButsMPG + Var'!$K$17+COUNTIF(BDD!H107:AR107,4)*'ButsMPG + Var'!$K$16+COUNTIF(BDD!H107:AR107,3)*'ButsMPG + Var'!$K$15+COUNTIF(BDD!H107:AR107,2)*'ButsMPG + Var'!$K$14+COUNTIF(BDD!H107:AR107,1)*'ButsMPG + Var'!$K$13,IF(C104="D",COUNTIF(BDD!H107:AR107,10)*'ButsMPG + Var'!$K$32+COUNTIF(BDD!H107:AR107,9)*'ButsMPG + Var'!$K$31+COUNTIF(BDD!H107:AR107,8)*'ButsMPG + Var'!$K$30+COUNTIF(BDD!H107:AR107,7)*'ButsMPG + Var'!$K$29+COUNTIF(BDD!H107:AR107,6)*'ButsMPG + Var'!$K$28+COUNTIF(BDD!H107:AR107,5)*'ButsMPG + Var'!$K$27+COUNTIF(BDD!H107:AR107,4)*'ButsMPG + Var'!$K$26+COUNTIF(BDD!H107:AR107,3)*'ButsMPG + Var'!$K$25+COUNTIF(BDD!H107:AR107,2)*'ButsMPG + Var'!$K$24+COUNTIF(BDD!H107:AR107,1)*'ButsMPG + Var'!$K$23,0)))</f>
        <v>0</v>
      </c>
      <c r="H104" s="25">
        <f t="shared" si="2"/>
        <v>0</v>
      </c>
      <c r="I104" s="25">
        <f>BDD!G107</f>
        <v>0</v>
      </c>
      <c r="J104" s="25">
        <f>SUMPRODUCT(BDD!H107:AS107,'ButsMPG + Var'!$B$46:$AM$46)</f>
        <v>0</v>
      </c>
      <c r="K104" s="25" t="e">
        <f>10*('ButsMPG + Var'!$H$37*J104/MAX(J:J)+'ButsMPG + Var'!$G$37*H104/MAX(H:H))</f>
        <v>#DIV/0!</v>
      </c>
      <c r="L104" s="1">
        <f>IF(ISNA(VLOOKUP(B104,PrixMini!$B$3:$E$573,4,FALSE)),1,VLOOKUP(B104,PrixMini!$B$3:$E$573,4,FALSE))</f>
        <v>1</v>
      </c>
      <c r="M104" s="25" t="e">
        <f>IF(ROUND(CalculCotation!$D$3*EXP(CalculCotation!$C$3*K104)-CalculCotation!$D$3+1,0)&gt;L104,ROUND(CalculCotation!$D$3*EXP(CalculCotation!$C$3*K104)-CalculCotation!$D$3+1,0),L104)</f>
        <v>#DIV/0!</v>
      </c>
    </row>
    <row r="105" spans="2:13" x14ac:dyDescent="0.3">
      <c r="B105" s="1">
        <f>BDD!C108</f>
        <v>0</v>
      </c>
      <c r="C105" s="1">
        <f>BDD!B108</f>
        <v>0</v>
      </c>
      <c r="D105" s="1">
        <f>BDD!A108</f>
        <v>0</v>
      </c>
      <c r="E105" s="1">
        <f>BDD!D108</f>
        <v>0</v>
      </c>
      <c r="F105" s="1">
        <f>BDD!F108</f>
        <v>0</v>
      </c>
      <c r="G105" s="25">
        <f>'ButsMPG + Var'!$I$39*IF(C105="A",COUNTIF(BDD!H108:AR108,10)*'ButsMPG + Var'!$K$12+COUNTIF(BDD!H108:AR108,9)*'ButsMPG + Var'!$K$11+COUNTIF(BDD!H108:AR108,8)*'ButsMPG + Var'!$K$10+COUNTIF(BDD!H108:AR108,7)*'ButsMPG + Var'!$K$9+COUNTIF(BDD!H108:AR108,6)*'ButsMPG + Var'!$K$8+COUNTIF(BDD!H108:AR108,5)*'ButsMPG + Var'!$K$7+COUNTIF(BDD!H108:AR108,4)*'ButsMPG + Var'!$K$6+COUNTIF(BDD!H108:AR108,3)*'ButsMPG + Var'!$K$5+COUNTIF(BDD!H108:AR108,2)*'ButsMPG + Var'!$K$4+COUNTIF(BDD!H108:AR108,1)*'ButsMPG + Var'!$K$3,IF(C105="M",COUNTIF(BDD!H108:AR108,10)*'ButsMPG + Var'!$K$22+COUNTIF(BDD!H108:AR108,9)*'ButsMPG + Var'!$K$21+COUNTIF(BDD!H108:AR108,8)*'ButsMPG + Var'!$K$20+COUNTIF(BDD!H108:AR108,7)*'ButsMPG + Var'!$K$19+COUNTIF(BDD!H108:AR108,6)*'ButsMPG + Var'!$K$18+COUNTIF(BDD!H108:AR108,5)*'ButsMPG + Var'!$K$17+COUNTIF(BDD!H108:AR108,4)*'ButsMPG + Var'!$K$16+COUNTIF(BDD!H108:AR108,3)*'ButsMPG + Var'!$K$15+COUNTIF(BDD!H108:AR108,2)*'ButsMPG + Var'!$K$14+COUNTIF(BDD!H108:AR108,1)*'ButsMPG + Var'!$K$13,IF(C105="D",COUNTIF(BDD!H108:AR108,10)*'ButsMPG + Var'!$K$32+COUNTIF(BDD!H108:AR108,9)*'ButsMPG + Var'!$K$31+COUNTIF(BDD!H108:AR108,8)*'ButsMPG + Var'!$K$30+COUNTIF(BDD!H108:AR108,7)*'ButsMPG + Var'!$K$29+COUNTIF(BDD!H108:AR108,6)*'ButsMPG + Var'!$K$28+COUNTIF(BDD!H108:AR108,5)*'ButsMPG + Var'!$K$27+COUNTIF(BDD!H108:AR108,4)*'ButsMPG + Var'!$K$26+COUNTIF(BDD!H108:AR108,3)*'ButsMPG + Var'!$K$25+COUNTIF(BDD!H108:AR108,2)*'ButsMPG + Var'!$K$24+COUNTIF(BDD!H108:AR108,1)*'ButsMPG + Var'!$K$23,0)))</f>
        <v>0</v>
      </c>
      <c r="H105" s="25">
        <f t="shared" si="2"/>
        <v>0</v>
      </c>
      <c r="I105" s="25">
        <f>BDD!G108</f>
        <v>0</v>
      </c>
      <c r="J105" s="25">
        <f>SUMPRODUCT(BDD!H108:AS108,'ButsMPG + Var'!$B$46:$AM$46)</f>
        <v>0</v>
      </c>
      <c r="K105" s="25" t="e">
        <f>10*('ButsMPG + Var'!$H$37*J105/MAX(J:J)+'ButsMPG + Var'!$G$37*H105/MAX(H:H))</f>
        <v>#DIV/0!</v>
      </c>
      <c r="L105" s="1">
        <f>IF(ISNA(VLOOKUP(B105,PrixMini!$B$3:$E$573,4,FALSE)),1,VLOOKUP(B105,PrixMini!$B$3:$E$573,4,FALSE))</f>
        <v>1</v>
      </c>
      <c r="M105" s="25" t="e">
        <f>IF(ROUND(CalculCotation!$D$3*EXP(CalculCotation!$C$3*K105)-CalculCotation!$D$3+1,0)&gt;L105,ROUND(CalculCotation!$D$3*EXP(CalculCotation!$C$3*K105)-CalculCotation!$D$3+1,0),L105)</f>
        <v>#DIV/0!</v>
      </c>
    </row>
    <row r="106" spans="2:13" x14ac:dyDescent="0.3">
      <c r="B106" s="1">
        <f>BDD!C109</f>
        <v>0</v>
      </c>
      <c r="C106" s="1">
        <f>BDD!B109</f>
        <v>0</v>
      </c>
      <c r="D106" s="1">
        <f>BDD!A109</f>
        <v>0</v>
      </c>
      <c r="E106" s="1">
        <f>BDD!D109</f>
        <v>0</v>
      </c>
      <c r="F106" s="1">
        <f>BDD!F109</f>
        <v>0</v>
      </c>
      <c r="G106" s="25">
        <f>'ButsMPG + Var'!$I$39*IF(C106="A",COUNTIF(BDD!H109:AR109,10)*'ButsMPG + Var'!$K$12+COUNTIF(BDD!H109:AR109,9)*'ButsMPG + Var'!$K$11+COUNTIF(BDD!H109:AR109,8)*'ButsMPG + Var'!$K$10+COUNTIF(BDD!H109:AR109,7)*'ButsMPG + Var'!$K$9+COUNTIF(BDD!H109:AR109,6)*'ButsMPG + Var'!$K$8+COUNTIF(BDD!H109:AR109,5)*'ButsMPG + Var'!$K$7+COUNTIF(BDD!H109:AR109,4)*'ButsMPG + Var'!$K$6+COUNTIF(BDD!H109:AR109,3)*'ButsMPG + Var'!$K$5+COUNTIF(BDD!H109:AR109,2)*'ButsMPG + Var'!$K$4+COUNTIF(BDD!H109:AR109,1)*'ButsMPG + Var'!$K$3,IF(C106="M",COUNTIF(BDD!H109:AR109,10)*'ButsMPG + Var'!$K$22+COUNTIF(BDD!H109:AR109,9)*'ButsMPG + Var'!$K$21+COUNTIF(BDD!H109:AR109,8)*'ButsMPG + Var'!$K$20+COUNTIF(BDD!H109:AR109,7)*'ButsMPG + Var'!$K$19+COUNTIF(BDD!H109:AR109,6)*'ButsMPG + Var'!$K$18+COUNTIF(BDD!H109:AR109,5)*'ButsMPG + Var'!$K$17+COUNTIF(BDD!H109:AR109,4)*'ButsMPG + Var'!$K$16+COUNTIF(BDD!H109:AR109,3)*'ButsMPG + Var'!$K$15+COUNTIF(BDD!H109:AR109,2)*'ButsMPG + Var'!$K$14+COUNTIF(BDD!H109:AR109,1)*'ButsMPG + Var'!$K$13,IF(C106="D",COUNTIF(BDD!H109:AR109,10)*'ButsMPG + Var'!$K$32+COUNTIF(BDD!H109:AR109,9)*'ButsMPG + Var'!$K$31+COUNTIF(BDD!H109:AR109,8)*'ButsMPG + Var'!$K$30+COUNTIF(BDD!H109:AR109,7)*'ButsMPG + Var'!$K$29+COUNTIF(BDD!H109:AR109,6)*'ButsMPG + Var'!$K$28+COUNTIF(BDD!H109:AR109,5)*'ButsMPG + Var'!$K$27+COUNTIF(BDD!H109:AR109,4)*'ButsMPG + Var'!$K$26+COUNTIF(BDD!H109:AR109,3)*'ButsMPG + Var'!$K$25+COUNTIF(BDD!H109:AR109,2)*'ButsMPG + Var'!$K$24+COUNTIF(BDD!H109:AR109,1)*'ButsMPG + Var'!$K$23,0)))</f>
        <v>0</v>
      </c>
      <c r="H106" s="25">
        <f t="shared" si="2"/>
        <v>0</v>
      </c>
      <c r="I106" s="25">
        <f>BDD!G109</f>
        <v>0</v>
      </c>
      <c r="J106" s="25">
        <f>SUMPRODUCT(BDD!H109:AS109,'ButsMPG + Var'!$B$46:$AM$46)</f>
        <v>0</v>
      </c>
      <c r="K106" s="25" t="e">
        <f>10*('ButsMPG + Var'!$H$37*J106/MAX(J:J)+'ButsMPG + Var'!$G$37*H106/MAX(H:H))</f>
        <v>#DIV/0!</v>
      </c>
      <c r="L106" s="1">
        <f>IF(ISNA(VLOOKUP(B106,PrixMini!$B$3:$E$573,4,FALSE)),1,VLOOKUP(B106,PrixMini!$B$3:$E$573,4,FALSE))</f>
        <v>1</v>
      </c>
      <c r="M106" s="25" t="e">
        <f>IF(ROUND(CalculCotation!$D$3*EXP(CalculCotation!$C$3*K106)-CalculCotation!$D$3+1,0)&gt;L106,ROUND(CalculCotation!$D$3*EXP(CalculCotation!$C$3*K106)-CalculCotation!$D$3+1,0),L106)</f>
        <v>#DIV/0!</v>
      </c>
    </row>
    <row r="107" spans="2:13" x14ac:dyDescent="0.3">
      <c r="B107" s="1">
        <f>BDD!C110</f>
        <v>0</v>
      </c>
      <c r="C107" s="1">
        <f>BDD!B110</f>
        <v>0</v>
      </c>
      <c r="D107" s="1">
        <f>BDD!A110</f>
        <v>0</v>
      </c>
      <c r="E107" s="1">
        <f>BDD!D110</f>
        <v>0</v>
      </c>
      <c r="F107" s="1">
        <f>BDD!F110</f>
        <v>0</v>
      </c>
      <c r="G107" s="25">
        <f>'ButsMPG + Var'!$I$39*IF(C107="A",COUNTIF(BDD!H110:AR110,10)*'ButsMPG + Var'!$K$12+COUNTIF(BDD!H110:AR110,9)*'ButsMPG + Var'!$K$11+COUNTIF(BDD!H110:AR110,8)*'ButsMPG + Var'!$K$10+COUNTIF(BDD!H110:AR110,7)*'ButsMPG + Var'!$K$9+COUNTIF(BDD!H110:AR110,6)*'ButsMPG + Var'!$K$8+COUNTIF(BDD!H110:AR110,5)*'ButsMPG + Var'!$K$7+COUNTIF(BDD!H110:AR110,4)*'ButsMPG + Var'!$K$6+COUNTIF(BDD!H110:AR110,3)*'ButsMPG + Var'!$K$5+COUNTIF(BDD!H110:AR110,2)*'ButsMPG + Var'!$K$4+COUNTIF(BDD!H110:AR110,1)*'ButsMPG + Var'!$K$3,IF(C107="M",COUNTIF(BDD!H110:AR110,10)*'ButsMPG + Var'!$K$22+COUNTIF(BDD!H110:AR110,9)*'ButsMPG + Var'!$K$21+COUNTIF(BDD!H110:AR110,8)*'ButsMPG + Var'!$K$20+COUNTIF(BDD!H110:AR110,7)*'ButsMPG + Var'!$K$19+COUNTIF(BDD!H110:AR110,6)*'ButsMPG + Var'!$K$18+COUNTIF(BDD!H110:AR110,5)*'ButsMPG + Var'!$K$17+COUNTIF(BDD!H110:AR110,4)*'ButsMPG + Var'!$K$16+COUNTIF(BDD!H110:AR110,3)*'ButsMPG + Var'!$K$15+COUNTIF(BDD!H110:AR110,2)*'ButsMPG + Var'!$K$14+COUNTIF(BDD!H110:AR110,1)*'ButsMPG + Var'!$K$13,IF(C107="D",COUNTIF(BDD!H110:AR110,10)*'ButsMPG + Var'!$K$32+COUNTIF(BDD!H110:AR110,9)*'ButsMPG + Var'!$K$31+COUNTIF(BDD!H110:AR110,8)*'ButsMPG + Var'!$K$30+COUNTIF(BDD!H110:AR110,7)*'ButsMPG + Var'!$K$29+COUNTIF(BDD!H110:AR110,6)*'ButsMPG + Var'!$K$28+COUNTIF(BDD!H110:AR110,5)*'ButsMPG + Var'!$K$27+COUNTIF(BDD!H110:AR110,4)*'ButsMPG + Var'!$K$26+COUNTIF(BDD!H110:AR110,3)*'ButsMPG + Var'!$K$25+COUNTIF(BDD!H110:AR110,2)*'ButsMPG + Var'!$K$24+COUNTIF(BDD!H110:AR110,1)*'ButsMPG + Var'!$K$23,0)))</f>
        <v>0</v>
      </c>
      <c r="H107" s="25">
        <f t="shared" si="2"/>
        <v>0</v>
      </c>
      <c r="I107" s="25">
        <f>BDD!G110</f>
        <v>0</v>
      </c>
      <c r="J107" s="25">
        <f>SUMPRODUCT(BDD!H110:AS110,'ButsMPG + Var'!$B$46:$AM$46)</f>
        <v>0</v>
      </c>
      <c r="K107" s="25" t="e">
        <f>10*('ButsMPG + Var'!$H$37*J107/MAX(J:J)+'ButsMPG + Var'!$G$37*H107/MAX(H:H))</f>
        <v>#DIV/0!</v>
      </c>
      <c r="L107" s="1">
        <f>IF(ISNA(VLOOKUP(B107,PrixMini!$B$3:$E$573,4,FALSE)),1,VLOOKUP(B107,PrixMini!$B$3:$E$573,4,FALSE))</f>
        <v>1</v>
      </c>
      <c r="M107" s="25" t="e">
        <f>IF(ROUND(CalculCotation!$D$3*EXP(CalculCotation!$C$3*K107)-CalculCotation!$D$3+1,0)&gt;L107,ROUND(CalculCotation!$D$3*EXP(CalculCotation!$C$3*K107)-CalculCotation!$D$3+1,0),L107)</f>
        <v>#DIV/0!</v>
      </c>
    </row>
    <row r="108" spans="2:13" x14ac:dyDescent="0.3">
      <c r="B108" s="1">
        <f>BDD!C111</f>
        <v>0</v>
      </c>
      <c r="C108" s="1">
        <f>BDD!B111</f>
        <v>0</v>
      </c>
      <c r="D108" s="1">
        <f>BDD!A111</f>
        <v>0</v>
      </c>
      <c r="E108" s="1">
        <f>BDD!D111</f>
        <v>0</v>
      </c>
      <c r="F108" s="1">
        <f>BDD!F111</f>
        <v>0</v>
      </c>
      <c r="G108" s="25">
        <f>'ButsMPG + Var'!$I$39*IF(C108="A",COUNTIF(BDD!H111:AR111,10)*'ButsMPG + Var'!$K$12+COUNTIF(BDD!H111:AR111,9)*'ButsMPG + Var'!$K$11+COUNTIF(BDD!H111:AR111,8)*'ButsMPG + Var'!$K$10+COUNTIF(BDD!H111:AR111,7)*'ButsMPG + Var'!$K$9+COUNTIF(BDD!H111:AR111,6)*'ButsMPG + Var'!$K$8+COUNTIF(BDD!H111:AR111,5)*'ButsMPG + Var'!$K$7+COUNTIF(BDD!H111:AR111,4)*'ButsMPG + Var'!$K$6+COUNTIF(BDD!H111:AR111,3)*'ButsMPG + Var'!$K$5+COUNTIF(BDD!H111:AR111,2)*'ButsMPG + Var'!$K$4+COUNTIF(BDD!H111:AR111,1)*'ButsMPG + Var'!$K$3,IF(C108="M",COUNTIF(BDD!H111:AR111,10)*'ButsMPG + Var'!$K$22+COUNTIF(BDD!H111:AR111,9)*'ButsMPG + Var'!$K$21+COUNTIF(BDD!H111:AR111,8)*'ButsMPG + Var'!$K$20+COUNTIF(BDD!H111:AR111,7)*'ButsMPG + Var'!$K$19+COUNTIF(BDD!H111:AR111,6)*'ButsMPG + Var'!$K$18+COUNTIF(BDD!H111:AR111,5)*'ButsMPG + Var'!$K$17+COUNTIF(BDD!H111:AR111,4)*'ButsMPG + Var'!$K$16+COUNTIF(BDD!H111:AR111,3)*'ButsMPG + Var'!$K$15+COUNTIF(BDD!H111:AR111,2)*'ButsMPG + Var'!$K$14+COUNTIF(BDD!H111:AR111,1)*'ButsMPG + Var'!$K$13,IF(C108="D",COUNTIF(BDD!H111:AR111,10)*'ButsMPG + Var'!$K$32+COUNTIF(BDD!H111:AR111,9)*'ButsMPG + Var'!$K$31+COUNTIF(BDD!H111:AR111,8)*'ButsMPG + Var'!$K$30+COUNTIF(BDD!H111:AR111,7)*'ButsMPG + Var'!$K$29+COUNTIF(BDD!H111:AR111,6)*'ButsMPG + Var'!$K$28+COUNTIF(BDD!H111:AR111,5)*'ButsMPG + Var'!$K$27+COUNTIF(BDD!H111:AR111,4)*'ButsMPG + Var'!$K$26+COUNTIF(BDD!H111:AR111,3)*'ButsMPG + Var'!$K$25+COUNTIF(BDD!H111:AR111,2)*'ButsMPG + Var'!$K$24+COUNTIF(BDD!H111:AR111,1)*'ButsMPG + Var'!$K$23,0)))</f>
        <v>0</v>
      </c>
      <c r="H108" s="25">
        <f t="shared" si="2"/>
        <v>0</v>
      </c>
      <c r="I108" s="25">
        <f>BDD!G111</f>
        <v>0</v>
      </c>
      <c r="J108" s="25">
        <f>SUMPRODUCT(BDD!H111:AS111,'ButsMPG + Var'!$B$46:$AM$46)</f>
        <v>0</v>
      </c>
      <c r="K108" s="25" t="e">
        <f>10*('ButsMPG + Var'!$H$37*J108/MAX(J:J)+'ButsMPG + Var'!$G$37*H108/MAX(H:H))</f>
        <v>#DIV/0!</v>
      </c>
      <c r="L108" s="1">
        <f>IF(ISNA(VLOOKUP(B108,PrixMini!$B$3:$E$573,4,FALSE)),1,VLOOKUP(B108,PrixMini!$B$3:$E$573,4,FALSE))</f>
        <v>1</v>
      </c>
      <c r="M108" s="25" t="e">
        <f>IF(ROUND(CalculCotation!$D$3*EXP(CalculCotation!$C$3*K108)-CalculCotation!$D$3+1,0)&gt;L108,ROUND(CalculCotation!$D$3*EXP(CalculCotation!$C$3*K108)-CalculCotation!$D$3+1,0),L108)</f>
        <v>#DIV/0!</v>
      </c>
    </row>
    <row r="109" spans="2:13" x14ac:dyDescent="0.3">
      <c r="B109" s="1">
        <f>BDD!C112</f>
        <v>0</v>
      </c>
      <c r="C109" s="1">
        <f>BDD!B112</f>
        <v>0</v>
      </c>
      <c r="D109" s="1">
        <f>BDD!A112</f>
        <v>0</v>
      </c>
      <c r="E109" s="1">
        <f>BDD!D112</f>
        <v>0</v>
      </c>
      <c r="F109" s="1">
        <f>BDD!F112</f>
        <v>0</v>
      </c>
      <c r="G109" s="25">
        <f>'ButsMPG + Var'!$I$39*IF(C109="A",COUNTIF(BDD!H112:AR112,10)*'ButsMPG + Var'!$K$12+COUNTIF(BDD!H112:AR112,9)*'ButsMPG + Var'!$K$11+COUNTIF(BDD!H112:AR112,8)*'ButsMPG + Var'!$K$10+COUNTIF(BDD!H112:AR112,7)*'ButsMPG + Var'!$K$9+COUNTIF(BDD!H112:AR112,6)*'ButsMPG + Var'!$K$8+COUNTIF(BDD!H112:AR112,5)*'ButsMPG + Var'!$K$7+COUNTIF(BDD!H112:AR112,4)*'ButsMPG + Var'!$K$6+COUNTIF(BDD!H112:AR112,3)*'ButsMPG + Var'!$K$5+COUNTIF(BDD!H112:AR112,2)*'ButsMPG + Var'!$K$4+COUNTIF(BDD!H112:AR112,1)*'ButsMPG + Var'!$K$3,IF(C109="M",COUNTIF(BDD!H112:AR112,10)*'ButsMPG + Var'!$K$22+COUNTIF(BDD!H112:AR112,9)*'ButsMPG + Var'!$K$21+COUNTIF(BDD!H112:AR112,8)*'ButsMPG + Var'!$K$20+COUNTIF(BDD!H112:AR112,7)*'ButsMPG + Var'!$K$19+COUNTIF(BDD!H112:AR112,6)*'ButsMPG + Var'!$K$18+COUNTIF(BDD!H112:AR112,5)*'ButsMPG + Var'!$K$17+COUNTIF(BDD!H112:AR112,4)*'ButsMPG + Var'!$K$16+COUNTIF(BDD!H112:AR112,3)*'ButsMPG + Var'!$K$15+COUNTIF(BDD!H112:AR112,2)*'ButsMPG + Var'!$K$14+COUNTIF(BDD!H112:AR112,1)*'ButsMPG + Var'!$K$13,IF(C109="D",COUNTIF(BDD!H112:AR112,10)*'ButsMPG + Var'!$K$32+COUNTIF(BDD!H112:AR112,9)*'ButsMPG + Var'!$K$31+COUNTIF(BDD!H112:AR112,8)*'ButsMPG + Var'!$K$30+COUNTIF(BDD!H112:AR112,7)*'ButsMPG + Var'!$K$29+COUNTIF(BDD!H112:AR112,6)*'ButsMPG + Var'!$K$28+COUNTIF(BDD!H112:AR112,5)*'ButsMPG + Var'!$K$27+COUNTIF(BDD!H112:AR112,4)*'ButsMPG + Var'!$K$26+COUNTIF(BDD!H112:AR112,3)*'ButsMPG + Var'!$K$25+COUNTIF(BDD!H112:AR112,2)*'ButsMPG + Var'!$K$24+COUNTIF(BDD!H112:AR112,1)*'ButsMPG + Var'!$K$23,0)))</f>
        <v>0</v>
      </c>
      <c r="H109" s="25">
        <f t="shared" si="2"/>
        <v>0</v>
      </c>
      <c r="I109" s="25">
        <f>BDD!G112</f>
        <v>0</v>
      </c>
      <c r="J109" s="25">
        <f>SUMPRODUCT(BDD!H112:AS112,'ButsMPG + Var'!$B$46:$AM$46)</f>
        <v>0</v>
      </c>
      <c r="K109" s="25" t="e">
        <f>10*('ButsMPG + Var'!$H$37*J109/MAX(J:J)+'ButsMPG + Var'!$G$37*H109/MAX(H:H))</f>
        <v>#DIV/0!</v>
      </c>
      <c r="L109" s="1">
        <f>IF(ISNA(VLOOKUP(B109,PrixMini!$B$3:$E$573,4,FALSE)),1,VLOOKUP(B109,PrixMini!$B$3:$E$573,4,FALSE))</f>
        <v>1</v>
      </c>
      <c r="M109" s="25" t="e">
        <f>IF(ROUND(CalculCotation!$D$3*EXP(CalculCotation!$C$3*K109)-CalculCotation!$D$3+1,0)&gt;L109,ROUND(CalculCotation!$D$3*EXP(CalculCotation!$C$3*K109)-CalculCotation!$D$3+1,0),L109)</f>
        <v>#DIV/0!</v>
      </c>
    </row>
    <row r="110" spans="2:13" x14ac:dyDescent="0.3">
      <c r="B110" s="1">
        <f>BDD!C113</f>
        <v>0</v>
      </c>
      <c r="C110" s="1">
        <f>BDD!B113</f>
        <v>0</v>
      </c>
      <c r="D110" s="1">
        <f>BDD!A113</f>
        <v>0</v>
      </c>
      <c r="E110" s="1">
        <f>BDD!D113</f>
        <v>0</v>
      </c>
      <c r="F110" s="1">
        <f>BDD!F113</f>
        <v>0</v>
      </c>
      <c r="G110" s="25">
        <f>'ButsMPG + Var'!$I$39*IF(C110="A",COUNTIF(BDD!H113:AR113,10)*'ButsMPG + Var'!$K$12+COUNTIF(BDD!H113:AR113,9)*'ButsMPG + Var'!$K$11+COUNTIF(BDD!H113:AR113,8)*'ButsMPG + Var'!$K$10+COUNTIF(BDD!H113:AR113,7)*'ButsMPG + Var'!$K$9+COUNTIF(BDD!H113:AR113,6)*'ButsMPG + Var'!$K$8+COUNTIF(BDD!H113:AR113,5)*'ButsMPG + Var'!$K$7+COUNTIF(BDD!H113:AR113,4)*'ButsMPG + Var'!$K$6+COUNTIF(BDD!H113:AR113,3)*'ButsMPG + Var'!$K$5+COUNTIF(BDD!H113:AR113,2)*'ButsMPG + Var'!$K$4+COUNTIF(BDD!H113:AR113,1)*'ButsMPG + Var'!$K$3,IF(C110="M",COUNTIF(BDD!H113:AR113,10)*'ButsMPG + Var'!$K$22+COUNTIF(BDD!H113:AR113,9)*'ButsMPG + Var'!$K$21+COUNTIF(BDD!H113:AR113,8)*'ButsMPG + Var'!$K$20+COUNTIF(BDD!H113:AR113,7)*'ButsMPG + Var'!$K$19+COUNTIF(BDD!H113:AR113,6)*'ButsMPG + Var'!$K$18+COUNTIF(BDD!H113:AR113,5)*'ButsMPG + Var'!$K$17+COUNTIF(BDD!H113:AR113,4)*'ButsMPG + Var'!$K$16+COUNTIF(BDD!H113:AR113,3)*'ButsMPG + Var'!$K$15+COUNTIF(BDD!H113:AR113,2)*'ButsMPG + Var'!$K$14+COUNTIF(BDD!H113:AR113,1)*'ButsMPG + Var'!$K$13,IF(C110="D",COUNTIF(BDD!H113:AR113,10)*'ButsMPG + Var'!$K$32+COUNTIF(BDD!H113:AR113,9)*'ButsMPG + Var'!$K$31+COUNTIF(BDD!H113:AR113,8)*'ButsMPG + Var'!$K$30+COUNTIF(BDD!H113:AR113,7)*'ButsMPG + Var'!$K$29+COUNTIF(BDD!H113:AR113,6)*'ButsMPG + Var'!$K$28+COUNTIF(BDD!H113:AR113,5)*'ButsMPG + Var'!$K$27+COUNTIF(BDD!H113:AR113,4)*'ButsMPG + Var'!$K$26+COUNTIF(BDD!H113:AR113,3)*'ButsMPG + Var'!$K$25+COUNTIF(BDD!H113:AR113,2)*'ButsMPG + Var'!$K$24+COUNTIF(BDD!H113:AR113,1)*'ButsMPG + Var'!$K$23,0)))</f>
        <v>0</v>
      </c>
      <c r="H110" s="25">
        <f t="shared" si="2"/>
        <v>0</v>
      </c>
      <c r="I110" s="25">
        <f>BDD!G113</f>
        <v>0</v>
      </c>
      <c r="J110" s="25">
        <f>SUMPRODUCT(BDD!H113:AS113,'ButsMPG + Var'!$B$46:$AM$46)</f>
        <v>0</v>
      </c>
      <c r="K110" s="25" t="e">
        <f>10*('ButsMPG + Var'!$H$37*J110/MAX(J:J)+'ButsMPG + Var'!$G$37*H110/MAX(H:H))</f>
        <v>#DIV/0!</v>
      </c>
      <c r="L110" s="1">
        <f>IF(ISNA(VLOOKUP(B110,PrixMini!$B$3:$E$573,4,FALSE)),1,VLOOKUP(B110,PrixMini!$B$3:$E$573,4,FALSE))</f>
        <v>1</v>
      </c>
      <c r="M110" s="25" t="e">
        <f>IF(ROUND(CalculCotation!$D$3*EXP(CalculCotation!$C$3*K110)-CalculCotation!$D$3+1,0)&gt;L110,ROUND(CalculCotation!$D$3*EXP(CalculCotation!$C$3*K110)-CalculCotation!$D$3+1,0),L110)</f>
        <v>#DIV/0!</v>
      </c>
    </row>
    <row r="111" spans="2:13" x14ac:dyDescent="0.3">
      <c r="B111" s="1">
        <f>BDD!C114</f>
        <v>0</v>
      </c>
      <c r="C111" s="1">
        <f>BDD!B114</f>
        <v>0</v>
      </c>
      <c r="D111" s="1">
        <f>BDD!A114</f>
        <v>0</v>
      </c>
      <c r="E111" s="1">
        <f>BDD!D114</f>
        <v>0</v>
      </c>
      <c r="F111" s="1">
        <f>BDD!F114</f>
        <v>0</v>
      </c>
      <c r="G111" s="25">
        <f>'ButsMPG + Var'!$I$39*IF(C111="A",COUNTIF(BDD!H114:AR114,10)*'ButsMPG + Var'!$K$12+COUNTIF(BDD!H114:AR114,9)*'ButsMPG + Var'!$K$11+COUNTIF(BDD!H114:AR114,8)*'ButsMPG + Var'!$K$10+COUNTIF(BDD!H114:AR114,7)*'ButsMPG + Var'!$K$9+COUNTIF(BDD!H114:AR114,6)*'ButsMPG + Var'!$K$8+COUNTIF(BDD!H114:AR114,5)*'ButsMPG + Var'!$K$7+COUNTIF(BDD!H114:AR114,4)*'ButsMPG + Var'!$K$6+COUNTIF(BDD!H114:AR114,3)*'ButsMPG + Var'!$K$5+COUNTIF(BDD!H114:AR114,2)*'ButsMPG + Var'!$K$4+COUNTIF(BDD!H114:AR114,1)*'ButsMPG + Var'!$K$3,IF(C111="M",COUNTIF(BDD!H114:AR114,10)*'ButsMPG + Var'!$K$22+COUNTIF(BDD!H114:AR114,9)*'ButsMPG + Var'!$K$21+COUNTIF(BDD!H114:AR114,8)*'ButsMPG + Var'!$K$20+COUNTIF(BDD!H114:AR114,7)*'ButsMPG + Var'!$K$19+COUNTIF(BDD!H114:AR114,6)*'ButsMPG + Var'!$K$18+COUNTIF(BDD!H114:AR114,5)*'ButsMPG + Var'!$K$17+COUNTIF(BDD!H114:AR114,4)*'ButsMPG + Var'!$K$16+COUNTIF(BDD!H114:AR114,3)*'ButsMPG + Var'!$K$15+COUNTIF(BDD!H114:AR114,2)*'ButsMPG + Var'!$K$14+COUNTIF(BDD!H114:AR114,1)*'ButsMPG + Var'!$K$13,IF(C111="D",COUNTIF(BDD!H114:AR114,10)*'ButsMPG + Var'!$K$32+COUNTIF(BDD!H114:AR114,9)*'ButsMPG + Var'!$K$31+COUNTIF(BDD!H114:AR114,8)*'ButsMPG + Var'!$K$30+COUNTIF(BDD!H114:AR114,7)*'ButsMPG + Var'!$K$29+COUNTIF(BDD!H114:AR114,6)*'ButsMPG + Var'!$K$28+COUNTIF(BDD!H114:AR114,5)*'ButsMPG + Var'!$K$27+COUNTIF(BDD!H114:AR114,4)*'ButsMPG + Var'!$K$26+COUNTIF(BDD!H114:AR114,3)*'ButsMPG + Var'!$K$25+COUNTIF(BDD!H114:AR114,2)*'ButsMPG + Var'!$K$24+COUNTIF(BDD!H114:AR114,1)*'ButsMPG + Var'!$K$23,0)))</f>
        <v>0</v>
      </c>
      <c r="H111" s="25">
        <f t="shared" si="2"/>
        <v>0</v>
      </c>
      <c r="I111" s="25">
        <f>BDD!G114</f>
        <v>0</v>
      </c>
      <c r="J111" s="25">
        <f>SUMPRODUCT(BDD!H114:AS114,'ButsMPG + Var'!$B$46:$AM$46)</f>
        <v>0</v>
      </c>
      <c r="K111" s="25" t="e">
        <f>10*('ButsMPG + Var'!$H$37*J111/MAX(J:J)+'ButsMPG + Var'!$G$37*H111/MAX(H:H))</f>
        <v>#DIV/0!</v>
      </c>
      <c r="L111" s="1">
        <f>IF(ISNA(VLOOKUP(B111,PrixMini!$B$3:$E$573,4,FALSE)),1,VLOOKUP(B111,PrixMini!$B$3:$E$573,4,FALSE))</f>
        <v>1</v>
      </c>
      <c r="M111" s="25" t="e">
        <f>IF(ROUND(CalculCotation!$D$3*EXP(CalculCotation!$C$3*K111)-CalculCotation!$D$3+1,0)&gt;L111,ROUND(CalculCotation!$D$3*EXP(CalculCotation!$C$3*K111)-CalculCotation!$D$3+1,0),L111)</f>
        <v>#DIV/0!</v>
      </c>
    </row>
    <row r="112" spans="2:13" x14ac:dyDescent="0.3">
      <c r="B112" s="1">
        <f>BDD!C115</f>
        <v>0</v>
      </c>
      <c r="C112" s="1">
        <f>BDD!B115</f>
        <v>0</v>
      </c>
      <c r="D112" s="1">
        <f>BDD!A115</f>
        <v>0</v>
      </c>
      <c r="E112" s="1">
        <f>BDD!D115</f>
        <v>0</v>
      </c>
      <c r="F112" s="1">
        <f>BDD!F115</f>
        <v>0</v>
      </c>
      <c r="G112" s="25">
        <f>'ButsMPG + Var'!$I$39*IF(C112="A",COUNTIF(BDD!H115:AR115,10)*'ButsMPG + Var'!$K$12+COUNTIF(BDD!H115:AR115,9)*'ButsMPG + Var'!$K$11+COUNTIF(BDD!H115:AR115,8)*'ButsMPG + Var'!$K$10+COUNTIF(BDD!H115:AR115,7)*'ButsMPG + Var'!$K$9+COUNTIF(BDD!H115:AR115,6)*'ButsMPG + Var'!$K$8+COUNTIF(BDD!H115:AR115,5)*'ButsMPG + Var'!$K$7+COUNTIF(BDD!H115:AR115,4)*'ButsMPG + Var'!$K$6+COUNTIF(BDD!H115:AR115,3)*'ButsMPG + Var'!$K$5+COUNTIF(BDD!H115:AR115,2)*'ButsMPG + Var'!$K$4+COUNTIF(BDD!H115:AR115,1)*'ButsMPG + Var'!$K$3,IF(C112="M",COUNTIF(BDD!H115:AR115,10)*'ButsMPG + Var'!$K$22+COUNTIF(BDD!H115:AR115,9)*'ButsMPG + Var'!$K$21+COUNTIF(BDD!H115:AR115,8)*'ButsMPG + Var'!$K$20+COUNTIF(BDD!H115:AR115,7)*'ButsMPG + Var'!$K$19+COUNTIF(BDD!H115:AR115,6)*'ButsMPG + Var'!$K$18+COUNTIF(BDD!H115:AR115,5)*'ButsMPG + Var'!$K$17+COUNTIF(BDD!H115:AR115,4)*'ButsMPG + Var'!$K$16+COUNTIF(BDD!H115:AR115,3)*'ButsMPG + Var'!$K$15+COUNTIF(BDD!H115:AR115,2)*'ButsMPG + Var'!$K$14+COUNTIF(BDD!H115:AR115,1)*'ButsMPG + Var'!$K$13,IF(C112="D",COUNTIF(BDD!H115:AR115,10)*'ButsMPG + Var'!$K$32+COUNTIF(BDD!H115:AR115,9)*'ButsMPG + Var'!$K$31+COUNTIF(BDD!H115:AR115,8)*'ButsMPG + Var'!$K$30+COUNTIF(BDD!H115:AR115,7)*'ButsMPG + Var'!$K$29+COUNTIF(BDD!H115:AR115,6)*'ButsMPG + Var'!$K$28+COUNTIF(BDD!H115:AR115,5)*'ButsMPG + Var'!$K$27+COUNTIF(BDD!H115:AR115,4)*'ButsMPG + Var'!$K$26+COUNTIF(BDD!H115:AR115,3)*'ButsMPG + Var'!$K$25+COUNTIF(BDD!H115:AR115,2)*'ButsMPG + Var'!$K$24+COUNTIF(BDD!H115:AR115,1)*'ButsMPG + Var'!$K$23,0)))</f>
        <v>0</v>
      </c>
      <c r="H112" s="25">
        <f t="shared" si="2"/>
        <v>0</v>
      </c>
      <c r="I112" s="25">
        <f>BDD!G115</f>
        <v>0</v>
      </c>
      <c r="J112" s="25">
        <f>SUMPRODUCT(BDD!H115:AS115,'ButsMPG + Var'!$B$46:$AM$46)</f>
        <v>0</v>
      </c>
      <c r="K112" s="25" t="e">
        <f>10*('ButsMPG + Var'!$H$37*J112/MAX(J:J)+'ButsMPG + Var'!$G$37*H112/MAX(H:H))</f>
        <v>#DIV/0!</v>
      </c>
      <c r="L112" s="1">
        <f>IF(ISNA(VLOOKUP(B112,PrixMini!$B$3:$E$573,4,FALSE)),1,VLOOKUP(B112,PrixMini!$B$3:$E$573,4,FALSE))</f>
        <v>1</v>
      </c>
      <c r="M112" s="25" t="e">
        <f>IF(ROUND(CalculCotation!$D$3*EXP(CalculCotation!$C$3*K112)-CalculCotation!$D$3+1,0)&gt;L112,ROUND(CalculCotation!$D$3*EXP(CalculCotation!$C$3*K112)-CalculCotation!$D$3+1,0),L112)</f>
        <v>#DIV/0!</v>
      </c>
    </row>
    <row r="113" spans="2:13" x14ac:dyDescent="0.3">
      <c r="B113" s="1">
        <f>BDD!C116</f>
        <v>0</v>
      </c>
      <c r="C113" s="1">
        <f>BDD!B116</f>
        <v>0</v>
      </c>
      <c r="D113" s="1">
        <f>BDD!A116</f>
        <v>0</v>
      </c>
      <c r="E113" s="1">
        <f>BDD!D116</f>
        <v>0</v>
      </c>
      <c r="F113" s="1">
        <f>BDD!F116</f>
        <v>0</v>
      </c>
      <c r="G113" s="25">
        <f>'ButsMPG + Var'!$I$39*IF(C113="A",COUNTIF(BDD!H116:AR116,10)*'ButsMPG + Var'!$K$12+COUNTIF(BDD!H116:AR116,9)*'ButsMPG + Var'!$K$11+COUNTIF(BDD!H116:AR116,8)*'ButsMPG + Var'!$K$10+COUNTIF(BDD!H116:AR116,7)*'ButsMPG + Var'!$K$9+COUNTIF(BDD!H116:AR116,6)*'ButsMPG + Var'!$K$8+COUNTIF(BDD!H116:AR116,5)*'ButsMPG + Var'!$K$7+COUNTIF(BDD!H116:AR116,4)*'ButsMPG + Var'!$K$6+COUNTIF(BDD!H116:AR116,3)*'ButsMPG + Var'!$K$5+COUNTIF(BDD!H116:AR116,2)*'ButsMPG + Var'!$K$4+COUNTIF(BDD!H116:AR116,1)*'ButsMPG + Var'!$K$3,IF(C113="M",COUNTIF(BDD!H116:AR116,10)*'ButsMPG + Var'!$K$22+COUNTIF(BDD!H116:AR116,9)*'ButsMPG + Var'!$K$21+COUNTIF(BDD!H116:AR116,8)*'ButsMPG + Var'!$K$20+COUNTIF(BDD!H116:AR116,7)*'ButsMPG + Var'!$K$19+COUNTIF(BDD!H116:AR116,6)*'ButsMPG + Var'!$K$18+COUNTIF(BDD!H116:AR116,5)*'ButsMPG + Var'!$K$17+COUNTIF(BDD!H116:AR116,4)*'ButsMPG + Var'!$K$16+COUNTIF(BDD!H116:AR116,3)*'ButsMPG + Var'!$K$15+COUNTIF(BDD!H116:AR116,2)*'ButsMPG + Var'!$K$14+COUNTIF(BDD!H116:AR116,1)*'ButsMPG + Var'!$K$13,IF(C113="D",COUNTIF(BDD!H116:AR116,10)*'ButsMPG + Var'!$K$32+COUNTIF(BDD!H116:AR116,9)*'ButsMPG + Var'!$K$31+COUNTIF(BDD!H116:AR116,8)*'ButsMPG + Var'!$K$30+COUNTIF(BDD!H116:AR116,7)*'ButsMPG + Var'!$K$29+COUNTIF(BDD!H116:AR116,6)*'ButsMPG + Var'!$K$28+COUNTIF(BDD!H116:AR116,5)*'ButsMPG + Var'!$K$27+COUNTIF(BDD!H116:AR116,4)*'ButsMPG + Var'!$K$26+COUNTIF(BDD!H116:AR116,3)*'ButsMPG + Var'!$K$25+COUNTIF(BDD!H116:AR116,2)*'ButsMPG + Var'!$K$24+COUNTIF(BDD!H116:AR116,1)*'ButsMPG + Var'!$K$23,0)))</f>
        <v>0</v>
      </c>
      <c r="H113" s="25">
        <f t="shared" si="2"/>
        <v>0</v>
      </c>
      <c r="I113" s="25">
        <f>BDD!G116</f>
        <v>0</v>
      </c>
      <c r="J113" s="25">
        <f>SUMPRODUCT(BDD!H116:AS116,'ButsMPG + Var'!$B$46:$AM$46)</f>
        <v>0</v>
      </c>
      <c r="K113" s="25" t="e">
        <f>10*('ButsMPG + Var'!$H$37*J113/MAX(J:J)+'ButsMPG + Var'!$G$37*H113/MAX(H:H))</f>
        <v>#DIV/0!</v>
      </c>
      <c r="L113" s="1">
        <f>IF(ISNA(VLOOKUP(B113,PrixMini!$B$3:$E$573,4,FALSE)),1,VLOOKUP(B113,PrixMini!$B$3:$E$573,4,FALSE))</f>
        <v>1</v>
      </c>
      <c r="M113" s="25" t="e">
        <f>IF(ROUND(CalculCotation!$D$3*EXP(CalculCotation!$C$3*K113)-CalculCotation!$D$3+1,0)&gt;L113,ROUND(CalculCotation!$D$3*EXP(CalculCotation!$C$3*K113)-CalculCotation!$D$3+1,0),L113)</f>
        <v>#DIV/0!</v>
      </c>
    </row>
    <row r="114" spans="2:13" x14ac:dyDescent="0.3">
      <c r="B114" s="1">
        <f>BDD!C117</f>
        <v>0</v>
      </c>
      <c r="C114" s="1">
        <f>BDD!B117</f>
        <v>0</v>
      </c>
      <c r="D114" s="1">
        <f>BDD!A117</f>
        <v>0</v>
      </c>
      <c r="E114" s="1">
        <f>BDD!D117</f>
        <v>0</v>
      </c>
      <c r="F114" s="1">
        <f>BDD!F117</f>
        <v>0</v>
      </c>
      <c r="G114" s="25">
        <f>'ButsMPG + Var'!$I$39*IF(C114="A",COUNTIF(BDD!H117:AR117,10)*'ButsMPG + Var'!$K$12+COUNTIF(BDD!H117:AR117,9)*'ButsMPG + Var'!$K$11+COUNTIF(BDD!H117:AR117,8)*'ButsMPG + Var'!$K$10+COUNTIF(BDD!H117:AR117,7)*'ButsMPG + Var'!$K$9+COUNTIF(BDD!H117:AR117,6)*'ButsMPG + Var'!$K$8+COUNTIF(BDD!H117:AR117,5)*'ButsMPG + Var'!$K$7+COUNTIF(BDD!H117:AR117,4)*'ButsMPG + Var'!$K$6+COUNTIF(BDD!H117:AR117,3)*'ButsMPG + Var'!$K$5+COUNTIF(BDD!H117:AR117,2)*'ButsMPG + Var'!$K$4+COUNTIF(BDD!H117:AR117,1)*'ButsMPG + Var'!$K$3,IF(C114="M",COUNTIF(BDD!H117:AR117,10)*'ButsMPG + Var'!$K$22+COUNTIF(BDD!H117:AR117,9)*'ButsMPG + Var'!$K$21+COUNTIF(BDD!H117:AR117,8)*'ButsMPG + Var'!$K$20+COUNTIF(BDD!H117:AR117,7)*'ButsMPG + Var'!$K$19+COUNTIF(BDD!H117:AR117,6)*'ButsMPG + Var'!$K$18+COUNTIF(BDD!H117:AR117,5)*'ButsMPG + Var'!$K$17+COUNTIF(BDD!H117:AR117,4)*'ButsMPG + Var'!$K$16+COUNTIF(BDD!H117:AR117,3)*'ButsMPG + Var'!$K$15+COUNTIF(BDD!H117:AR117,2)*'ButsMPG + Var'!$K$14+COUNTIF(BDD!H117:AR117,1)*'ButsMPG + Var'!$K$13,IF(C114="D",COUNTIF(BDD!H117:AR117,10)*'ButsMPG + Var'!$K$32+COUNTIF(BDD!H117:AR117,9)*'ButsMPG + Var'!$K$31+COUNTIF(BDD!H117:AR117,8)*'ButsMPG + Var'!$K$30+COUNTIF(BDD!H117:AR117,7)*'ButsMPG + Var'!$K$29+COUNTIF(BDD!H117:AR117,6)*'ButsMPG + Var'!$K$28+COUNTIF(BDD!H117:AR117,5)*'ButsMPG + Var'!$K$27+COUNTIF(BDD!H117:AR117,4)*'ButsMPG + Var'!$K$26+COUNTIF(BDD!H117:AR117,3)*'ButsMPG + Var'!$K$25+COUNTIF(BDD!H117:AR117,2)*'ButsMPG + Var'!$K$24+COUNTIF(BDD!H117:AR117,1)*'ButsMPG + Var'!$K$23,0)))</f>
        <v>0</v>
      </c>
      <c r="H114" s="25">
        <f t="shared" si="2"/>
        <v>0</v>
      </c>
      <c r="I114" s="25">
        <f>BDD!G117</f>
        <v>0</v>
      </c>
      <c r="J114" s="25">
        <f>SUMPRODUCT(BDD!H117:AS117,'ButsMPG + Var'!$B$46:$AM$46)</f>
        <v>0</v>
      </c>
      <c r="K114" s="25" t="e">
        <f>10*('ButsMPG + Var'!$H$37*J114/MAX(J:J)+'ButsMPG + Var'!$G$37*H114/MAX(H:H))</f>
        <v>#DIV/0!</v>
      </c>
      <c r="L114" s="1">
        <f>IF(ISNA(VLOOKUP(B114,PrixMini!$B$3:$E$573,4,FALSE)),1,VLOOKUP(B114,PrixMini!$B$3:$E$573,4,FALSE))</f>
        <v>1</v>
      </c>
      <c r="M114" s="25" t="e">
        <f>IF(ROUND(CalculCotation!$D$3*EXP(CalculCotation!$C$3*K114)-CalculCotation!$D$3+1,0)&gt;L114,ROUND(CalculCotation!$D$3*EXP(CalculCotation!$C$3*K114)-CalculCotation!$D$3+1,0),L114)</f>
        <v>#DIV/0!</v>
      </c>
    </row>
    <row r="115" spans="2:13" x14ac:dyDescent="0.3">
      <c r="B115" s="1">
        <f>BDD!C118</f>
        <v>0</v>
      </c>
      <c r="C115" s="1">
        <f>BDD!B118</f>
        <v>0</v>
      </c>
      <c r="D115" s="1">
        <f>BDD!A118</f>
        <v>0</v>
      </c>
      <c r="E115" s="1">
        <f>BDD!D118</f>
        <v>0</v>
      </c>
      <c r="F115" s="1">
        <f>BDD!F118</f>
        <v>0</v>
      </c>
      <c r="G115" s="25">
        <f>'ButsMPG + Var'!$I$39*IF(C115="A",COUNTIF(BDD!H118:AR118,10)*'ButsMPG + Var'!$K$12+COUNTIF(BDD!H118:AR118,9)*'ButsMPG + Var'!$K$11+COUNTIF(BDD!H118:AR118,8)*'ButsMPG + Var'!$K$10+COUNTIF(BDD!H118:AR118,7)*'ButsMPG + Var'!$K$9+COUNTIF(BDD!H118:AR118,6)*'ButsMPG + Var'!$K$8+COUNTIF(BDD!H118:AR118,5)*'ButsMPG + Var'!$K$7+COUNTIF(BDD!H118:AR118,4)*'ButsMPG + Var'!$K$6+COUNTIF(BDD!H118:AR118,3)*'ButsMPG + Var'!$K$5+COUNTIF(BDD!H118:AR118,2)*'ButsMPG + Var'!$K$4+COUNTIF(BDD!H118:AR118,1)*'ButsMPG + Var'!$K$3,IF(C115="M",COUNTIF(BDD!H118:AR118,10)*'ButsMPG + Var'!$K$22+COUNTIF(BDD!H118:AR118,9)*'ButsMPG + Var'!$K$21+COUNTIF(BDD!H118:AR118,8)*'ButsMPG + Var'!$K$20+COUNTIF(BDD!H118:AR118,7)*'ButsMPG + Var'!$K$19+COUNTIF(BDD!H118:AR118,6)*'ButsMPG + Var'!$K$18+COUNTIF(BDD!H118:AR118,5)*'ButsMPG + Var'!$K$17+COUNTIF(BDD!H118:AR118,4)*'ButsMPG + Var'!$K$16+COUNTIF(BDD!H118:AR118,3)*'ButsMPG + Var'!$K$15+COUNTIF(BDD!H118:AR118,2)*'ButsMPG + Var'!$K$14+COUNTIF(BDD!H118:AR118,1)*'ButsMPG + Var'!$K$13,IF(C115="D",COUNTIF(BDD!H118:AR118,10)*'ButsMPG + Var'!$K$32+COUNTIF(BDD!H118:AR118,9)*'ButsMPG + Var'!$K$31+COUNTIF(BDD!H118:AR118,8)*'ButsMPG + Var'!$K$30+COUNTIF(BDD!H118:AR118,7)*'ButsMPG + Var'!$K$29+COUNTIF(BDD!H118:AR118,6)*'ButsMPG + Var'!$K$28+COUNTIF(BDD!H118:AR118,5)*'ButsMPG + Var'!$K$27+COUNTIF(BDD!H118:AR118,4)*'ButsMPG + Var'!$K$26+COUNTIF(BDD!H118:AR118,3)*'ButsMPG + Var'!$K$25+COUNTIF(BDD!H118:AR118,2)*'ButsMPG + Var'!$K$24+COUNTIF(BDD!H118:AR118,1)*'ButsMPG + Var'!$K$23,0)))</f>
        <v>0</v>
      </c>
      <c r="H115" s="25">
        <f t="shared" si="2"/>
        <v>0</v>
      </c>
      <c r="I115" s="25">
        <f>BDD!G118</f>
        <v>0</v>
      </c>
      <c r="J115" s="25">
        <f>SUMPRODUCT(BDD!H118:AS118,'ButsMPG + Var'!$B$46:$AM$46)</f>
        <v>0</v>
      </c>
      <c r="K115" s="25" t="e">
        <f>10*('ButsMPG + Var'!$H$37*J115/MAX(J:J)+'ButsMPG + Var'!$G$37*H115/MAX(H:H))</f>
        <v>#DIV/0!</v>
      </c>
      <c r="L115" s="1">
        <f>IF(ISNA(VLOOKUP(B115,PrixMini!$B$3:$E$573,4,FALSE)),1,VLOOKUP(B115,PrixMini!$B$3:$E$573,4,FALSE))</f>
        <v>1</v>
      </c>
      <c r="M115" s="25" t="e">
        <f>IF(ROUND(CalculCotation!$D$3*EXP(CalculCotation!$C$3*K115)-CalculCotation!$D$3+1,0)&gt;L115,ROUND(CalculCotation!$D$3*EXP(CalculCotation!$C$3*K115)-CalculCotation!$D$3+1,0),L115)</f>
        <v>#DIV/0!</v>
      </c>
    </row>
    <row r="116" spans="2:13" x14ac:dyDescent="0.3">
      <c r="B116" s="1">
        <f>BDD!C119</f>
        <v>0</v>
      </c>
      <c r="C116" s="1">
        <f>BDD!B119</f>
        <v>0</v>
      </c>
      <c r="D116" s="1">
        <f>BDD!A119</f>
        <v>0</v>
      </c>
      <c r="E116" s="1">
        <f>BDD!D119</f>
        <v>0</v>
      </c>
      <c r="F116" s="1">
        <f>BDD!F119</f>
        <v>0</v>
      </c>
      <c r="G116" s="25">
        <f>'ButsMPG + Var'!$I$39*IF(C116="A",COUNTIF(BDD!H119:AR119,10)*'ButsMPG + Var'!$K$12+COUNTIF(BDD!H119:AR119,9)*'ButsMPG + Var'!$K$11+COUNTIF(BDD!H119:AR119,8)*'ButsMPG + Var'!$K$10+COUNTIF(BDD!H119:AR119,7)*'ButsMPG + Var'!$K$9+COUNTIF(BDD!H119:AR119,6)*'ButsMPG + Var'!$K$8+COUNTIF(BDD!H119:AR119,5)*'ButsMPG + Var'!$K$7+COUNTIF(BDD!H119:AR119,4)*'ButsMPG + Var'!$K$6+COUNTIF(BDD!H119:AR119,3)*'ButsMPG + Var'!$K$5+COUNTIF(BDD!H119:AR119,2)*'ButsMPG + Var'!$K$4+COUNTIF(BDD!H119:AR119,1)*'ButsMPG + Var'!$K$3,IF(C116="M",COUNTIF(BDD!H119:AR119,10)*'ButsMPG + Var'!$K$22+COUNTIF(BDD!H119:AR119,9)*'ButsMPG + Var'!$K$21+COUNTIF(BDD!H119:AR119,8)*'ButsMPG + Var'!$K$20+COUNTIF(BDD!H119:AR119,7)*'ButsMPG + Var'!$K$19+COUNTIF(BDD!H119:AR119,6)*'ButsMPG + Var'!$K$18+COUNTIF(BDD!H119:AR119,5)*'ButsMPG + Var'!$K$17+COUNTIF(BDD!H119:AR119,4)*'ButsMPG + Var'!$K$16+COUNTIF(BDD!H119:AR119,3)*'ButsMPG + Var'!$K$15+COUNTIF(BDD!H119:AR119,2)*'ButsMPG + Var'!$K$14+COUNTIF(BDD!H119:AR119,1)*'ButsMPG + Var'!$K$13,IF(C116="D",COUNTIF(BDD!H119:AR119,10)*'ButsMPG + Var'!$K$32+COUNTIF(BDD!H119:AR119,9)*'ButsMPG + Var'!$K$31+COUNTIF(BDD!H119:AR119,8)*'ButsMPG + Var'!$K$30+COUNTIF(BDD!H119:AR119,7)*'ButsMPG + Var'!$K$29+COUNTIF(BDD!H119:AR119,6)*'ButsMPG + Var'!$K$28+COUNTIF(BDD!H119:AR119,5)*'ButsMPG + Var'!$K$27+COUNTIF(BDD!H119:AR119,4)*'ButsMPG + Var'!$K$26+COUNTIF(BDD!H119:AR119,3)*'ButsMPG + Var'!$K$25+COUNTIF(BDD!H119:AR119,2)*'ButsMPG + Var'!$K$24+COUNTIF(BDD!H119:AR119,1)*'ButsMPG + Var'!$K$23,0)))</f>
        <v>0</v>
      </c>
      <c r="H116" s="25">
        <f t="shared" si="2"/>
        <v>0</v>
      </c>
      <c r="I116" s="25">
        <f>BDD!G119</f>
        <v>0</v>
      </c>
      <c r="J116" s="25">
        <f>SUMPRODUCT(BDD!H119:AS119,'ButsMPG + Var'!$B$46:$AM$46)</f>
        <v>0</v>
      </c>
      <c r="K116" s="25" t="e">
        <f>10*('ButsMPG + Var'!$H$37*J116/MAX(J:J)+'ButsMPG + Var'!$G$37*H116/MAX(H:H))</f>
        <v>#DIV/0!</v>
      </c>
      <c r="L116" s="1">
        <f>IF(ISNA(VLOOKUP(B116,PrixMini!$B$3:$E$573,4,FALSE)),1,VLOOKUP(B116,PrixMini!$B$3:$E$573,4,FALSE))</f>
        <v>1</v>
      </c>
      <c r="M116" s="25" t="e">
        <f>IF(ROUND(CalculCotation!$D$3*EXP(CalculCotation!$C$3*K116)-CalculCotation!$D$3+1,0)&gt;L116,ROUND(CalculCotation!$D$3*EXP(CalculCotation!$C$3*K116)-CalculCotation!$D$3+1,0),L116)</f>
        <v>#DIV/0!</v>
      </c>
    </row>
    <row r="117" spans="2:13" x14ac:dyDescent="0.3">
      <c r="B117" s="1">
        <f>BDD!C120</f>
        <v>0</v>
      </c>
      <c r="C117" s="1">
        <f>BDD!B120</f>
        <v>0</v>
      </c>
      <c r="D117" s="1">
        <f>BDD!A120</f>
        <v>0</v>
      </c>
      <c r="E117" s="1">
        <f>BDD!D120</f>
        <v>0</v>
      </c>
      <c r="F117" s="1">
        <f>BDD!F120</f>
        <v>0</v>
      </c>
      <c r="G117" s="25">
        <f>'ButsMPG + Var'!$I$39*IF(C117="A",COUNTIF(BDD!H120:AR120,10)*'ButsMPG + Var'!$K$12+COUNTIF(BDD!H120:AR120,9)*'ButsMPG + Var'!$K$11+COUNTIF(BDD!H120:AR120,8)*'ButsMPG + Var'!$K$10+COUNTIF(BDD!H120:AR120,7)*'ButsMPG + Var'!$K$9+COUNTIF(BDD!H120:AR120,6)*'ButsMPG + Var'!$K$8+COUNTIF(BDD!H120:AR120,5)*'ButsMPG + Var'!$K$7+COUNTIF(BDD!H120:AR120,4)*'ButsMPG + Var'!$K$6+COUNTIF(BDD!H120:AR120,3)*'ButsMPG + Var'!$K$5+COUNTIF(BDD!H120:AR120,2)*'ButsMPG + Var'!$K$4+COUNTIF(BDD!H120:AR120,1)*'ButsMPG + Var'!$K$3,IF(C117="M",COUNTIF(BDD!H120:AR120,10)*'ButsMPG + Var'!$K$22+COUNTIF(BDD!H120:AR120,9)*'ButsMPG + Var'!$K$21+COUNTIF(BDD!H120:AR120,8)*'ButsMPG + Var'!$K$20+COUNTIF(BDD!H120:AR120,7)*'ButsMPG + Var'!$K$19+COUNTIF(BDD!H120:AR120,6)*'ButsMPG + Var'!$K$18+COUNTIF(BDD!H120:AR120,5)*'ButsMPG + Var'!$K$17+COUNTIF(BDD!H120:AR120,4)*'ButsMPG + Var'!$K$16+COUNTIF(BDD!H120:AR120,3)*'ButsMPG + Var'!$K$15+COUNTIF(BDD!H120:AR120,2)*'ButsMPG + Var'!$K$14+COUNTIF(BDD!H120:AR120,1)*'ButsMPG + Var'!$K$13,IF(C117="D",COUNTIF(BDD!H120:AR120,10)*'ButsMPG + Var'!$K$32+COUNTIF(BDD!H120:AR120,9)*'ButsMPG + Var'!$K$31+COUNTIF(BDD!H120:AR120,8)*'ButsMPG + Var'!$K$30+COUNTIF(BDD!H120:AR120,7)*'ButsMPG + Var'!$K$29+COUNTIF(BDD!H120:AR120,6)*'ButsMPG + Var'!$K$28+COUNTIF(BDD!H120:AR120,5)*'ButsMPG + Var'!$K$27+COUNTIF(BDD!H120:AR120,4)*'ButsMPG + Var'!$K$26+COUNTIF(BDD!H120:AR120,3)*'ButsMPG + Var'!$K$25+COUNTIF(BDD!H120:AR120,2)*'ButsMPG + Var'!$K$24+COUNTIF(BDD!H120:AR120,1)*'ButsMPG + Var'!$K$23,0)))</f>
        <v>0</v>
      </c>
      <c r="H117" s="25">
        <f t="shared" si="2"/>
        <v>0</v>
      </c>
      <c r="I117" s="25">
        <f>BDD!G120</f>
        <v>0</v>
      </c>
      <c r="J117" s="25">
        <f>SUMPRODUCT(BDD!H120:AS120,'ButsMPG + Var'!$B$46:$AM$46)</f>
        <v>0</v>
      </c>
      <c r="K117" s="25" t="e">
        <f>10*('ButsMPG + Var'!$H$37*J117/MAX(J:J)+'ButsMPG + Var'!$G$37*H117/MAX(H:H))</f>
        <v>#DIV/0!</v>
      </c>
      <c r="L117" s="1">
        <f>IF(ISNA(VLOOKUP(B117,PrixMini!$B$3:$E$573,4,FALSE)),1,VLOOKUP(B117,PrixMini!$B$3:$E$573,4,FALSE))</f>
        <v>1</v>
      </c>
      <c r="M117" s="25" t="e">
        <f>IF(ROUND(CalculCotation!$D$3*EXP(CalculCotation!$C$3*K117)-CalculCotation!$D$3+1,0)&gt;L117,ROUND(CalculCotation!$D$3*EXP(CalculCotation!$C$3*K117)-CalculCotation!$D$3+1,0),L117)</f>
        <v>#DIV/0!</v>
      </c>
    </row>
    <row r="118" spans="2:13" x14ac:dyDescent="0.3">
      <c r="B118" s="1">
        <f>BDD!C121</f>
        <v>0</v>
      </c>
      <c r="C118" s="1">
        <f>BDD!B121</f>
        <v>0</v>
      </c>
      <c r="D118" s="1">
        <f>BDD!A121</f>
        <v>0</v>
      </c>
      <c r="E118" s="1">
        <f>BDD!D121</f>
        <v>0</v>
      </c>
      <c r="F118" s="1">
        <f>BDD!F121</f>
        <v>0</v>
      </c>
      <c r="G118" s="25">
        <f>'ButsMPG + Var'!$I$39*IF(C118="A",COUNTIF(BDD!H121:AR121,10)*'ButsMPG + Var'!$K$12+COUNTIF(BDD!H121:AR121,9)*'ButsMPG + Var'!$K$11+COUNTIF(BDD!H121:AR121,8)*'ButsMPG + Var'!$K$10+COUNTIF(BDD!H121:AR121,7)*'ButsMPG + Var'!$K$9+COUNTIF(BDD!H121:AR121,6)*'ButsMPG + Var'!$K$8+COUNTIF(BDD!H121:AR121,5)*'ButsMPG + Var'!$K$7+COUNTIF(BDD!H121:AR121,4)*'ButsMPG + Var'!$K$6+COUNTIF(BDD!H121:AR121,3)*'ButsMPG + Var'!$K$5+COUNTIF(BDD!H121:AR121,2)*'ButsMPG + Var'!$K$4+COUNTIF(BDD!H121:AR121,1)*'ButsMPG + Var'!$K$3,IF(C118="M",COUNTIF(BDD!H121:AR121,10)*'ButsMPG + Var'!$K$22+COUNTIF(BDD!H121:AR121,9)*'ButsMPG + Var'!$K$21+COUNTIF(BDD!H121:AR121,8)*'ButsMPG + Var'!$K$20+COUNTIF(BDD!H121:AR121,7)*'ButsMPG + Var'!$K$19+COUNTIF(BDD!H121:AR121,6)*'ButsMPG + Var'!$K$18+COUNTIF(BDD!H121:AR121,5)*'ButsMPG + Var'!$K$17+COUNTIF(BDD!H121:AR121,4)*'ButsMPG + Var'!$K$16+COUNTIF(BDD!H121:AR121,3)*'ButsMPG + Var'!$K$15+COUNTIF(BDD!H121:AR121,2)*'ButsMPG + Var'!$K$14+COUNTIF(BDD!H121:AR121,1)*'ButsMPG + Var'!$K$13,IF(C118="D",COUNTIF(BDD!H121:AR121,10)*'ButsMPG + Var'!$K$32+COUNTIF(BDD!H121:AR121,9)*'ButsMPG + Var'!$K$31+COUNTIF(BDD!H121:AR121,8)*'ButsMPG + Var'!$K$30+COUNTIF(BDD!H121:AR121,7)*'ButsMPG + Var'!$K$29+COUNTIF(BDD!H121:AR121,6)*'ButsMPG + Var'!$K$28+COUNTIF(BDD!H121:AR121,5)*'ButsMPG + Var'!$K$27+COUNTIF(BDD!H121:AR121,4)*'ButsMPG + Var'!$K$26+COUNTIF(BDD!H121:AR121,3)*'ButsMPG + Var'!$K$25+COUNTIF(BDD!H121:AR121,2)*'ButsMPG + Var'!$K$24+COUNTIF(BDD!H121:AR121,1)*'ButsMPG + Var'!$K$23,0)))</f>
        <v>0</v>
      </c>
      <c r="H118" s="25">
        <f t="shared" si="2"/>
        <v>0</v>
      </c>
      <c r="I118" s="25">
        <f>BDD!G121</f>
        <v>0</v>
      </c>
      <c r="J118" s="25">
        <f>SUMPRODUCT(BDD!H121:AS121,'ButsMPG + Var'!$B$46:$AM$46)</f>
        <v>0</v>
      </c>
      <c r="K118" s="25" t="e">
        <f>10*('ButsMPG + Var'!$H$37*J118/MAX(J:J)+'ButsMPG + Var'!$G$37*H118/MAX(H:H))</f>
        <v>#DIV/0!</v>
      </c>
      <c r="L118" s="1">
        <f>IF(ISNA(VLOOKUP(B118,PrixMini!$B$3:$E$573,4,FALSE)),1,VLOOKUP(B118,PrixMini!$B$3:$E$573,4,FALSE))</f>
        <v>1</v>
      </c>
      <c r="M118" s="25" t="e">
        <f>IF(ROUND(CalculCotation!$D$3*EXP(CalculCotation!$C$3*K118)-CalculCotation!$D$3+1,0)&gt;L118,ROUND(CalculCotation!$D$3*EXP(CalculCotation!$C$3*K118)-CalculCotation!$D$3+1,0),L118)</f>
        <v>#DIV/0!</v>
      </c>
    </row>
    <row r="119" spans="2:13" x14ac:dyDescent="0.3">
      <c r="B119" s="1">
        <f>BDD!C122</f>
        <v>0</v>
      </c>
      <c r="C119" s="1">
        <f>BDD!B122</f>
        <v>0</v>
      </c>
      <c r="D119" s="1">
        <f>BDD!A122</f>
        <v>0</v>
      </c>
      <c r="E119" s="1">
        <f>BDD!D122</f>
        <v>0</v>
      </c>
      <c r="F119" s="1">
        <f>BDD!F122</f>
        <v>0</v>
      </c>
      <c r="G119" s="25">
        <f>'ButsMPG + Var'!$I$39*IF(C119="A",COUNTIF(BDD!H122:AR122,10)*'ButsMPG + Var'!$K$12+COUNTIF(BDD!H122:AR122,9)*'ButsMPG + Var'!$K$11+COUNTIF(BDD!H122:AR122,8)*'ButsMPG + Var'!$K$10+COUNTIF(BDD!H122:AR122,7)*'ButsMPG + Var'!$K$9+COUNTIF(BDD!H122:AR122,6)*'ButsMPG + Var'!$K$8+COUNTIF(BDD!H122:AR122,5)*'ButsMPG + Var'!$K$7+COUNTIF(BDD!H122:AR122,4)*'ButsMPG + Var'!$K$6+COUNTIF(BDD!H122:AR122,3)*'ButsMPG + Var'!$K$5+COUNTIF(BDD!H122:AR122,2)*'ButsMPG + Var'!$K$4+COUNTIF(BDD!H122:AR122,1)*'ButsMPG + Var'!$K$3,IF(C119="M",COUNTIF(BDD!H122:AR122,10)*'ButsMPG + Var'!$K$22+COUNTIF(BDD!H122:AR122,9)*'ButsMPG + Var'!$K$21+COUNTIF(BDD!H122:AR122,8)*'ButsMPG + Var'!$K$20+COUNTIF(BDD!H122:AR122,7)*'ButsMPG + Var'!$K$19+COUNTIF(BDD!H122:AR122,6)*'ButsMPG + Var'!$K$18+COUNTIF(BDD!H122:AR122,5)*'ButsMPG + Var'!$K$17+COUNTIF(BDD!H122:AR122,4)*'ButsMPG + Var'!$K$16+COUNTIF(BDD!H122:AR122,3)*'ButsMPG + Var'!$K$15+COUNTIF(BDD!H122:AR122,2)*'ButsMPG + Var'!$K$14+COUNTIF(BDD!H122:AR122,1)*'ButsMPG + Var'!$K$13,IF(C119="D",COUNTIF(BDD!H122:AR122,10)*'ButsMPG + Var'!$K$32+COUNTIF(BDD!H122:AR122,9)*'ButsMPG + Var'!$K$31+COUNTIF(BDD!H122:AR122,8)*'ButsMPG + Var'!$K$30+COUNTIF(BDD!H122:AR122,7)*'ButsMPG + Var'!$K$29+COUNTIF(BDD!H122:AR122,6)*'ButsMPG + Var'!$K$28+COUNTIF(BDD!H122:AR122,5)*'ButsMPG + Var'!$K$27+COUNTIF(BDD!H122:AR122,4)*'ButsMPG + Var'!$K$26+COUNTIF(BDD!H122:AR122,3)*'ButsMPG + Var'!$K$25+COUNTIF(BDD!H122:AR122,2)*'ButsMPG + Var'!$K$24+COUNTIF(BDD!H122:AR122,1)*'ButsMPG + Var'!$K$23,0)))</f>
        <v>0</v>
      </c>
      <c r="H119" s="25">
        <f t="shared" si="2"/>
        <v>0</v>
      </c>
      <c r="I119" s="25">
        <f>BDD!G122</f>
        <v>0</v>
      </c>
      <c r="J119" s="25">
        <f>SUMPRODUCT(BDD!H122:AS122,'ButsMPG + Var'!$B$46:$AM$46)</f>
        <v>0</v>
      </c>
      <c r="K119" s="25" t="e">
        <f>10*('ButsMPG + Var'!$H$37*J119/MAX(J:J)+'ButsMPG + Var'!$G$37*H119/MAX(H:H))</f>
        <v>#DIV/0!</v>
      </c>
      <c r="L119" s="1">
        <f>IF(ISNA(VLOOKUP(B119,PrixMini!$B$3:$E$573,4,FALSE)),1,VLOOKUP(B119,PrixMini!$B$3:$E$573,4,FALSE))</f>
        <v>1</v>
      </c>
      <c r="M119" s="25" t="e">
        <f>IF(ROUND(CalculCotation!$D$3*EXP(CalculCotation!$C$3*K119)-CalculCotation!$D$3+1,0)&gt;L119,ROUND(CalculCotation!$D$3*EXP(CalculCotation!$C$3*K119)-CalculCotation!$D$3+1,0),L119)</f>
        <v>#DIV/0!</v>
      </c>
    </row>
    <row r="120" spans="2:13" x14ac:dyDescent="0.3">
      <c r="B120" s="1">
        <f>BDD!C123</f>
        <v>0</v>
      </c>
      <c r="C120" s="1">
        <f>BDD!B123</f>
        <v>0</v>
      </c>
      <c r="D120" s="1">
        <f>BDD!A123</f>
        <v>0</v>
      </c>
      <c r="E120" s="1">
        <f>BDD!D123</f>
        <v>0</v>
      </c>
      <c r="F120" s="1">
        <f>BDD!F123</f>
        <v>0</v>
      </c>
      <c r="G120" s="25">
        <f>'ButsMPG + Var'!$I$39*IF(C120="A",COUNTIF(BDD!H123:AR123,10)*'ButsMPG + Var'!$K$12+COUNTIF(BDD!H123:AR123,9)*'ButsMPG + Var'!$K$11+COUNTIF(BDD!H123:AR123,8)*'ButsMPG + Var'!$K$10+COUNTIF(BDD!H123:AR123,7)*'ButsMPG + Var'!$K$9+COUNTIF(BDD!H123:AR123,6)*'ButsMPG + Var'!$K$8+COUNTIF(BDD!H123:AR123,5)*'ButsMPG + Var'!$K$7+COUNTIF(BDD!H123:AR123,4)*'ButsMPG + Var'!$K$6+COUNTIF(BDD!H123:AR123,3)*'ButsMPG + Var'!$K$5+COUNTIF(BDD!H123:AR123,2)*'ButsMPG + Var'!$K$4+COUNTIF(BDD!H123:AR123,1)*'ButsMPG + Var'!$K$3,IF(C120="M",COUNTIF(BDD!H123:AR123,10)*'ButsMPG + Var'!$K$22+COUNTIF(BDD!H123:AR123,9)*'ButsMPG + Var'!$K$21+COUNTIF(BDD!H123:AR123,8)*'ButsMPG + Var'!$K$20+COUNTIF(BDD!H123:AR123,7)*'ButsMPG + Var'!$K$19+COUNTIF(BDD!H123:AR123,6)*'ButsMPG + Var'!$K$18+COUNTIF(BDD!H123:AR123,5)*'ButsMPG + Var'!$K$17+COUNTIF(BDD!H123:AR123,4)*'ButsMPG + Var'!$K$16+COUNTIF(BDD!H123:AR123,3)*'ButsMPG + Var'!$K$15+COUNTIF(BDD!H123:AR123,2)*'ButsMPG + Var'!$K$14+COUNTIF(BDD!H123:AR123,1)*'ButsMPG + Var'!$K$13,IF(C120="D",COUNTIF(BDD!H123:AR123,10)*'ButsMPG + Var'!$K$32+COUNTIF(BDD!H123:AR123,9)*'ButsMPG + Var'!$K$31+COUNTIF(BDD!H123:AR123,8)*'ButsMPG + Var'!$K$30+COUNTIF(BDD!H123:AR123,7)*'ButsMPG + Var'!$K$29+COUNTIF(BDD!H123:AR123,6)*'ButsMPG + Var'!$K$28+COUNTIF(BDD!H123:AR123,5)*'ButsMPG + Var'!$K$27+COUNTIF(BDD!H123:AR123,4)*'ButsMPG + Var'!$K$26+COUNTIF(BDD!H123:AR123,3)*'ButsMPG + Var'!$K$25+COUNTIF(BDD!H123:AR123,2)*'ButsMPG + Var'!$K$24+COUNTIF(BDD!H123:AR123,1)*'ButsMPG + Var'!$K$23,0)))</f>
        <v>0</v>
      </c>
      <c r="H120" s="25">
        <f t="shared" si="2"/>
        <v>0</v>
      </c>
      <c r="I120" s="25">
        <f>BDD!G123</f>
        <v>0</v>
      </c>
      <c r="J120" s="25">
        <f>SUMPRODUCT(BDD!H123:AS123,'ButsMPG + Var'!$B$46:$AM$46)</f>
        <v>0</v>
      </c>
      <c r="K120" s="25" t="e">
        <f>10*('ButsMPG + Var'!$H$37*J120/MAX(J:J)+'ButsMPG + Var'!$G$37*H120/MAX(H:H))</f>
        <v>#DIV/0!</v>
      </c>
      <c r="L120" s="1">
        <f>IF(ISNA(VLOOKUP(B120,PrixMini!$B$3:$E$573,4,FALSE)),1,VLOOKUP(B120,PrixMini!$B$3:$E$573,4,FALSE))</f>
        <v>1</v>
      </c>
      <c r="M120" s="25" t="e">
        <f>IF(ROUND(CalculCotation!$D$3*EXP(CalculCotation!$C$3*K120)-CalculCotation!$D$3+1,0)&gt;L120,ROUND(CalculCotation!$D$3*EXP(CalculCotation!$C$3*K120)-CalculCotation!$D$3+1,0),L120)</f>
        <v>#DIV/0!</v>
      </c>
    </row>
    <row r="121" spans="2:13" x14ac:dyDescent="0.3">
      <c r="B121" s="1">
        <f>BDD!C124</f>
        <v>0</v>
      </c>
      <c r="C121" s="1">
        <f>BDD!B124</f>
        <v>0</v>
      </c>
      <c r="D121" s="1">
        <f>BDD!A124</f>
        <v>0</v>
      </c>
      <c r="E121" s="1">
        <f>BDD!D124</f>
        <v>0</v>
      </c>
      <c r="F121" s="1">
        <f>BDD!F124</f>
        <v>0</v>
      </c>
      <c r="G121" s="25">
        <f>'ButsMPG + Var'!$I$39*IF(C121="A",COUNTIF(BDD!H124:AR124,10)*'ButsMPG + Var'!$K$12+COUNTIF(BDD!H124:AR124,9)*'ButsMPG + Var'!$K$11+COUNTIF(BDD!H124:AR124,8)*'ButsMPG + Var'!$K$10+COUNTIF(BDD!H124:AR124,7)*'ButsMPG + Var'!$K$9+COUNTIF(BDD!H124:AR124,6)*'ButsMPG + Var'!$K$8+COUNTIF(BDD!H124:AR124,5)*'ButsMPG + Var'!$K$7+COUNTIF(BDD!H124:AR124,4)*'ButsMPG + Var'!$K$6+COUNTIF(BDD!H124:AR124,3)*'ButsMPG + Var'!$K$5+COUNTIF(BDD!H124:AR124,2)*'ButsMPG + Var'!$K$4+COUNTIF(BDD!H124:AR124,1)*'ButsMPG + Var'!$K$3,IF(C121="M",COUNTIF(BDD!H124:AR124,10)*'ButsMPG + Var'!$K$22+COUNTIF(BDD!H124:AR124,9)*'ButsMPG + Var'!$K$21+COUNTIF(BDD!H124:AR124,8)*'ButsMPG + Var'!$K$20+COUNTIF(BDD!H124:AR124,7)*'ButsMPG + Var'!$K$19+COUNTIF(BDD!H124:AR124,6)*'ButsMPG + Var'!$K$18+COUNTIF(BDD!H124:AR124,5)*'ButsMPG + Var'!$K$17+COUNTIF(BDD!H124:AR124,4)*'ButsMPG + Var'!$K$16+COUNTIF(BDD!H124:AR124,3)*'ButsMPG + Var'!$K$15+COUNTIF(BDD!H124:AR124,2)*'ButsMPG + Var'!$K$14+COUNTIF(BDD!H124:AR124,1)*'ButsMPG + Var'!$K$13,IF(C121="D",COUNTIF(BDD!H124:AR124,10)*'ButsMPG + Var'!$K$32+COUNTIF(BDD!H124:AR124,9)*'ButsMPG + Var'!$K$31+COUNTIF(BDD!H124:AR124,8)*'ButsMPG + Var'!$K$30+COUNTIF(BDD!H124:AR124,7)*'ButsMPG + Var'!$K$29+COUNTIF(BDD!H124:AR124,6)*'ButsMPG + Var'!$K$28+COUNTIF(BDD!H124:AR124,5)*'ButsMPG + Var'!$K$27+COUNTIF(BDD!H124:AR124,4)*'ButsMPG + Var'!$K$26+COUNTIF(BDD!H124:AR124,3)*'ButsMPG + Var'!$K$25+COUNTIF(BDD!H124:AR124,2)*'ButsMPG + Var'!$K$24+COUNTIF(BDD!H124:AR124,1)*'ButsMPG + Var'!$K$23,0)))</f>
        <v>0</v>
      </c>
      <c r="H121" s="25">
        <f t="shared" si="2"/>
        <v>0</v>
      </c>
      <c r="I121" s="25">
        <f>BDD!G124</f>
        <v>0</v>
      </c>
      <c r="J121" s="25">
        <f>SUMPRODUCT(BDD!H124:AS124,'ButsMPG + Var'!$B$46:$AM$46)</f>
        <v>0</v>
      </c>
      <c r="K121" s="25" t="e">
        <f>10*('ButsMPG + Var'!$H$37*J121/MAX(J:J)+'ButsMPG + Var'!$G$37*H121/MAX(H:H))</f>
        <v>#DIV/0!</v>
      </c>
      <c r="L121" s="1">
        <f>IF(ISNA(VLOOKUP(B121,PrixMini!$B$3:$E$573,4,FALSE)),1,VLOOKUP(B121,PrixMini!$B$3:$E$573,4,FALSE))</f>
        <v>1</v>
      </c>
      <c r="M121" s="25" t="e">
        <f>IF(ROUND(CalculCotation!$D$3*EXP(CalculCotation!$C$3*K121)-CalculCotation!$D$3+1,0)&gt;L121,ROUND(CalculCotation!$D$3*EXP(CalculCotation!$C$3*K121)-CalculCotation!$D$3+1,0),L121)</f>
        <v>#DIV/0!</v>
      </c>
    </row>
    <row r="122" spans="2:13" x14ac:dyDescent="0.3">
      <c r="B122" s="1">
        <f>BDD!C125</f>
        <v>0</v>
      </c>
      <c r="C122" s="1">
        <f>BDD!B125</f>
        <v>0</v>
      </c>
      <c r="D122" s="1">
        <f>BDD!A125</f>
        <v>0</v>
      </c>
      <c r="E122" s="1">
        <f>BDD!D125</f>
        <v>0</v>
      </c>
      <c r="F122" s="1">
        <f>BDD!F125</f>
        <v>0</v>
      </c>
      <c r="G122" s="25">
        <f>'ButsMPG + Var'!$I$39*IF(C122="A",COUNTIF(BDD!H125:AR125,10)*'ButsMPG + Var'!$K$12+COUNTIF(BDD!H125:AR125,9)*'ButsMPG + Var'!$K$11+COUNTIF(BDD!H125:AR125,8)*'ButsMPG + Var'!$K$10+COUNTIF(BDD!H125:AR125,7)*'ButsMPG + Var'!$K$9+COUNTIF(BDD!H125:AR125,6)*'ButsMPG + Var'!$K$8+COUNTIF(BDD!H125:AR125,5)*'ButsMPG + Var'!$K$7+COUNTIF(BDD!H125:AR125,4)*'ButsMPG + Var'!$K$6+COUNTIF(BDD!H125:AR125,3)*'ButsMPG + Var'!$K$5+COUNTIF(BDD!H125:AR125,2)*'ButsMPG + Var'!$K$4+COUNTIF(BDD!H125:AR125,1)*'ButsMPG + Var'!$K$3,IF(C122="M",COUNTIF(BDD!H125:AR125,10)*'ButsMPG + Var'!$K$22+COUNTIF(BDD!H125:AR125,9)*'ButsMPG + Var'!$K$21+COUNTIF(BDD!H125:AR125,8)*'ButsMPG + Var'!$K$20+COUNTIF(BDD!H125:AR125,7)*'ButsMPG + Var'!$K$19+COUNTIF(BDD!H125:AR125,6)*'ButsMPG + Var'!$K$18+COUNTIF(BDD!H125:AR125,5)*'ButsMPG + Var'!$K$17+COUNTIF(BDD!H125:AR125,4)*'ButsMPG + Var'!$K$16+COUNTIF(BDD!H125:AR125,3)*'ButsMPG + Var'!$K$15+COUNTIF(BDD!H125:AR125,2)*'ButsMPG + Var'!$K$14+COUNTIF(BDD!H125:AR125,1)*'ButsMPG + Var'!$K$13,IF(C122="D",COUNTIF(BDD!H125:AR125,10)*'ButsMPG + Var'!$K$32+COUNTIF(BDD!H125:AR125,9)*'ButsMPG + Var'!$K$31+COUNTIF(BDD!H125:AR125,8)*'ButsMPG + Var'!$K$30+COUNTIF(BDD!H125:AR125,7)*'ButsMPG + Var'!$K$29+COUNTIF(BDD!H125:AR125,6)*'ButsMPG + Var'!$K$28+COUNTIF(BDD!H125:AR125,5)*'ButsMPG + Var'!$K$27+COUNTIF(BDD!H125:AR125,4)*'ButsMPG + Var'!$K$26+COUNTIF(BDD!H125:AR125,3)*'ButsMPG + Var'!$K$25+COUNTIF(BDD!H125:AR125,2)*'ButsMPG + Var'!$K$24+COUNTIF(BDD!H125:AR125,1)*'ButsMPG + Var'!$K$23,0)))</f>
        <v>0</v>
      </c>
      <c r="H122" s="25">
        <f t="shared" si="2"/>
        <v>0</v>
      </c>
      <c r="I122" s="25">
        <f>BDD!G125</f>
        <v>0</v>
      </c>
      <c r="J122" s="25">
        <f>SUMPRODUCT(BDD!H125:AS125,'ButsMPG + Var'!$B$46:$AM$46)</f>
        <v>0</v>
      </c>
      <c r="K122" s="25" t="e">
        <f>10*('ButsMPG + Var'!$H$37*J122/MAX(J:J)+'ButsMPG + Var'!$G$37*H122/MAX(H:H))</f>
        <v>#DIV/0!</v>
      </c>
      <c r="L122" s="1">
        <f>IF(ISNA(VLOOKUP(B122,PrixMini!$B$3:$E$573,4,FALSE)),1,VLOOKUP(B122,PrixMini!$B$3:$E$573,4,FALSE))</f>
        <v>1</v>
      </c>
      <c r="M122" s="25" t="e">
        <f>IF(ROUND(CalculCotation!$D$3*EXP(CalculCotation!$C$3*K122)-CalculCotation!$D$3+1,0)&gt;L122,ROUND(CalculCotation!$D$3*EXP(CalculCotation!$C$3*K122)-CalculCotation!$D$3+1,0),L122)</f>
        <v>#DIV/0!</v>
      </c>
    </row>
    <row r="123" spans="2:13" x14ac:dyDescent="0.3">
      <c r="B123" s="1">
        <f>BDD!C126</f>
        <v>0</v>
      </c>
      <c r="C123" s="1">
        <f>BDD!B126</f>
        <v>0</v>
      </c>
      <c r="D123" s="1">
        <f>BDD!A126</f>
        <v>0</v>
      </c>
      <c r="E123" s="1">
        <f>BDD!D126</f>
        <v>0</v>
      </c>
      <c r="F123" s="1">
        <f>BDD!F126</f>
        <v>0</v>
      </c>
      <c r="G123" s="25">
        <f>'ButsMPG + Var'!$I$39*IF(C123="A",COUNTIF(BDD!H126:AR126,10)*'ButsMPG + Var'!$K$12+COUNTIF(BDD!H126:AR126,9)*'ButsMPG + Var'!$K$11+COUNTIF(BDD!H126:AR126,8)*'ButsMPG + Var'!$K$10+COUNTIF(BDD!H126:AR126,7)*'ButsMPG + Var'!$K$9+COUNTIF(BDD!H126:AR126,6)*'ButsMPG + Var'!$K$8+COUNTIF(BDD!H126:AR126,5)*'ButsMPG + Var'!$K$7+COUNTIF(BDD!H126:AR126,4)*'ButsMPG + Var'!$K$6+COUNTIF(BDD!H126:AR126,3)*'ButsMPG + Var'!$K$5+COUNTIF(BDD!H126:AR126,2)*'ButsMPG + Var'!$K$4+COUNTIF(BDD!H126:AR126,1)*'ButsMPG + Var'!$K$3,IF(C123="M",COUNTIF(BDD!H126:AR126,10)*'ButsMPG + Var'!$K$22+COUNTIF(BDD!H126:AR126,9)*'ButsMPG + Var'!$K$21+COUNTIF(BDD!H126:AR126,8)*'ButsMPG + Var'!$K$20+COUNTIF(BDD!H126:AR126,7)*'ButsMPG + Var'!$K$19+COUNTIF(BDD!H126:AR126,6)*'ButsMPG + Var'!$K$18+COUNTIF(BDD!H126:AR126,5)*'ButsMPG + Var'!$K$17+COUNTIF(BDD!H126:AR126,4)*'ButsMPG + Var'!$K$16+COUNTIF(BDD!H126:AR126,3)*'ButsMPG + Var'!$K$15+COUNTIF(BDD!H126:AR126,2)*'ButsMPG + Var'!$K$14+COUNTIF(BDD!H126:AR126,1)*'ButsMPG + Var'!$K$13,IF(C123="D",COUNTIF(BDD!H126:AR126,10)*'ButsMPG + Var'!$K$32+COUNTIF(BDD!H126:AR126,9)*'ButsMPG + Var'!$K$31+COUNTIF(BDD!H126:AR126,8)*'ButsMPG + Var'!$K$30+COUNTIF(BDD!H126:AR126,7)*'ButsMPG + Var'!$K$29+COUNTIF(BDD!H126:AR126,6)*'ButsMPG + Var'!$K$28+COUNTIF(BDD!H126:AR126,5)*'ButsMPG + Var'!$K$27+COUNTIF(BDD!H126:AR126,4)*'ButsMPG + Var'!$K$26+COUNTIF(BDD!H126:AR126,3)*'ButsMPG + Var'!$K$25+COUNTIF(BDD!H126:AR126,2)*'ButsMPG + Var'!$K$24+COUNTIF(BDD!H126:AR126,1)*'ButsMPG + Var'!$K$23,0)))</f>
        <v>0</v>
      </c>
      <c r="H123" s="25">
        <f t="shared" si="2"/>
        <v>0</v>
      </c>
      <c r="I123" s="25">
        <f>BDD!G126</f>
        <v>0</v>
      </c>
      <c r="J123" s="25">
        <f>SUMPRODUCT(BDD!H126:AS126,'ButsMPG + Var'!$B$46:$AM$46)</f>
        <v>0</v>
      </c>
      <c r="K123" s="25" t="e">
        <f>10*('ButsMPG + Var'!$H$37*J123/MAX(J:J)+'ButsMPG + Var'!$G$37*H123/MAX(H:H))</f>
        <v>#DIV/0!</v>
      </c>
      <c r="L123" s="1">
        <f>IF(ISNA(VLOOKUP(B123,PrixMini!$B$3:$E$573,4,FALSE)),1,VLOOKUP(B123,PrixMini!$B$3:$E$573,4,FALSE))</f>
        <v>1</v>
      </c>
      <c r="M123" s="25" t="e">
        <f>IF(ROUND(CalculCotation!$D$3*EXP(CalculCotation!$C$3*K123)-CalculCotation!$D$3+1,0)&gt;L123,ROUND(CalculCotation!$D$3*EXP(CalculCotation!$C$3*K123)-CalculCotation!$D$3+1,0),L123)</f>
        <v>#DIV/0!</v>
      </c>
    </row>
    <row r="124" spans="2:13" x14ac:dyDescent="0.3">
      <c r="B124" s="1">
        <f>BDD!C127</f>
        <v>0</v>
      </c>
      <c r="C124" s="1">
        <f>BDD!B127</f>
        <v>0</v>
      </c>
      <c r="D124" s="1">
        <f>BDD!A127</f>
        <v>0</v>
      </c>
      <c r="E124" s="1">
        <f>BDD!D127</f>
        <v>0</v>
      </c>
      <c r="F124" s="1">
        <f>BDD!F127</f>
        <v>0</v>
      </c>
      <c r="G124" s="25">
        <f>'ButsMPG + Var'!$I$39*IF(C124="A",COUNTIF(BDD!H127:AR127,10)*'ButsMPG + Var'!$K$12+COUNTIF(BDD!H127:AR127,9)*'ButsMPG + Var'!$K$11+COUNTIF(BDD!H127:AR127,8)*'ButsMPG + Var'!$K$10+COUNTIF(BDD!H127:AR127,7)*'ButsMPG + Var'!$K$9+COUNTIF(BDD!H127:AR127,6)*'ButsMPG + Var'!$K$8+COUNTIF(BDD!H127:AR127,5)*'ButsMPG + Var'!$K$7+COUNTIF(BDD!H127:AR127,4)*'ButsMPG + Var'!$K$6+COUNTIF(BDD!H127:AR127,3)*'ButsMPG + Var'!$K$5+COUNTIF(BDD!H127:AR127,2)*'ButsMPG + Var'!$K$4+COUNTIF(BDD!H127:AR127,1)*'ButsMPG + Var'!$K$3,IF(C124="M",COUNTIF(BDD!H127:AR127,10)*'ButsMPG + Var'!$K$22+COUNTIF(BDD!H127:AR127,9)*'ButsMPG + Var'!$K$21+COUNTIF(BDD!H127:AR127,8)*'ButsMPG + Var'!$K$20+COUNTIF(BDD!H127:AR127,7)*'ButsMPG + Var'!$K$19+COUNTIF(BDD!H127:AR127,6)*'ButsMPG + Var'!$K$18+COUNTIF(BDD!H127:AR127,5)*'ButsMPG + Var'!$K$17+COUNTIF(BDD!H127:AR127,4)*'ButsMPG + Var'!$K$16+COUNTIF(BDD!H127:AR127,3)*'ButsMPG + Var'!$K$15+COUNTIF(BDD!H127:AR127,2)*'ButsMPG + Var'!$K$14+COUNTIF(BDD!H127:AR127,1)*'ButsMPG + Var'!$K$13,IF(C124="D",COUNTIF(BDD!H127:AR127,10)*'ButsMPG + Var'!$K$32+COUNTIF(BDD!H127:AR127,9)*'ButsMPG + Var'!$K$31+COUNTIF(BDD!H127:AR127,8)*'ButsMPG + Var'!$K$30+COUNTIF(BDD!H127:AR127,7)*'ButsMPG + Var'!$K$29+COUNTIF(BDD!H127:AR127,6)*'ButsMPG + Var'!$K$28+COUNTIF(BDD!H127:AR127,5)*'ButsMPG + Var'!$K$27+COUNTIF(BDD!H127:AR127,4)*'ButsMPG + Var'!$K$26+COUNTIF(BDD!H127:AR127,3)*'ButsMPG + Var'!$K$25+COUNTIF(BDD!H127:AR127,2)*'ButsMPG + Var'!$K$24+COUNTIF(BDD!H127:AR127,1)*'ButsMPG + Var'!$K$23,0)))</f>
        <v>0</v>
      </c>
      <c r="H124" s="25">
        <f t="shared" si="2"/>
        <v>0</v>
      </c>
      <c r="I124" s="25">
        <f>BDD!G127</f>
        <v>0</v>
      </c>
      <c r="J124" s="25">
        <f>SUMPRODUCT(BDD!H127:AS127,'ButsMPG + Var'!$B$46:$AM$46)</f>
        <v>0</v>
      </c>
      <c r="K124" s="25" t="e">
        <f>10*('ButsMPG + Var'!$H$37*J124/MAX(J:J)+'ButsMPG + Var'!$G$37*H124/MAX(H:H))</f>
        <v>#DIV/0!</v>
      </c>
      <c r="L124" s="1">
        <f>IF(ISNA(VLOOKUP(B124,PrixMini!$B$3:$E$573,4,FALSE)),1,VLOOKUP(B124,PrixMini!$B$3:$E$573,4,FALSE))</f>
        <v>1</v>
      </c>
      <c r="M124" s="25" t="e">
        <f>IF(ROUND(CalculCotation!$D$3*EXP(CalculCotation!$C$3*K124)-CalculCotation!$D$3+1,0)&gt;L124,ROUND(CalculCotation!$D$3*EXP(CalculCotation!$C$3*K124)-CalculCotation!$D$3+1,0),L124)</f>
        <v>#DIV/0!</v>
      </c>
    </row>
    <row r="125" spans="2:13" x14ac:dyDescent="0.3">
      <c r="B125" s="1">
        <f>BDD!C128</f>
        <v>0</v>
      </c>
      <c r="C125" s="1">
        <f>BDD!B128</f>
        <v>0</v>
      </c>
      <c r="D125" s="1">
        <f>BDD!A128</f>
        <v>0</v>
      </c>
      <c r="E125" s="1">
        <f>BDD!D128</f>
        <v>0</v>
      </c>
      <c r="F125" s="1">
        <f>BDD!F128</f>
        <v>0</v>
      </c>
      <c r="G125" s="25">
        <f>'ButsMPG + Var'!$I$39*IF(C125="A",COUNTIF(BDD!H128:AR128,10)*'ButsMPG + Var'!$K$12+COUNTIF(BDD!H128:AR128,9)*'ButsMPG + Var'!$K$11+COUNTIF(BDD!H128:AR128,8)*'ButsMPG + Var'!$K$10+COUNTIF(BDD!H128:AR128,7)*'ButsMPG + Var'!$K$9+COUNTIF(BDD!H128:AR128,6)*'ButsMPG + Var'!$K$8+COUNTIF(BDD!H128:AR128,5)*'ButsMPG + Var'!$K$7+COUNTIF(BDD!H128:AR128,4)*'ButsMPG + Var'!$K$6+COUNTIF(BDD!H128:AR128,3)*'ButsMPG + Var'!$K$5+COUNTIF(BDD!H128:AR128,2)*'ButsMPG + Var'!$K$4+COUNTIF(BDD!H128:AR128,1)*'ButsMPG + Var'!$K$3,IF(C125="M",COUNTIF(BDD!H128:AR128,10)*'ButsMPG + Var'!$K$22+COUNTIF(BDD!H128:AR128,9)*'ButsMPG + Var'!$K$21+COUNTIF(BDD!H128:AR128,8)*'ButsMPG + Var'!$K$20+COUNTIF(BDD!H128:AR128,7)*'ButsMPG + Var'!$K$19+COUNTIF(BDD!H128:AR128,6)*'ButsMPG + Var'!$K$18+COUNTIF(BDD!H128:AR128,5)*'ButsMPG + Var'!$K$17+COUNTIF(BDD!H128:AR128,4)*'ButsMPG + Var'!$K$16+COUNTIF(BDD!H128:AR128,3)*'ButsMPG + Var'!$K$15+COUNTIF(BDD!H128:AR128,2)*'ButsMPG + Var'!$K$14+COUNTIF(BDD!H128:AR128,1)*'ButsMPG + Var'!$K$13,IF(C125="D",COUNTIF(BDD!H128:AR128,10)*'ButsMPG + Var'!$K$32+COUNTIF(BDD!H128:AR128,9)*'ButsMPG + Var'!$K$31+COUNTIF(BDD!H128:AR128,8)*'ButsMPG + Var'!$K$30+COUNTIF(BDD!H128:AR128,7)*'ButsMPG + Var'!$K$29+COUNTIF(BDD!H128:AR128,6)*'ButsMPG + Var'!$K$28+COUNTIF(BDD!H128:AR128,5)*'ButsMPG + Var'!$K$27+COUNTIF(BDD!H128:AR128,4)*'ButsMPG + Var'!$K$26+COUNTIF(BDD!H128:AR128,3)*'ButsMPG + Var'!$K$25+COUNTIF(BDD!H128:AR128,2)*'ButsMPG + Var'!$K$24+COUNTIF(BDD!H128:AR128,1)*'ButsMPG + Var'!$K$23,0)))</f>
        <v>0</v>
      </c>
      <c r="H125" s="25">
        <f t="shared" si="2"/>
        <v>0</v>
      </c>
      <c r="I125" s="25">
        <f>BDD!G128</f>
        <v>0</v>
      </c>
      <c r="J125" s="25">
        <f>SUMPRODUCT(BDD!H128:AS128,'ButsMPG + Var'!$B$46:$AM$46)</f>
        <v>0</v>
      </c>
      <c r="K125" s="25" t="e">
        <f>10*('ButsMPG + Var'!$H$37*J125/MAX(J:J)+'ButsMPG + Var'!$G$37*H125/MAX(H:H))</f>
        <v>#DIV/0!</v>
      </c>
      <c r="L125" s="1">
        <f>IF(ISNA(VLOOKUP(B125,PrixMini!$B$3:$E$573,4,FALSE)),1,VLOOKUP(B125,PrixMini!$B$3:$E$573,4,FALSE))</f>
        <v>1</v>
      </c>
      <c r="M125" s="25" t="e">
        <f>IF(ROUND(CalculCotation!$D$3*EXP(CalculCotation!$C$3*K125)-CalculCotation!$D$3+1,0)&gt;L125,ROUND(CalculCotation!$D$3*EXP(CalculCotation!$C$3*K125)-CalculCotation!$D$3+1,0),L125)</f>
        <v>#DIV/0!</v>
      </c>
    </row>
    <row r="126" spans="2:13" x14ac:dyDescent="0.3">
      <c r="B126" s="1">
        <f>BDD!C129</f>
        <v>0</v>
      </c>
      <c r="C126" s="1">
        <f>BDD!B129</f>
        <v>0</v>
      </c>
      <c r="D126" s="1">
        <f>BDD!A129</f>
        <v>0</v>
      </c>
      <c r="E126" s="1">
        <f>BDD!D129</f>
        <v>0</v>
      </c>
      <c r="F126" s="1">
        <f>BDD!F129</f>
        <v>0</v>
      </c>
      <c r="G126" s="25">
        <f>'ButsMPG + Var'!$I$39*IF(C126="A",COUNTIF(BDD!H129:AR129,10)*'ButsMPG + Var'!$K$12+COUNTIF(BDD!H129:AR129,9)*'ButsMPG + Var'!$K$11+COUNTIF(BDD!H129:AR129,8)*'ButsMPG + Var'!$K$10+COUNTIF(BDD!H129:AR129,7)*'ButsMPG + Var'!$K$9+COUNTIF(BDD!H129:AR129,6)*'ButsMPG + Var'!$K$8+COUNTIF(BDD!H129:AR129,5)*'ButsMPG + Var'!$K$7+COUNTIF(BDD!H129:AR129,4)*'ButsMPG + Var'!$K$6+COUNTIF(BDD!H129:AR129,3)*'ButsMPG + Var'!$K$5+COUNTIF(BDD!H129:AR129,2)*'ButsMPG + Var'!$K$4+COUNTIF(BDD!H129:AR129,1)*'ButsMPG + Var'!$K$3,IF(C126="M",COUNTIF(BDD!H129:AR129,10)*'ButsMPG + Var'!$K$22+COUNTIF(BDD!H129:AR129,9)*'ButsMPG + Var'!$K$21+COUNTIF(BDD!H129:AR129,8)*'ButsMPG + Var'!$K$20+COUNTIF(BDD!H129:AR129,7)*'ButsMPG + Var'!$K$19+COUNTIF(BDD!H129:AR129,6)*'ButsMPG + Var'!$K$18+COUNTIF(BDD!H129:AR129,5)*'ButsMPG + Var'!$K$17+COUNTIF(BDD!H129:AR129,4)*'ButsMPG + Var'!$K$16+COUNTIF(BDD!H129:AR129,3)*'ButsMPG + Var'!$K$15+COUNTIF(BDD!H129:AR129,2)*'ButsMPG + Var'!$K$14+COUNTIF(BDD!H129:AR129,1)*'ButsMPG + Var'!$K$13,IF(C126="D",COUNTIF(BDD!H129:AR129,10)*'ButsMPG + Var'!$K$32+COUNTIF(BDD!H129:AR129,9)*'ButsMPG + Var'!$K$31+COUNTIF(BDD!H129:AR129,8)*'ButsMPG + Var'!$K$30+COUNTIF(BDD!H129:AR129,7)*'ButsMPG + Var'!$K$29+COUNTIF(BDD!H129:AR129,6)*'ButsMPG + Var'!$K$28+COUNTIF(BDD!H129:AR129,5)*'ButsMPG + Var'!$K$27+COUNTIF(BDD!H129:AR129,4)*'ButsMPG + Var'!$K$26+COUNTIF(BDD!H129:AR129,3)*'ButsMPG + Var'!$K$25+COUNTIF(BDD!H129:AR129,2)*'ButsMPG + Var'!$K$24+COUNTIF(BDD!H129:AR129,1)*'ButsMPG + Var'!$K$23,0)))</f>
        <v>0</v>
      </c>
      <c r="H126" s="25">
        <f t="shared" si="2"/>
        <v>0</v>
      </c>
      <c r="I126" s="25">
        <f>BDD!G129</f>
        <v>0</v>
      </c>
      <c r="J126" s="25">
        <f>SUMPRODUCT(BDD!H129:AS129,'ButsMPG + Var'!$B$46:$AM$46)</f>
        <v>0</v>
      </c>
      <c r="K126" s="25" t="e">
        <f>10*('ButsMPG + Var'!$H$37*J126/MAX(J:J)+'ButsMPG + Var'!$G$37*H126/MAX(H:H))</f>
        <v>#DIV/0!</v>
      </c>
      <c r="L126" s="1">
        <f>IF(ISNA(VLOOKUP(B126,PrixMini!$B$3:$E$573,4,FALSE)),1,VLOOKUP(B126,PrixMini!$B$3:$E$573,4,FALSE))</f>
        <v>1</v>
      </c>
      <c r="M126" s="25" t="e">
        <f>IF(ROUND(CalculCotation!$D$3*EXP(CalculCotation!$C$3*K126)-CalculCotation!$D$3+1,0)&gt;L126,ROUND(CalculCotation!$D$3*EXP(CalculCotation!$C$3*K126)-CalculCotation!$D$3+1,0),L126)</f>
        <v>#DIV/0!</v>
      </c>
    </row>
    <row r="127" spans="2:13" x14ac:dyDescent="0.3">
      <c r="B127" s="1">
        <f>BDD!C130</f>
        <v>0</v>
      </c>
      <c r="C127" s="1">
        <f>BDD!B130</f>
        <v>0</v>
      </c>
      <c r="D127" s="1">
        <f>BDD!A130</f>
        <v>0</v>
      </c>
      <c r="E127" s="1">
        <f>BDD!D130</f>
        <v>0</v>
      </c>
      <c r="F127" s="1">
        <f>BDD!F130</f>
        <v>0</v>
      </c>
      <c r="G127" s="25">
        <f>'ButsMPG + Var'!$I$39*IF(C127="A",COUNTIF(BDD!H130:AR130,10)*'ButsMPG + Var'!$K$12+COUNTIF(BDD!H130:AR130,9)*'ButsMPG + Var'!$K$11+COUNTIF(BDD!H130:AR130,8)*'ButsMPG + Var'!$K$10+COUNTIF(BDD!H130:AR130,7)*'ButsMPG + Var'!$K$9+COUNTIF(BDD!H130:AR130,6)*'ButsMPG + Var'!$K$8+COUNTIF(BDD!H130:AR130,5)*'ButsMPG + Var'!$K$7+COUNTIF(BDD!H130:AR130,4)*'ButsMPG + Var'!$K$6+COUNTIF(BDD!H130:AR130,3)*'ButsMPG + Var'!$K$5+COUNTIF(BDD!H130:AR130,2)*'ButsMPG + Var'!$K$4+COUNTIF(BDD!H130:AR130,1)*'ButsMPG + Var'!$K$3,IF(C127="M",COUNTIF(BDD!H130:AR130,10)*'ButsMPG + Var'!$K$22+COUNTIF(BDD!H130:AR130,9)*'ButsMPG + Var'!$K$21+COUNTIF(BDD!H130:AR130,8)*'ButsMPG + Var'!$K$20+COUNTIF(BDD!H130:AR130,7)*'ButsMPG + Var'!$K$19+COUNTIF(BDD!H130:AR130,6)*'ButsMPG + Var'!$K$18+COUNTIF(BDD!H130:AR130,5)*'ButsMPG + Var'!$K$17+COUNTIF(BDD!H130:AR130,4)*'ButsMPG + Var'!$K$16+COUNTIF(BDD!H130:AR130,3)*'ButsMPG + Var'!$K$15+COUNTIF(BDD!H130:AR130,2)*'ButsMPG + Var'!$K$14+COUNTIF(BDD!H130:AR130,1)*'ButsMPG + Var'!$K$13,IF(C127="D",COUNTIF(BDD!H130:AR130,10)*'ButsMPG + Var'!$K$32+COUNTIF(BDD!H130:AR130,9)*'ButsMPG + Var'!$K$31+COUNTIF(BDD!H130:AR130,8)*'ButsMPG + Var'!$K$30+COUNTIF(BDD!H130:AR130,7)*'ButsMPG + Var'!$K$29+COUNTIF(BDD!H130:AR130,6)*'ButsMPG + Var'!$K$28+COUNTIF(BDD!H130:AR130,5)*'ButsMPG + Var'!$K$27+COUNTIF(BDD!H130:AR130,4)*'ButsMPG + Var'!$K$26+COUNTIF(BDD!H130:AR130,3)*'ButsMPG + Var'!$K$25+COUNTIF(BDD!H130:AR130,2)*'ButsMPG + Var'!$K$24+COUNTIF(BDD!H130:AR130,1)*'ButsMPG + Var'!$K$23,0)))</f>
        <v>0</v>
      </c>
      <c r="H127" s="25">
        <f t="shared" si="2"/>
        <v>0</v>
      </c>
      <c r="I127" s="25">
        <f>BDD!G130</f>
        <v>0</v>
      </c>
      <c r="J127" s="25">
        <f>SUMPRODUCT(BDD!H130:AS130,'ButsMPG + Var'!$B$46:$AM$46)</f>
        <v>0</v>
      </c>
      <c r="K127" s="25" t="e">
        <f>10*('ButsMPG + Var'!$H$37*J127/MAX(J:J)+'ButsMPG + Var'!$G$37*H127/MAX(H:H))</f>
        <v>#DIV/0!</v>
      </c>
      <c r="L127" s="1">
        <f>IF(ISNA(VLOOKUP(B127,PrixMini!$B$3:$E$573,4,FALSE)),1,VLOOKUP(B127,PrixMini!$B$3:$E$573,4,FALSE))</f>
        <v>1</v>
      </c>
      <c r="M127" s="25" t="e">
        <f>IF(ROUND(CalculCotation!$D$3*EXP(CalculCotation!$C$3*K127)-CalculCotation!$D$3+1,0)&gt;L127,ROUND(CalculCotation!$D$3*EXP(CalculCotation!$C$3*K127)-CalculCotation!$D$3+1,0),L127)</f>
        <v>#DIV/0!</v>
      </c>
    </row>
    <row r="128" spans="2:13" x14ac:dyDescent="0.3">
      <c r="B128" s="1">
        <f>BDD!C131</f>
        <v>0</v>
      </c>
      <c r="C128" s="1">
        <f>BDD!B131</f>
        <v>0</v>
      </c>
      <c r="D128" s="1">
        <f>BDD!A131</f>
        <v>0</v>
      </c>
      <c r="E128" s="1">
        <f>BDD!D131</f>
        <v>0</v>
      </c>
      <c r="F128" s="1">
        <f>BDD!F131</f>
        <v>0</v>
      </c>
      <c r="G128" s="25">
        <f>'ButsMPG + Var'!$I$39*IF(C128="A",COUNTIF(BDD!H131:AR131,10)*'ButsMPG + Var'!$K$12+COUNTIF(BDD!H131:AR131,9)*'ButsMPG + Var'!$K$11+COUNTIF(BDD!H131:AR131,8)*'ButsMPG + Var'!$K$10+COUNTIF(BDD!H131:AR131,7)*'ButsMPG + Var'!$K$9+COUNTIF(BDD!H131:AR131,6)*'ButsMPG + Var'!$K$8+COUNTIF(BDD!H131:AR131,5)*'ButsMPG + Var'!$K$7+COUNTIF(BDD!H131:AR131,4)*'ButsMPG + Var'!$K$6+COUNTIF(BDD!H131:AR131,3)*'ButsMPG + Var'!$K$5+COUNTIF(BDD!H131:AR131,2)*'ButsMPG + Var'!$K$4+COUNTIF(BDD!H131:AR131,1)*'ButsMPG + Var'!$K$3,IF(C128="M",COUNTIF(BDD!H131:AR131,10)*'ButsMPG + Var'!$K$22+COUNTIF(BDD!H131:AR131,9)*'ButsMPG + Var'!$K$21+COUNTIF(BDD!H131:AR131,8)*'ButsMPG + Var'!$K$20+COUNTIF(BDD!H131:AR131,7)*'ButsMPG + Var'!$K$19+COUNTIF(BDD!H131:AR131,6)*'ButsMPG + Var'!$K$18+COUNTIF(BDD!H131:AR131,5)*'ButsMPG + Var'!$K$17+COUNTIF(BDD!H131:AR131,4)*'ButsMPG + Var'!$K$16+COUNTIF(BDD!H131:AR131,3)*'ButsMPG + Var'!$K$15+COUNTIF(BDD!H131:AR131,2)*'ButsMPG + Var'!$K$14+COUNTIF(BDD!H131:AR131,1)*'ButsMPG + Var'!$K$13,IF(C128="D",COUNTIF(BDD!H131:AR131,10)*'ButsMPG + Var'!$K$32+COUNTIF(BDD!H131:AR131,9)*'ButsMPG + Var'!$K$31+COUNTIF(BDD!H131:AR131,8)*'ButsMPG + Var'!$K$30+COUNTIF(BDD!H131:AR131,7)*'ButsMPG + Var'!$K$29+COUNTIF(BDD!H131:AR131,6)*'ButsMPG + Var'!$K$28+COUNTIF(BDD!H131:AR131,5)*'ButsMPG + Var'!$K$27+COUNTIF(BDD!H131:AR131,4)*'ButsMPG + Var'!$K$26+COUNTIF(BDD!H131:AR131,3)*'ButsMPG + Var'!$K$25+COUNTIF(BDD!H131:AR131,2)*'ButsMPG + Var'!$K$24+COUNTIF(BDD!H131:AR131,1)*'ButsMPG + Var'!$K$23,0)))</f>
        <v>0</v>
      </c>
      <c r="H128" s="25">
        <f t="shared" si="2"/>
        <v>0</v>
      </c>
      <c r="I128" s="25">
        <f>BDD!G131</f>
        <v>0</v>
      </c>
      <c r="J128" s="25">
        <f>SUMPRODUCT(BDD!H131:AS131,'ButsMPG + Var'!$B$46:$AM$46)</f>
        <v>0</v>
      </c>
      <c r="K128" s="25" t="e">
        <f>10*('ButsMPG + Var'!$H$37*J128/MAX(J:J)+'ButsMPG + Var'!$G$37*H128/MAX(H:H))</f>
        <v>#DIV/0!</v>
      </c>
      <c r="L128" s="1">
        <f>IF(ISNA(VLOOKUP(B128,PrixMini!$B$3:$E$573,4,FALSE)),1,VLOOKUP(B128,PrixMini!$B$3:$E$573,4,FALSE))</f>
        <v>1</v>
      </c>
      <c r="M128" s="25" t="e">
        <f>IF(ROUND(CalculCotation!$D$3*EXP(CalculCotation!$C$3*K128)-CalculCotation!$D$3+1,0)&gt;L128,ROUND(CalculCotation!$D$3*EXP(CalculCotation!$C$3*K128)-CalculCotation!$D$3+1,0),L128)</f>
        <v>#DIV/0!</v>
      </c>
    </row>
    <row r="129" spans="2:13" x14ac:dyDescent="0.3">
      <c r="B129" s="1">
        <f>BDD!C132</f>
        <v>0</v>
      </c>
      <c r="C129" s="1">
        <f>BDD!B132</f>
        <v>0</v>
      </c>
      <c r="D129" s="1">
        <f>BDD!A132</f>
        <v>0</v>
      </c>
      <c r="E129" s="1">
        <f>BDD!D132</f>
        <v>0</v>
      </c>
      <c r="F129" s="1">
        <f>BDD!F132</f>
        <v>0</v>
      </c>
      <c r="G129" s="25">
        <f>'ButsMPG + Var'!$I$39*IF(C129="A",COUNTIF(BDD!H132:AR132,10)*'ButsMPG + Var'!$K$12+COUNTIF(BDD!H132:AR132,9)*'ButsMPG + Var'!$K$11+COUNTIF(BDD!H132:AR132,8)*'ButsMPG + Var'!$K$10+COUNTIF(BDD!H132:AR132,7)*'ButsMPG + Var'!$K$9+COUNTIF(BDD!H132:AR132,6)*'ButsMPG + Var'!$K$8+COUNTIF(BDD!H132:AR132,5)*'ButsMPG + Var'!$K$7+COUNTIF(BDD!H132:AR132,4)*'ButsMPG + Var'!$K$6+COUNTIF(BDD!H132:AR132,3)*'ButsMPG + Var'!$K$5+COUNTIF(BDD!H132:AR132,2)*'ButsMPG + Var'!$K$4+COUNTIF(BDD!H132:AR132,1)*'ButsMPG + Var'!$K$3,IF(C129="M",COUNTIF(BDD!H132:AR132,10)*'ButsMPG + Var'!$K$22+COUNTIF(BDD!H132:AR132,9)*'ButsMPG + Var'!$K$21+COUNTIF(BDD!H132:AR132,8)*'ButsMPG + Var'!$K$20+COUNTIF(BDD!H132:AR132,7)*'ButsMPG + Var'!$K$19+COUNTIF(BDD!H132:AR132,6)*'ButsMPG + Var'!$K$18+COUNTIF(BDD!H132:AR132,5)*'ButsMPG + Var'!$K$17+COUNTIF(BDD!H132:AR132,4)*'ButsMPG + Var'!$K$16+COUNTIF(BDD!H132:AR132,3)*'ButsMPG + Var'!$K$15+COUNTIF(BDD!H132:AR132,2)*'ButsMPG + Var'!$K$14+COUNTIF(BDD!H132:AR132,1)*'ButsMPG + Var'!$K$13,IF(C129="D",COUNTIF(BDD!H132:AR132,10)*'ButsMPG + Var'!$K$32+COUNTIF(BDD!H132:AR132,9)*'ButsMPG + Var'!$K$31+COUNTIF(BDD!H132:AR132,8)*'ButsMPG + Var'!$K$30+COUNTIF(BDD!H132:AR132,7)*'ButsMPG + Var'!$K$29+COUNTIF(BDD!H132:AR132,6)*'ButsMPG + Var'!$K$28+COUNTIF(BDD!H132:AR132,5)*'ButsMPG + Var'!$K$27+COUNTIF(BDD!H132:AR132,4)*'ButsMPG + Var'!$K$26+COUNTIF(BDD!H132:AR132,3)*'ButsMPG + Var'!$K$25+COUNTIF(BDD!H132:AR132,2)*'ButsMPG + Var'!$K$24+COUNTIF(BDD!H132:AR132,1)*'ButsMPG + Var'!$K$23,0)))</f>
        <v>0</v>
      </c>
      <c r="H129" s="25">
        <f t="shared" si="2"/>
        <v>0</v>
      </c>
      <c r="I129" s="25">
        <f>BDD!G132</f>
        <v>0</v>
      </c>
      <c r="J129" s="25">
        <f>SUMPRODUCT(BDD!H132:AS132,'ButsMPG + Var'!$B$46:$AM$46)</f>
        <v>0</v>
      </c>
      <c r="K129" s="25" t="e">
        <f>10*('ButsMPG + Var'!$H$37*J129/MAX(J:J)+'ButsMPG + Var'!$G$37*H129/MAX(H:H))</f>
        <v>#DIV/0!</v>
      </c>
      <c r="L129" s="1">
        <f>IF(ISNA(VLOOKUP(B129,PrixMini!$B$3:$E$573,4,FALSE)),1,VLOOKUP(B129,PrixMini!$B$3:$E$573,4,FALSE))</f>
        <v>1</v>
      </c>
      <c r="M129" s="25" t="e">
        <f>IF(ROUND(CalculCotation!$D$3*EXP(CalculCotation!$C$3*K129)-CalculCotation!$D$3+1,0)&gt;L129,ROUND(CalculCotation!$D$3*EXP(CalculCotation!$C$3*K129)-CalculCotation!$D$3+1,0),L129)</f>
        <v>#DIV/0!</v>
      </c>
    </row>
    <row r="130" spans="2:13" x14ac:dyDescent="0.3">
      <c r="B130" s="1">
        <f>BDD!C133</f>
        <v>0</v>
      </c>
      <c r="C130" s="1">
        <f>BDD!B133</f>
        <v>0</v>
      </c>
      <c r="D130" s="1">
        <f>BDD!A133</f>
        <v>0</v>
      </c>
      <c r="E130" s="1">
        <f>BDD!D133</f>
        <v>0</v>
      </c>
      <c r="F130" s="1">
        <f>BDD!F133</f>
        <v>0</v>
      </c>
      <c r="G130" s="25">
        <f>'ButsMPG + Var'!$I$39*IF(C130="A",COUNTIF(BDD!H133:AR133,10)*'ButsMPG + Var'!$K$12+COUNTIF(BDD!H133:AR133,9)*'ButsMPG + Var'!$K$11+COUNTIF(BDD!H133:AR133,8)*'ButsMPG + Var'!$K$10+COUNTIF(BDD!H133:AR133,7)*'ButsMPG + Var'!$K$9+COUNTIF(BDD!H133:AR133,6)*'ButsMPG + Var'!$K$8+COUNTIF(BDD!H133:AR133,5)*'ButsMPG + Var'!$K$7+COUNTIF(BDD!H133:AR133,4)*'ButsMPG + Var'!$K$6+COUNTIF(BDD!H133:AR133,3)*'ButsMPG + Var'!$K$5+COUNTIF(BDD!H133:AR133,2)*'ButsMPG + Var'!$K$4+COUNTIF(BDD!H133:AR133,1)*'ButsMPG + Var'!$K$3,IF(C130="M",COUNTIF(BDD!H133:AR133,10)*'ButsMPG + Var'!$K$22+COUNTIF(BDD!H133:AR133,9)*'ButsMPG + Var'!$K$21+COUNTIF(BDD!H133:AR133,8)*'ButsMPG + Var'!$K$20+COUNTIF(BDD!H133:AR133,7)*'ButsMPG + Var'!$K$19+COUNTIF(BDD!H133:AR133,6)*'ButsMPG + Var'!$K$18+COUNTIF(BDD!H133:AR133,5)*'ButsMPG + Var'!$K$17+COUNTIF(BDD!H133:AR133,4)*'ButsMPG + Var'!$K$16+COUNTIF(BDD!H133:AR133,3)*'ButsMPG + Var'!$K$15+COUNTIF(BDD!H133:AR133,2)*'ButsMPG + Var'!$K$14+COUNTIF(BDD!H133:AR133,1)*'ButsMPG + Var'!$K$13,IF(C130="D",COUNTIF(BDD!H133:AR133,10)*'ButsMPG + Var'!$K$32+COUNTIF(BDD!H133:AR133,9)*'ButsMPG + Var'!$K$31+COUNTIF(BDD!H133:AR133,8)*'ButsMPG + Var'!$K$30+COUNTIF(BDD!H133:AR133,7)*'ButsMPG + Var'!$K$29+COUNTIF(BDD!H133:AR133,6)*'ButsMPG + Var'!$K$28+COUNTIF(BDD!H133:AR133,5)*'ButsMPG + Var'!$K$27+COUNTIF(BDD!H133:AR133,4)*'ButsMPG + Var'!$K$26+COUNTIF(BDD!H133:AR133,3)*'ButsMPG + Var'!$K$25+COUNTIF(BDD!H133:AR133,2)*'ButsMPG + Var'!$K$24+COUNTIF(BDD!H133:AR133,1)*'ButsMPG + Var'!$K$23,0)))</f>
        <v>0</v>
      </c>
      <c r="H130" s="25">
        <f t="shared" si="2"/>
        <v>0</v>
      </c>
      <c r="I130" s="25">
        <f>BDD!G133</f>
        <v>0</v>
      </c>
      <c r="J130" s="25">
        <f>SUMPRODUCT(BDD!H133:AS133,'ButsMPG + Var'!$B$46:$AM$46)</f>
        <v>0</v>
      </c>
      <c r="K130" s="25" t="e">
        <f>10*('ButsMPG + Var'!$H$37*J130/MAX(J:J)+'ButsMPG + Var'!$G$37*H130/MAX(H:H))</f>
        <v>#DIV/0!</v>
      </c>
      <c r="L130" s="1">
        <f>IF(ISNA(VLOOKUP(B130,PrixMini!$B$3:$E$573,4,FALSE)),1,VLOOKUP(B130,PrixMini!$B$3:$E$573,4,FALSE))</f>
        <v>1</v>
      </c>
      <c r="M130" s="25" t="e">
        <f>IF(ROUND(CalculCotation!$D$3*EXP(CalculCotation!$C$3*K130)-CalculCotation!$D$3+1,0)&gt;L130,ROUND(CalculCotation!$D$3*EXP(CalculCotation!$C$3*K130)-CalculCotation!$D$3+1,0),L130)</f>
        <v>#DIV/0!</v>
      </c>
    </row>
    <row r="131" spans="2:13" x14ac:dyDescent="0.3">
      <c r="B131" s="1">
        <f>BDD!C134</f>
        <v>0</v>
      </c>
      <c r="C131" s="1">
        <f>BDD!B134</f>
        <v>0</v>
      </c>
      <c r="D131" s="1">
        <f>BDD!A134</f>
        <v>0</v>
      </c>
      <c r="E131" s="1">
        <f>BDD!D134</f>
        <v>0</v>
      </c>
      <c r="F131" s="1">
        <f>BDD!F134</f>
        <v>0</v>
      </c>
      <c r="G131" s="25">
        <f>'ButsMPG + Var'!$I$39*IF(C131="A",COUNTIF(BDD!H134:AR134,10)*'ButsMPG + Var'!$K$12+COUNTIF(BDD!H134:AR134,9)*'ButsMPG + Var'!$K$11+COUNTIF(BDD!H134:AR134,8)*'ButsMPG + Var'!$K$10+COUNTIF(BDD!H134:AR134,7)*'ButsMPG + Var'!$K$9+COUNTIF(BDD!H134:AR134,6)*'ButsMPG + Var'!$K$8+COUNTIF(BDD!H134:AR134,5)*'ButsMPG + Var'!$K$7+COUNTIF(BDD!H134:AR134,4)*'ButsMPG + Var'!$K$6+COUNTIF(BDD!H134:AR134,3)*'ButsMPG + Var'!$K$5+COUNTIF(BDD!H134:AR134,2)*'ButsMPG + Var'!$K$4+COUNTIF(BDD!H134:AR134,1)*'ButsMPG + Var'!$K$3,IF(C131="M",COUNTIF(BDD!H134:AR134,10)*'ButsMPG + Var'!$K$22+COUNTIF(BDD!H134:AR134,9)*'ButsMPG + Var'!$K$21+COUNTIF(BDD!H134:AR134,8)*'ButsMPG + Var'!$K$20+COUNTIF(BDD!H134:AR134,7)*'ButsMPG + Var'!$K$19+COUNTIF(BDD!H134:AR134,6)*'ButsMPG + Var'!$K$18+COUNTIF(BDD!H134:AR134,5)*'ButsMPG + Var'!$K$17+COUNTIF(BDD!H134:AR134,4)*'ButsMPG + Var'!$K$16+COUNTIF(BDD!H134:AR134,3)*'ButsMPG + Var'!$K$15+COUNTIF(BDD!H134:AR134,2)*'ButsMPG + Var'!$K$14+COUNTIF(BDD!H134:AR134,1)*'ButsMPG + Var'!$K$13,IF(C131="D",COUNTIF(BDD!H134:AR134,10)*'ButsMPG + Var'!$K$32+COUNTIF(BDD!H134:AR134,9)*'ButsMPG + Var'!$K$31+COUNTIF(BDD!H134:AR134,8)*'ButsMPG + Var'!$K$30+COUNTIF(BDD!H134:AR134,7)*'ButsMPG + Var'!$K$29+COUNTIF(BDD!H134:AR134,6)*'ButsMPG + Var'!$K$28+COUNTIF(BDD!H134:AR134,5)*'ButsMPG + Var'!$K$27+COUNTIF(BDD!H134:AR134,4)*'ButsMPG + Var'!$K$26+COUNTIF(BDD!H134:AR134,3)*'ButsMPG + Var'!$K$25+COUNTIF(BDD!H134:AR134,2)*'ButsMPG + Var'!$K$24+COUNTIF(BDD!H134:AR134,1)*'ButsMPG + Var'!$K$23,0)))</f>
        <v>0</v>
      </c>
      <c r="H131" s="25">
        <f t="shared" si="2"/>
        <v>0</v>
      </c>
      <c r="I131" s="25">
        <f>BDD!G134</f>
        <v>0</v>
      </c>
      <c r="J131" s="25">
        <f>SUMPRODUCT(BDD!H134:AS134,'ButsMPG + Var'!$B$46:$AM$46)</f>
        <v>0</v>
      </c>
      <c r="K131" s="25" t="e">
        <f>10*('ButsMPG + Var'!$H$37*J131/MAX(J:J)+'ButsMPG + Var'!$G$37*H131/MAX(H:H))</f>
        <v>#DIV/0!</v>
      </c>
      <c r="L131" s="1">
        <f>IF(ISNA(VLOOKUP(B131,PrixMini!$B$3:$E$573,4,FALSE)),1,VLOOKUP(B131,PrixMini!$B$3:$E$573,4,FALSE))</f>
        <v>1</v>
      </c>
      <c r="M131" s="25" t="e">
        <f>IF(ROUND(CalculCotation!$D$3*EXP(CalculCotation!$C$3*K131)-CalculCotation!$D$3+1,0)&gt;L131,ROUND(CalculCotation!$D$3*EXP(CalculCotation!$C$3*K131)-CalculCotation!$D$3+1,0),L131)</f>
        <v>#DIV/0!</v>
      </c>
    </row>
    <row r="132" spans="2:13" x14ac:dyDescent="0.3">
      <c r="B132" s="1">
        <f>BDD!C135</f>
        <v>0</v>
      </c>
      <c r="C132" s="1">
        <f>BDD!B135</f>
        <v>0</v>
      </c>
      <c r="D132" s="1">
        <f>BDD!A135</f>
        <v>0</v>
      </c>
      <c r="E132" s="1">
        <f>BDD!D135</f>
        <v>0</v>
      </c>
      <c r="F132" s="1">
        <f>BDD!F135</f>
        <v>0</v>
      </c>
      <c r="G132" s="25">
        <f>'ButsMPG + Var'!$I$39*IF(C132="A",COUNTIF(BDD!H135:AR135,10)*'ButsMPG + Var'!$K$12+COUNTIF(BDD!H135:AR135,9)*'ButsMPG + Var'!$K$11+COUNTIF(BDD!H135:AR135,8)*'ButsMPG + Var'!$K$10+COUNTIF(BDD!H135:AR135,7)*'ButsMPG + Var'!$K$9+COUNTIF(BDD!H135:AR135,6)*'ButsMPG + Var'!$K$8+COUNTIF(BDD!H135:AR135,5)*'ButsMPG + Var'!$K$7+COUNTIF(BDD!H135:AR135,4)*'ButsMPG + Var'!$K$6+COUNTIF(BDD!H135:AR135,3)*'ButsMPG + Var'!$K$5+COUNTIF(BDD!H135:AR135,2)*'ButsMPG + Var'!$K$4+COUNTIF(BDD!H135:AR135,1)*'ButsMPG + Var'!$K$3,IF(C132="M",COUNTIF(BDD!H135:AR135,10)*'ButsMPG + Var'!$K$22+COUNTIF(BDD!H135:AR135,9)*'ButsMPG + Var'!$K$21+COUNTIF(BDD!H135:AR135,8)*'ButsMPG + Var'!$K$20+COUNTIF(BDD!H135:AR135,7)*'ButsMPG + Var'!$K$19+COUNTIF(BDD!H135:AR135,6)*'ButsMPG + Var'!$K$18+COUNTIF(BDD!H135:AR135,5)*'ButsMPG + Var'!$K$17+COUNTIF(BDD!H135:AR135,4)*'ButsMPG + Var'!$K$16+COUNTIF(BDD!H135:AR135,3)*'ButsMPG + Var'!$K$15+COUNTIF(BDD!H135:AR135,2)*'ButsMPG + Var'!$K$14+COUNTIF(BDD!H135:AR135,1)*'ButsMPG + Var'!$K$13,IF(C132="D",COUNTIF(BDD!H135:AR135,10)*'ButsMPG + Var'!$K$32+COUNTIF(BDD!H135:AR135,9)*'ButsMPG + Var'!$K$31+COUNTIF(BDD!H135:AR135,8)*'ButsMPG + Var'!$K$30+COUNTIF(BDD!H135:AR135,7)*'ButsMPG + Var'!$K$29+COUNTIF(BDD!H135:AR135,6)*'ButsMPG + Var'!$K$28+COUNTIF(BDD!H135:AR135,5)*'ButsMPG + Var'!$K$27+COUNTIF(BDD!H135:AR135,4)*'ButsMPG + Var'!$K$26+COUNTIF(BDD!H135:AR135,3)*'ButsMPG + Var'!$K$25+COUNTIF(BDD!H135:AR135,2)*'ButsMPG + Var'!$K$24+COUNTIF(BDD!H135:AR135,1)*'ButsMPG + Var'!$K$23,0)))</f>
        <v>0</v>
      </c>
      <c r="H132" s="25">
        <f t="shared" ref="H132:H195" si="3">SUM(F132:G132)</f>
        <v>0</v>
      </c>
      <c r="I132" s="25">
        <f>BDD!G135</f>
        <v>0</v>
      </c>
      <c r="J132" s="25">
        <f>SUMPRODUCT(BDD!H135:AS135,'ButsMPG + Var'!$B$46:$AM$46)</f>
        <v>0</v>
      </c>
      <c r="K132" s="25" t="e">
        <f>10*('ButsMPG + Var'!$H$37*J132/MAX(J:J)+'ButsMPG + Var'!$G$37*H132/MAX(H:H))</f>
        <v>#DIV/0!</v>
      </c>
      <c r="L132" s="1">
        <f>IF(ISNA(VLOOKUP(B132,PrixMini!$B$3:$E$573,4,FALSE)),1,VLOOKUP(B132,PrixMini!$B$3:$E$573,4,FALSE))</f>
        <v>1</v>
      </c>
      <c r="M132" s="25" t="e">
        <f>IF(ROUND(CalculCotation!$D$3*EXP(CalculCotation!$C$3*K132)-CalculCotation!$D$3+1,0)&gt;L132,ROUND(CalculCotation!$D$3*EXP(CalculCotation!$C$3*K132)-CalculCotation!$D$3+1,0),L132)</f>
        <v>#DIV/0!</v>
      </c>
    </row>
    <row r="133" spans="2:13" x14ac:dyDescent="0.3">
      <c r="B133" s="1">
        <f>BDD!C136</f>
        <v>0</v>
      </c>
      <c r="C133" s="1">
        <f>BDD!B136</f>
        <v>0</v>
      </c>
      <c r="D133" s="1">
        <f>BDD!A136</f>
        <v>0</v>
      </c>
      <c r="E133" s="1">
        <f>BDD!D136</f>
        <v>0</v>
      </c>
      <c r="F133" s="1">
        <f>BDD!F136</f>
        <v>0</v>
      </c>
      <c r="G133" s="25">
        <f>'ButsMPG + Var'!$I$39*IF(C133="A",COUNTIF(BDD!H136:AR136,10)*'ButsMPG + Var'!$K$12+COUNTIF(BDD!H136:AR136,9)*'ButsMPG + Var'!$K$11+COUNTIF(BDD!H136:AR136,8)*'ButsMPG + Var'!$K$10+COUNTIF(BDD!H136:AR136,7)*'ButsMPG + Var'!$K$9+COUNTIF(BDD!H136:AR136,6)*'ButsMPG + Var'!$K$8+COUNTIF(BDD!H136:AR136,5)*'ButsMPG + Var'!$K$7+COUNTIF(BDD!H136:AR136,4)*'ButsMPG + Var'!$K$6+COUNTIF(BDD!H136:AR136,3)*'ButsMPG + Var'!$K$5+COUNTIF(BDD!H136:AR136,2)*'ButsMPG + Var'!$K$4+COUNTIF(BDD!H136:AR136,1)*'ButsMPG + Var'!$K$3,IF(C133="M",COUNTIF(BDD!H136:AR136,10)*'ButsMPG + Var'!$K$22+COUNTIF(BDD!H136:AR136,9)*'ButsMPG + Var'!$K$21+COUNTIF(BDD!H136:AR136,8)*'ButsMPG + Var'!$K$20+COUNTIF(BDD!H136:AR136,7)*'ButsMPG + Var'!$K$19+COUNTIF(BDD!H136:AR136,6)*'ButsMPG + Var'!$K$18+COUNTIF(BDD!H136:AR136,5)*'ButsMPG + Var'!$K$17+COUNTIF(BDD!H136:AR136,4)*'ButsMPG + Var'!$K$16+COUNTIF(BDD!H136:AR136,3)*'ButsMPG + Var'!$K$15+COUNTIF(BDD!H136:AR136,2)*'ButsMPG + Var'!$K$14+COUNTIF(BDD!H136:AR136,1)*'ButsMPG + Var'!$K$13,IF(C133="D",COUNTIF(BDD!H136:AR136,10)*'ButsMPG + Var'!$K$32+COUNTIF(BDD!H136:AR136,9)*'ButsMPG + Var'!$K$31+COUNTIF(BDD!H136:AR136,8)*'ButsMPG + Var'!$K$30+COUNTIF(BDD!H136:AR136,7)*'ButsMPG + Var'!$K$29+COUNTIF(BDD!H136:AR136,6)*'ButsMPG + Var'!$K$28+COUNTIF(BDD!H136:AR136,5)*'ButsMPG + Var'!$K$27+COUNTIF(BDD!H136:AR136,4)*'ButsMPG + Var'!$K$26+COUNTIF(BDD!H136:AR136,3)*'ButsMPG + Var'!$K$25+COUNTIF(BDD!H136:AR136,2)*'ButsMPG + Var'!$K$24+COUNTIF(BDD!H136:AR136,1)*'ButsMPG + Var'!$K$23,0)))</f>
        <v>0</v>
      </c>
      <c r="H133" s="25">
        <f t="shared" si="3"/>
        <v>0</v>
      </c>
      <c r="I133" s="25">
        <f>BDD!G136</f>
        <v>0</v>
      </c>
      <c r="J133" s="25">
        <f>SUMPRODUCT(BDD!H136:AS136,'ButsMPG + Var'!$B$46:$AM$46)</f>
        <v>0</v>
      </c>
      <c r="K133" s="25" t="e">
        <f>10*('ButsMPG + Var'!$H$37*J133/MAX(J:J)+'ButsMPG + Var'!$G$37*H133/MAX(H:H))</f>
        <v>#DIV/0!</v>
      </c>
      <c r="L133" s="1">
        <f>IF(ISNA(VLOOKUP(B133,PrixMini!$B$3:$E$573,4,FALSE)),1,VLOOKUP(B133,PrixMini!$B$3:$E$573,4,FALSE))</f>
        <v>1</v>
      </c>
      <c r="M133" s="25" t="e">
        <f>IF(ROUND(CalculCotation!$D$3*EXP(CalculCotation!$C$3*K133)-CalculCotation!$D$3+1,0)&gt;L133,ROUND(CalculCotation!$D$3*EXP(CalculCotation!$C$3*K133)-CalculCotation!$D$3+1,0),L133)</f>
        <v>#DIV/0!</v>
      </c>
    </row>
    <row r="134" spans="2:13" x14ac:dyDescent="0.3">
      <c r="B134" s="1">
        <f>BDD!C137</f>
        <v>0</v>
      </c>
      <c r="C134" s="1">
        <f>BDD!B137</f>
        <v>0</v>
      </c>
      <c r="D134" s="1">
        <f>BDD!A137</f>
        <v>0</v>
      </c>
      <c r="E134" s="1">
        <f>BDD!D137</f>
        <v>0</v>
      </c>
      <c r="F134" s="1">
        <f>BDD!F137</f>
        <v>0</v>
      </c>
      <c r="G134" s="25">
        <f>'ButsMPG + Var'!$I$39*IF(C134="A",COUNTIF(BDD!H137:AR137,10)*'ButsMPG + Var'!$K$12+COUNTIF(BDD!H137:AR137,9)*'ButsMPG + Var'!$K$11+COUNTIF(BDD!H137:AR137,8)*'ButsMPG + Var'!$K$10+COUNTIF(BDD!H137:AR137,7)*'ButsMPG + Var'!$K$9+COUNTIF(BDD!H137:AR137,6)*'ButsMPG + Var'!$K$8+COUNTIF(BDD!H137:AR137,5)*'ButsMPG + Var'!$K$7+COUNTIF(BDD!H137:AR137,4)*'ButsMPG + Var'!$K$6+COUNTIF(BDD!H137:AR137,3)*'ButsMPG + Var'!$K$5+COUNTIF(BDD!H137:AR137,2)*'ButsMPG + Var'!$K$4+COUNTIF(BDD!H137:AR137,1)*'ButsMPG + Var'!$K$3,IF(C134="M",COUNTIF(BDD!H137:AR137,10)*'ButsMPG + Var'!$K$22+COUNTIF(BDD!H137:AR137,9)*'ButsMPG + Var'!$K$21+COUNTIF(BDD!H137:AR137,8)*'ButsMPG + Var'!$K$20+COUNTIF(BDD!H137:AR137,7)*'ButsMPG + Var'!$K$19+COUNTIF(BDD!H137:AR137,6)*'ButsMPG + Var'!$K$18+COUNTIF(BDD!H137:AR137,5)*'ButsMPG + Var'!$K$17+COUNTIF(BDD!H137:AR137,4)*'ButsMPG + Var'!$K$16+COUNTIF(BDD!H137:AR137,3)*'ButsMPG + Var'!$K$15+COUNTIF(BDD!H137:AR137,2)*'ButsMPG + Var'!$K$14+COUNTIF(BDD!H137:AR137,1)*'ButsMPG + Var'!$K$13,IF(C134="D",COUNTIF(BDD!H137:AR137,10)*'ButsMPG + Var'!$K$32+COUNTIF(BDD!H137:AR137,9)*'ButsMPG + Var'!$K$31+COUNTIF(BDD!H137:AR137,8)*'ButsMPG + Var'!$K$30+COUNTIF(BDD!H137:AR137,7)*'ButsMPG + Var'!$K$29+COUNTIF(BDD!H137:AR137,6)*'ButsMPG + Var'!$K$28+COUNTIF(BDD!H137:AR137,5)*'ButsMPG + Var'!$K$27+COUNTIF(BDD!H137:AR137,4)*'ButsMPG + Var'!$K$26+COUNTIF(BDD!H137:AR137,3)*'ButsMPG + Var'!$K$25+COUNTIF(BDD!H137:AR137,2)*'ButsMPG + Var'!$K$24+COUNTIF(BDD!H137:AR137,1)*'ButsMPG + Var'!$K$23,0)))</f>
        <v>0</v>
      </c>
      <c r="H134" s="25">
        <f t="shared" si="3"/>
        <v>0</v>
      </c>
      <c r="I134" s="25">
        <f>BDD!G137</f>
        <v>0</v>
      </c>
      <c r="J134" s="25">
        <f>SUMPRODUCT(BDD!H137:AS137,'ButsMPG + Var'!$B$46:$AM$46)</f>
        <v>0</v>
      </c>
      <c r="K134" s="25" t="e">
        <f>10*('ButsMPG + Var'!$H$37*J134/MAX(J:J)+'ButsMPG + Var'!$G$37*H134/MAX(H:H))</f>
        <v>#DIV/0!</v>
      </c>
      <c r="L134" s="1">
        <f>IF(ISNA(VLOOKUP(B134,PrixMini!$B$3:$E$573,4,FALSE)),1,VLOOKUP(B134,PrixMini!$B$3:$E$573,4,FALSE))</f>
        <v>1</v>
      </c>
      <c r="M134" s="25" t="e">
        <f>IF(ROUND(CalculCotation!$D$3*EXP(CalculCotation!$C$3*K134)-CalculCotation!$D$3+1,0)&gt;L134,ROUND(CalculCotation!$D$3*EXP(CalculCotation!$C$3*K134)-CalculCotation!$D$3+1,0),L134)</f>
        <v>#DIV/0!</v>
      </c>
    </row>
    <row r="135" spans="2:13" x14ac:dyDescent="0.3">
      <c r="B135" s="1">
        <f>BDD!C138</f>
        <v>0</v>
      </c>
      <c r="C135" s="1">
        <f>BDD!B138</f>
        <v>0</v>
      </c>
      <c r="D135" s="1">
        <f>BDD!A138</f>
        <v>0</v>
      </c>
      <c r="E135" s="1">
        <f>BDD!D138</f>
        <v>0</v>
      </c>
      <c r="F135" s="1">
        <f>BDD!F138</f>
        <v>0</v>
      </c>
      <c r="G135" s="25">
        <f>'ButsMPG + Var'!$I$39*IF(C135="A",COUNTIF(BDD!H138:AR138,10)*'ButsMPG + Var'!$K$12+COUNTIF(BDD!H138:AR138,9)*'ButsMPG + Var'!$K$11+COUNTIF(BDD!H138:AR138,8)*'ButsMPG + Var'!$K$10+COUNTIF(BDD!H138:AR138,7)*'ButsMPG + Var'!$K$9+COUNTIF(BDD!H138:AR138,6)*'ButsMPG + Var'!$K$8+COUNTIF(BDD!H138:AR138,5)*'ButsMPG + Var'!$K$7+COUNTIF(BDD!H138:AR138,4)*'ButsMPG + Var'!$K$6+COUNTIF(BDD!H138:AR138,3)*'ButsMPG + Var'!$K$5+COUNTIF(BDD!H138:AR138,2)*'ButsMPG + Var'!$K$4+COUNTIF(BDD!H138:AR138,1)*'ButsMPG + Var'!$K$3,IF(C135="M",COUNTIF(BDD!H138:AR138,10)*'ButsMPG + Var'!$K$22+COUNTIF(BDD!H138:AR138,9)*'ButsMPG + Var'!$K$21+COUNTIF(BDD!H138:AR138,8)*'ButsMPG + Var'!$K$20+COUNTIF(BDD!H138:AR138,7)*'ButsMPG + Var'!$K$19+COUNTIF(BDD!H138:AR138,6)*'ButsMPG + Var'!$K$18+COUNTIF(BDD!H138:AR138,5)*'ButsMPG + Var'!$K$17+COUNTIF(BDD!H138:AR138,4)*'ButsMPG + Var'!$K$16+COUNTIF(BDD!H138:AR138,3)*'ButsMPG + Var'!$K$15+COUNTIF(BDD!H138:AR138,2)*'ButsMPG + Var'!$K$14+COUNTIF(BDD!H138:AR138,1)*'ButsMPG + Var'!$K$13,IF(C135="D",COUNTIF(BDD!H138:AR138,10)*'ButsMPG + Var'!$K$32+COUNTIF(BDD!H138:AR138,9)*'ButsMPG + Var'!$K$31+COUNTIF(BDD!H138:AR138,8)*'ButsMPG + Var'!$K$30+COUNTIF(BDD!H138:AR138,7)*'ButsMPG + Var'!$K$29+COUNTIF(BDD!H138:AR138,6)*'ButsMPG + Var'!$K$28+COUNTIF(BDD!H138:AR138,5)*'ButsMPG + Var'!$K$27+COUNTIF(BDD!H138:AR138,4)*'ButsMPG + Var'!$K$26+COUNTIF(BDD!H138:AR138,3)*'ButsMPG + Var'!$K$25+COUNTIF(BDD!H138:AR138,2)*'ButsMPG + Var'!$K$24+COUNTIF(BDD!H138:AR138,1)*'ButsMPG + Var'!$K$23,0)))</f>
        <v>0</v>
      </c>
      <c r="H135" s="25">
        <f t="shared" si="3"/>
        <v>0</v>
      </c>
      <c r="I135" s="25">
        <f>BDD!G138</f>
        <v>0</v>
      </c>
      <c r="J135" s="25">
        <f>SUMPRODUCT(BDD!H138:AS138,'ButsMPG + Var'!$B$46:$AM$46)</f>
        <v>0</v>
      </c>
      <c r="K135" s="25" t="e">
        <f>10*('ButsMPG + Var'!$H$37*J135/MAX(J:J)+'ButsMPG + Var'!$G$37*H135/MAX(H:H))</f>
        <v>#DIV/0!</v>
      </c>
      <c r="L135" s="1">
        <f>IF(ISNA(VLOOKUP(B135,PrixMini!$B$3:$E$573,4,FALSE)),1,VLOOKUP(B135,PrixMini!$B$3:$E$573,4,FALSE))</f>
        <v>1</v>
      </c>
      <c r="M135" s="25" t="e">
        <f>IF(ROUND(CalculCotation!$D$3*EXP(CalculCotation!$C$3*K135)-CalculCotation!$D$3+1,0)&gt;L135,ROUND(CalculCotation!$D$3*EXP(CalculCotation!$C$3*K135)-CalculCotation!$D$3+1,0),L135)</f>
        <v>#DIV/0!</v>
      </c>
    </row>
    <row r="136" spans="2:13" x14ac:dyDescent="0.3">
      <c r="B136" s="1">
        <f>BDD!C139</f>
        <v>0</v>
      </c>
      <c r="C136" s="1">
        <f>BDD!B139</f>
        <v>0</v>
      </c>
      <c r="D136" s="1">
        <f>BDD!A139</f>
        <v>0</v>
      </c>
      <c r="E136" s="1">
        <f>BDD!D139</f>
        <v>0</v>
      </c>
      <c r="F136" s="1">
        <f>BDD!F139</f>
        <v>0</v>
      </c>
      <c r="G136" s="25">
        <f>'ButsMPG + Var'!$I$39*IF(C136="A",COUNTIF(BDD!H139:AR139,10)*'ButsMPG + Var'!$K$12+COUNTIF(BDD!H139:AR139,9)*'ButsMPG + Var'!$K$11+COUNTIF(BDD!H139:AR139,8)*'ButsMPG + Var'!$K$10+COUNTIF(BDD!H139:AR139,7)*'ButsMPG + Var'!$K$9+COUNTIF(BDD!H139:AR139,6)*'ButsMPG + Var'!$K$8+COUNTIF(BDD!H139:AR139,5)*'ButsMPG + Var'!$K$7+COUNTIF(BDD!H139:AR139,4)*'ButsMPG + Var'!$K$6+COUNTIF(BDD!H139:AR139,3)*'ButsMPG + Var'!$K$5+COUNTIF(BDD!H139:AR139,2)*'ButsMPG + Var'!$K$4+COUNTIF(BDD!H139:AR139,1)*'ButsMPG + Var'!$K$3,IF(C136="M",COUNTIF(BDD!H139:AR139,10)*'ButsMPG + Var'!$K$22+COUNTIF(BDD!H139:AR139,9)*'ButsMPG + Var'!$K$21+COUNTIF(BDD!H139:AR139,8)*'ButsMPG + Var'!$K$20+COUNTIF(BDD!H139:AR139,7)*'ButsMPG + Var'!$K$19+COUNTIF(BDD!H139:AR139,6)*'ButsMPG + Var'!$K$18+COUNTIF(BDD!H139:AR139,5)*'ButsMPG + Var'!$K$17+COUNTIF(BDD!H139:AR139,4)*'ButsMPG + Var'!$K$16+COUNTIF(BDD!H139:AR139,3)*'ButsMPG + Var'!$K$15+COUNTIF(BDD!H139:AR139,2)*'ButsMPG + Var'!$K$14+COUNTIF(BDD!H139:AR139,1)*'ButsMPG + Var'!$K$13,IF(C136="D",COUNTIF(BDD!H139:AR139,10)*'ButsMPG + Var'!$K$32+COUNTIF(BDD!H139:AR139,9)*'ButsMPG + Var'!$K$31+COUNTIF(BDD!H139:AR139,8)*'ButsMPG + Var'!$K$30+COUNTIF(BDD!H139:AR139,7)*'ButsMPG + Var'!$K$29+COUNTIF(BDD!H139:AR139,6)*'ButsMPG + Var'!$K$28+COUNTIF(BDD!H139:AR139,5)*'ButsMPG + Var'!$K$27+COUNTIF(BDD!H139:AR139,4)*'ButsMPG + Var'!$K$26+COUNTIF(BDD!H139:AR139,3)*'ButsMPG + Var'!$K$25+COUNTIF(BDD!H139:AR139,2)*'ButsMPG + Var'!$K$24+COUNTIF(BDD!H139:AR139,1)*'ButsMPG + Var'!$K$23,0)))</f>
        <v>0</v>
      </c>
      <c r="H136" s="25">
        <f t="shared" si="3"/>
        <v>0</v>
      </c>
      <c r="I136" s="25">
        <f>BDD!G139</f>
        <v>0</v>
      </c>
      <c r="J136" s="25">
        <f>SUMPRODUCT(BDD!H139:AS139,'ButsMPG + Var'!$B$46:$AM$46)</f>
        <v>0</v>
      </c>
      <c r="K136" s="25" t="e">
        <f>10*('ButsMPG + Var'!$H$37*J136/MAX(J:J)+'ButsMPG + Var'!$G$37*H136/MAX(H:H))</f>
        <v>#DIV/0!</v>
      </c>
      <c r="L136" s="1">
        <f>IF(ISNA(VLOOKUP(B136,PrixMini!$B$3:$E$573,4,FALSE)),1,VLOOKUP(B136,PrixMini!$B$3:$E$573,4,FALSE))</f>
        <v>1</v>
      </c>
      <c r="M136" s="25" t="e">
        <f>IF(ROUND(CalculCotation!$D$3*EXP(CalculCotation!$C$3*K136)-CalculCotation!$D$3+1,0)&gt;L136,ROUND(CalculCotation!$D$3*EXP(CalculCotation!$C$3*K136)-CalculCotation!$D$3+1,0),L136)</f>
        <v>#DIV/0!</v>
      </c>
    </row>
    <row r="137" spans="2:13" x14ac:dyDescent="0.3">
      <c r="B137" s="1">
        <f>BDD!C140</f>
        <v>0</v>
      </c>
      <c r="C137" s="1">
        <f>BDD!B140</f>
        <v>0</v>
      </c>
      <c r="D137" s="1">
        <f>BDD!A140</f>
        <v>0</v>
      </c>
      <c r="E137" s="1">
        <f>BDD!D140</f>
        <v>0</v>
      </c>
      <c r="F137" s="1">
        <f>BDD!F140</f>
        <v>0</v>
      </c>
      <c r="G137" s="25">
        <f>'ButsMPG + Var'!$I$39*IF(C137="A",COUNTIF(BDD!H140:AR140,10)*'ButsMPG + Var'!$K$12+COUNTIF(BDD!H140:AR140,9)*'ButsMPG + Var'!$K$11+COUNTIF(BDD!H140:AR140,8)*'ButsMPG + Var'!$K$10+COUNTIF(BDD!H140:AR140,7)*'ButsMPG + Var'!$K$9+COUNTIF(BDD!H140:AR140,6)*'ButsMPG + Var'!$K$8+COUNTIF(BDD!H140:AR140,5)*'ButsMPG + Var'!$K$7+COUNTIF(BDD!H140:AR140,4)*'ButsMPG + Var'!$K$6+COUNTIF(BDD!H140:AR140,3)*'ButsMPG + Var'!$K$5+COUNTIF(BDD!H140:AR140,2)*'ButsMPG + Var'!$K$4+COUNTIF(BDD!H140:AR140,1)*'ButsMPG + Var'!$K$3,IF(C137="M",COUNTIF(BDD!H140:AR140,10)*'ButsMPG + Var'!$K$22+COUNTIF(BDD!H140:AR140,9)*'ButsMPG + Var'!$K$21+COUNTIF(BDD!H140:AR140,8)*'ButsMPG + Var'!$K$20+COUNTIF(BDD!H140:AR140,7)*'ButsMPG + Var'!$K$19+COUNTIF(BDD!H140:AR140,6)*'ButsMPG + Var'!$K$18+COUNTIF(BDD!H140:AR140,5)*'ButsMPG + Var'!$K$17+COUNTIF(BDD!H140:AR140,4)*'ButsMPG + Var'!$K$16+COUNTIF(BDD!H140:AR140,3)*'ButsMPG + Var'!$K$15+COUNTIF(BDD!H140:AR140,2)*'ButsMPG + Var'!$K$14+COUNTIF(BDD!H140:AR140,1)*'ButsMPG + Var'!$K$13,IF(C137="D",COUNTIF(BDD!H140:AR140,10)*'ButsMPG + Var'!$K$32+COUNTIF(BDD!H140:AR140,9)*'ButsMPG + Var'!$K$31+COUNTIF(BDD!H140:AR140,8)*'ButsMPG + Var'!$K$30+COUNTIF(BDD!H140:AR140,7)*'ButsMPG + Var'!$K$29+COUNTIF(BDD!H140:AR140,6)*'ButsMPG + Var'!$K$28+COUNTIF(BDD!H140:AR140,5)*'ButsMPG + Var'!$K$27+COUNTIF(BDD!H140:AR140,4)*'ButsMPG + Var'!$K$26+COUNTIF(BDD!H140:AR140,3)*'ButsMPG + Var'!$K$25+COUNTIF(BDD!H140:AR140,2)*'ButsMPG + Var'!$K$24+COUNTIF(BDD!H140:AR140,1)*'ButsMPG + Var'!$K$23,0)))</f>
        <v>0</v>
      </c>
      <c r="H137" s="25">
        <f t="shared" si="3"/>
        <v>0</v>
      </c>
      <c r="I137" s="25">
        <f>BDD!G140</f>
        <v>0</v>
      </c>
      <c r="J137" s="25">
        <f>SUMPRODUCT(BDD!H140:AS140,'ButsMPG + Var'!$B$46:$AM$46)</f>
        <v>0</v>
      </c>
      <c r="K137" s="25" t="e">
        <f>10*('ButsMPG + Var'!$H$37*J137/MAX(J:J)+'ButsMPG + Var'!$G$37*H137/MAX(H:H))</f>
        <v>#DIV/0!</v>
      </c>
      <c r="L137" s="1">
        <f>IF(ISNA(VLOOKUP(B137,PrixMini!$B$3:$E$573,4,FALSE)),1,VLOOKUP(B137,PrixMini!$B$3:$E$573,4,FALSE))</f>
        <v>1</v>
      </c>
      <c r="M137" s="25" t="e">
        <f>IF(ROUND(CalculCotation!$D$3*EXP(CalculCotation!$C$3*K137)-CalculCotation!$D$3+1,0)&gt;L137,ROUND(CalculCotation!$D$3*EXP(CalculCotation!$C$3*K137)-CalculCotation!$D$3+1,0),L137)</f>
        <v>#DIV/0!</v>
      </c>
    </row>
    <row r="138" spans="2:13" x14ac:dyDescent="0.3">
      <c r="B138" s="1">
        <f>BDD!C141</f>
        <v>0</v>
      </c>
      <c r="C138" s="1">
        <f>BDD!B141</f>
        <v>0</v>
      </c>
      <c r="D138" s="1">
        <f>BDD!A141</f>
        <v>0</v>
      </c>
      <c r="E138" s="1">
        <f>BDD!D141</f>
        <v>0</v>
      </c>
      <c r="F138" s="1">
        <f>BDD!F141</f>
        <v>0</v>
      </c>
      <c r="G138" s="25">
        <f>'ButsMPG + Var'!$I$39*IF(C138="A",COUNTIF(BDD!H141:AR141,10)*'ButsMPG + Var'!$K$12+COUNTIF(BDD!H141:AR141,9)*'ButsMPG + Var'!$K$11+COUNTIF(BDD!H141:AR141,8)*'ButsMPG + Var'!$K$10+COUNTIF(BDD!H141:AR141,7)*'ButsMPG + Var'!$K$9+COUNTIF(BDD!H141:AR141,6)*'ButsMPG + Var'!$K$8+COUNTIF(BDD!H141:AR141,5)*'ButsMPG + Var'!$K$7+COUNTIF(BDD!H141:AR141,4)*'ButsMPG + Var'!$K$6+COUNTIF(BDD!H141:AR141,3)*'ButsMPG + Var'!$K$5+COUNTIF(BDD!H141:AR141,2)*'ButsMPG + Var'!$K$4+COUNTIF(BDD!H141:AR141,1)*'ButsMPG + Var'!$K$3,IF(C138="M",COUNTIF(BDD!H141:AR141,10)*'ButsMPG + Var'!$K$22+COUNTIF(BDD!H141:AR141,9)*'ButsMPG + Var'!$K$21+COUNTIF(BDD!H141:AR141,8)*'ButsMPG + Var'!$K$20+COUNTIF(BDD!H141:AR141,7)*'ButsMPG + Var'!$K$19+COUNTIF(BDD!H141:AR141,6)*'ButsMPG + Var'!$K$18+COUNTIF(BDD!H141:AR141,5)*'ButsMPG + Var'!$K$17+COUNTIF(BDD!H141:AR141,4)*'ButsMPG + Var'!$K$16+COUNTIF(BDD!H141:AR141,3)*'ButsMPG + Var'!$K$15+COUNTIF(BDD!H141:AR141,2)*'ButsMPG + Var'!$K$14+COUNTIF(BDD!H141:AR141,1)*'ButsMPG + Var'!$K$13,IF(C138="D",COUNTIF(BDD!H141:AR141,10)*'ButsMPG + Var'!$K$32+COUNTIF(BDD!H141:AR141,9)*'ButsMPG + Var'!$K$31+COUNTIF(BDD!H141:AR141,8)*'ButsMPG + Var'!$K$30+COUNTIF(BDD!H141:AR141,7)*'ButsMPG + Var'!$K$29+COUNTIF(BDD!H141:AR141,6)*'ButsMPG + Var'!$K$28+COUNTIF(BDD!H141:AR141,5)*'ButsMPG + Var'!$K$27+COUNTIF(BDD!H141:AR141,4)*'ButsMPG + Var'!$K$26+COUNTIF(BDD!H141:AR141,3)*'ButsMPG + Var'!$K$25+COUNTIF(BDD!H141:AR141,2)*'ButsMPG + Var'!$K$24+COUNTIF(BDD!H141:AR141,1)*'ButsMPG + Var'!$K$23,0)))</f>
        <v>0</v>
      </c>
      <c r="H138" s="25">
        <f t="shared" si="3"/>
        <v>0</v>
      </c>
      <c r="I138" s="25">
        <f>BDD!G141</f>
        <v>0</v>
      </c>
      <c r="J138" s="25">
        <f>SUMPRODUCT(BDD!H141:AS141,'ButsMPG + Var'!$B$46:$AM$46)</f>
        <v>0</v>
      </c>
      <c r="K138" s="25" t="e">
        <f>10*('ButsMPG + Var'!$H$37*J138/MAX(J:J)+'ButsMPG + Var'!$G$37*H138/MAX(H:H))</f>
        <v>#DIV/0!</v>
      </c>
      <c r="L138" s="1">
        <f>IF(ISNA(VLOOKUP(B138,PrixMini!$B$3:$E$573,4,FALSE)),1,VLOOKUP(B138,PrixMini!$B$3:$E$573,4,FALSE))</f>
        <v>1</v>
      </c>
      <c r="M138" s="25" t="e">
        <f>IF(ROUND(CalculCotation!$D$3*EXP(CalculCotation!$C$3*K138)-CalculCotation!$D$3+1,0)&gt;L138,ROUND(CalculCotation!$D$3*EXP(CalculCotation!$C$3*K138)-CalculCotation!$D$3+1,0),L138)</f>
        <v>#DIV/0!</v>
      </c>
    </row>
    <row r="139" spans="2:13" x14ac:dyDescent="0.3">
      <c r="B139" s="1">
        <f>BDD!C142</f>
        <v>0</v>
      </c>
      <c r="C139" s="1">
        <f>BDD!B142</f>
        <v>0</v>
      </c>
      <c r="D139" s="1">
        <f>BDD!A142</f>
        <v>0</v>
      </c>
      <c r="E139" s="1">
        <f>BDD!D142</f>
        <v>0</v>
      </c>
      <c r="F139" s="1">
        <f>BDD!F142</f>
        <v>0</v>
      </c>
      <c r="G139" s="25">
        <f>'ButsMPG + Var'!$I$39*IF(C139="A",COUNTIF(BDD!H142:AR142,10)*'ButsMPG + Var'!$K$12+COUNTIF(BDD!H142:AR142,9)*'ButsMPG + Var'!$K$11+COUNTIF(BDD!H142:AR142,8)*'ButsMPG + Var'!$K$10+COUNTIF(BDD!H142:AR142,7)*'ButsMPG + Var'!$K$9+COUNTIF(BDD!H142:AR142,6)*'ButsMPG + Var'!$K$8+COUNTIF(BDD!H142:AR142,5)*'ButsMPG + Var'!$K$7+COUNTIF(BDD!H142:AR142,4)*'ButsMPG + Var'!$K$6+COUNTIF(BDD!H142:AR142,3)*'ButsMPG + Var'!$K$5+COUNTIF(BDD!H142:AR142,2)*'ButsMPG + Var'!$K$4+COUNTIF(BDD!H142:AR142,1)*'ButsMPG + Var'!$K$3,IF(C139="M",COUNTIF(BDD!H142:AR142,10)*'ButsMPG + Var'!$K$22+COUNTIF(BDD!H142:AR142,9)*'ButsMPG + Var'!$K$21+COUNTIF(BDD!H142:AR142,8)*'ButsMPG + Var'!$K$20+COUNTIF(BDD!H142:AR142,7)*'ButsMPG + Var'!$K$19+COUNTIF(BDD!H142:AR142,6)*'ButsMPG + Var'!$K$18+COUNTIF(BDD!H142:AR142,5)*'ButsMPG + Var'!$K$17+COUNTIF(BDD!H142:AR142,4)*'ButsMPG + Var'!$K$16+COUNTIF(BDD!H142:AR142,3)*'ButsMPG + Var'!$K$15+COUNTIF(BDD!H142:AR142,2)*'ButsMPG + Var'!$K$14+COUNTIF(BDD!H142:AR142,1)*'ButsMPG + Var'!$K$13,IF(C139="D",COUNTIF(BDD!H142:AR142,10)*'ButsMPG + Var'!$K$32+COUNTIF(BDD!H142:AR142,9)*'ButsMPG + Var'!$K$31+COUNTIF(BDD!H142:AR142,8)*'ButsMPG + Var'!$K$30+COUNTIF(BDD!H142:AR142,7)*'ButsMPG + Var'!$K$29+COUNTIF(BDD!H142:AR142,6)*'ButsMPG + Var'!$K$28+COUNTIF(BDD!H142:AR142,5)*'ButsMPG + Var'!$K$27+COUNTIF(BDD!H142:AR142,4)*'ButsMPG + Var'!$K$26+COUNTIF(BDD!H142:AR142,3)*'ButsMPG + Var'!$K$25+COUNTIF(BDD!H142:AR142,2)*'ButsMPG + Var'!$K$24+COUNTIF(BDD!H142:AR142,1)*'ButsMPG + Var'!$K$23,0)))</f>
        <v>0</v>
      </c>
      <c r="H139" s="25">
        <f t="shared" si="3"/>
        <v>0</v>
      </c>
      <c r="I139" s="25">
        <f>BDD!G142</f>
        <v>0</v>
      </c>
      <c r="J139" s="25">
        <f>SUMPRODUCT(BDD!H142:AS142,'ButsMPG + Var'!$B$46:$AM$46)</f>
        <v>0</v>
      </c>
      <c r="K139" s="25" t="e">
        <f>10*('ButsMPG + Var'!$H$37*J139/MAX(J:J)+'ButsMPG + Var'!$G$37*H139/MAX(H:H))</f>
        <v>#DIV/0!</v>
      </c>
      <c r="L139" s="1">
        <f>IF(ISNA(VLOOKUP(B139,PrixMini!$B$3:$E$573,4,FALSE)),1,VLOOKUP(B139,PrixMini!$B$3:$E$573,4,FALSE))</f>
        <v>1</v>
      </c>
      <c r="M139" s="25" t="e">
        <f>IF(ROUND(CalculCotation!$D$3*EXP(CalculCotation!$C$3*K139)-CalculCotation!$D$3+1,0)&gt;L139,ROUND(CalculCotation!$D$3*EXP(CalculCotation!$C$3*K139)-CalculCotation!$D$3+1,0),L139)</f>
        <v>#DIV/0!</v>
      </c>
    </row>
    <row r="140" spans="2:13" x14ac:dyDescent="0.3">
      <c r="B140" s="1">
        <f>BDD!C143</f>
        <v>0</v>
      </c>
      <c r="C140" s="1">
        <f>BDD!B143</f>
        <v>0</v>
      </c>
      <c r="D140" s="1">
        <f>BDD!A143</f>
        <v>0</v>
      </c>
      <c r="E140" s="1">
        <f>BDD!D143</f>
        <v>0</v>
      </c>
      <c r="F140" s="1">
        <f>BDD!F143</f>
        <v>0</v>
      </c>
      <c r="G140" s="25">
        <f>'ButsMPG + Var'!$I$39*IF(C140="A",COUNTIF(BDD!H143:AR143,10)*'ButsMPG + Var'!$K$12+COUNTIF(BDD!H143:AR143,9)*'ButsMPG + Var'!$K$11+COUNTIF(BDD!H143:AR143,8)*'ButsMPG + Var'!$K$10+COUNTIF(BDD!H143:AR143,7)*'ButsMPG + Var'!$K$9+COUNTIF(BDD!H143:AR143,6)*'ButsMPG + Var'!$K$8+COUNTIF(BDD!H143:AR143,5)*'ButsMPG + Var'!$K$7+COUNTIF(BDD!H143:AR143,4)*'ButsMPG + Var'!$K$6+COUNTIF(BDD!H143:AR143,3)*'ButsMPG + Var'!$K$5+COUNTIF(BDD!H143:AR143,2)*'ButsMPG + Var'!$K$4+COUNTIF(BDD!H143:AR143,1)*'ButsMPG + Var'!$K$3,IF(C140="M",COUNTIF(BDD!H143:AR143,10)*'ButsMPG + Var'!$K$22+COUNTIF(BDD!H143:AR143,9)*'ButsMPG + Var'!$K$21+COUNTIF(BDD!H143:AR143,8)*'ButsMPG + Var'!$K$20+COUNTIF(BDD!H143:AR143,7)*'ButsMPG + Var'!$K$19+COUNTIF(BDD!H143:AR143,6)*'ButsMPG + Var'!$K$18+COUNTIF(BDD!H143:AR143,5)*'ButsMPG + Var'!$K$17+COUNTIF(BDD!H143:AR143,4)*'ButsMPG + Var'!$K$16+COUNTIF(BDD!H143:AR143,3)*'ButsMPG + Var'!$K$15+COUNTIF(BDD!H143:AR143,2)*'ButsMPG + Var'!$K$14+COUNTIF(BDD!H143:AR143,1)*'ButsMPG + Var'!$K$13,IF(C140="D",COUNTIF(BDD!H143:AR143,10)*'ButsMPG + Var'!$K$32+COUNTIF(BDD!H143:AR143,9)*'ButsMPG + Var'!$K$31+COUNTIF(BDD!H143:AR143,8)*'ButsMPG + Var'!$K$30+COUNTIF(BDD!H143:AR143,7)*'ButsMPG + Var'!$K$29+COUNTIF(BDD!H143:AR143,6)*'ButsMPG + Var'!$K$28+COUNTIF(BDD!H143:AR143,5)*'ButsMPG + Var'!$K$27+COUNTIF(BDD!H143:AR143,4)*'ButsMPG + Var'!$K$26+COUNTIF(BDD!H143:AR143,3)*'ButsMPG + Var'!$K$25+COUNTIF(BDD!H143:AR143,2)*'ButsMPG + Var'!$K$24+COUNTIF(BDD!H143:AR143,1)*'ButsMPG + Var'!$K$23,0)))</f>
        <v>0</v>
      </c>
      <c r="H140" s="25">
        <f t="shared" si="3"/>
        <v>0</v>
      </c>
      <c r="I140" s="25">
        <f>BDD!G143</f>
        <v>0</v>
      </c>
      <c r="J140" s="25">
        <f>SUMPRODUCT(BDD!H143:AS143,'ButsMPG + Var'!$B$46:$AM$46)</f>
        <v>0</v>
      </c>
      <c r="K140" s="25" t="e">
        <f>10*('ButsMPG + Var'!$H$37*J140/MAX(J:J)+'ButsMPG + Var'!$G$37*H140/MAX(H:H))</f>
        <v>#DIV/0!</v>
      </c>
      <c r="L140" s="1">
        <f>IF(ISNA(VLOOKUP(B140,PrixMini!$B$3:$E$573,4,FALSE)),1,VLOOKUP(B140,PrixMini!$B$3:$E$573,4,FALSE))</f>
        <v>1</v>
      </c>
      <c r="M140" s="25" t="e">
        <f>IF(ROUND(CalculCotation!$D$3*EXP(CalculCotation!$C$3*K140)-CalculCotation!$D$3+1,0)&gt;L140,ROUND(CalculCotation!$D$3*EXP(CalculCotation!$C$3*K140)-CalculCotation!$D$3+1,0),L140)</f>
        <v>#DIV/0!</v>
      </c>
    </row>
    <row r="141" spans="2:13" x14ac:dyDescent="0.3">
      <c r="B141" s="1">
        <f>BDD!C144</f>
        <v>0</v>
      </c>
      <c r="C141" s="1">
        <f>BDD!B144</f>
        <v>0</v>
      </c>
      <c r="D141" s="1">
        <f>BDD!A144</f>
        <v>0</v>
      </c>
      <c r="E141" s="1">
        <f>BDD!D144</f>
        <v>0</v>
      </c>
      <c r="F141" s="1">
        <f>BDD!F144</f>
        <v>0</v>
      </c>
      <c r="G141" s="25">
        <f>'ButsMPG + Var'!$I$39*IF(C141="A",COUNTIF(BDD!H144:AR144,10)*'ButsMPG + Var'!$K$12+COUNTIF(BDD!H144:AR144,9)*'ButsMPG + Var'!$K$11+COUNTIF(BDD!H144:AR144,8)*'ButsMPG + Var'!$K$10+COUNTIF(BDD!H144:AR144,7)*'ButsMPG + Var'!$K$9+COUNTIF(BDD!H144:AR144,6)*'ButsMPG + Var'!$K$8+COUNTIF(BDD!H144:AR144,5)*'ButsMPG + Var'!$K$7+COUNTIF(BDD!H144:AR144,4)*'ButsMPG + Var'!$K$6+COUNTIF(BDD!H144:AR144,3)*'ButsMPG + Var'!$K$5+COUNTIF(BDD!H144:AR144,2)*'ButsMPG + Var'!$K$4+COUNTIF(BDD!H144:AR144,1)*'ButsMPG + Var'!$K$3,IF(C141="M",COUNTIF(BDD!H144:AR144,10)*'ButsMPG + Var'!$K$22+COUNTIF(BDD!H144:AR144,9)*'ButsMPG + Var'!$K$21+COUNTIF(BDD!H144:AR144,8)*'ButsMPG + Var'!$K$20+COUNTIF(BDD!H144:AR144,7)*'ButsMPG + Var'!$K$19+COUNTIF(BDD!H144:AR144,6)*'ButsMPG + Var'!$K$18+COUNTIF(BDD!H144:AR144,5)*'ButsMPG + Var'!$K$17+COUNTIF(BDD!H144:AR144,4)*'ButsMPG + Var'!$K$16+COUNTIF(BDD!H144:AR144,3)*'ButsMPG + Var'!$K$15+COUNTIF(BDD!H144:AR144,2)*'ButsMPG + Var'!$K$14+COUNTIF(BDD!H144:AR144,1)*'ButsMPG + Var'!$K$13,IF(C141="D",COUNTIF(BDD!H144:AR144,10)*'ButsMPG + Var'!$K$32+COUNTIF(BDD!H144:AR144,9)*'ButsMPG + Var'!$K$31+COUNTIF(BDD!H144:AR144,8)*'ButsMPG + Var'!$K$30+COUNTIF(BDD!H144:AR144,7)*'ButsMPG + Var'!$K$29+COUNTIF(BDD!H144:AR144,6)*'ButsMPG + Var'!$K$28+COUNTIF(BDD!H144:AR144,5)*'ButsMPG + Var'!$K$27+COUNTIF(BDD!H144:AR144,4)*'ButsMPG + Var'!$K$26+COUNTIF(BDD!H144:AR144,3)*'ButsMPG + Var'!$K$25+COUNTIF(BDD!H144:AR144,2)*'ButsMPG + Var'!$K$24+COUNTIF(BDD!H144:AR144,1)*'ButsMPG + Var'!$K$23,0)))</f>
        <v>0</v>
      </c>
      <c r="H141" s="25">
        <f t="shared" si="3"/>
        <v>0</v>
      </c>
      <c r="I141" s="25">
        <f>BDD!G144</f>
        <v>0</v>
      </c>
      <c r="J141" s="25">
        <f>SUMPRODUCT(BDD!H144:AS144,'ButsMPG + Var'!$B$46:$AM$46)</f>
        <v>0</v>
      </c>
      <c r="K141" s="25" t="e">
        <f>10*('ButsMPG + Var'!$H$37*J141/MAX(J:J)+'ButsMPG + Var'!$G$37*H141/MAX(H:H))</f>
        <v>#DIV/0!</v>
      </c>
      <c r="L141" s="1">
        <f>IF(ISNA(VLOOKUP(B141,PrixMini!$B$3:$E$573,4,FALSE)),1,VLOOKUP(B141,PrixMini!$B$3:$E$573,4,FALSE))</f>
        <v>1</v>
      </c>
      <c r="M141" s="25" t="e">
        <f>IF(ROUND(CalculCotation!$D$3*EXP(CalculCotation!$C$3*K141)-CalculCotation!$D$3+1,0)&gt;L141,ROUND(CalculCotation!$D$3*EXP(CalculCotation!$C$3*K141)-CalculCotation!$D$3+1,0),L141)</f>
        <v>#DIV/0!</v>
      </c>
    </row>
    <row r="142" spans="2:13" x14ac:dyDescent="0.3">
      <c r="B142" s="1">
        <f>BDD!C145</f>
        <v>0</v>
      </c>
      <c r="C142" s="1">
        <f>BDD!B145</f>
        <v>0</v>
      </c>
      <c r="D142" s="1">
        <f>BDD!A145</f>
        <v>0</v>
      </c>
      <c r="E142" s="1">
        <f>BDD!D145</f>
        <v>0</v>
      </c>
      <c r="F142" s="1">
        <f>BDD!F145</f>
        <v>0</v>
      </c>
      <c r="G142" s="25">
        <f>'ButsMPG + Var'!$I$39*IF(C142="A",COUNTIF(BDD!H145:AR145,10)*'ButsMPG + Var'!$K$12+COUNTIF(BDD!H145:AR145,9)*'ButsMPG + Var'!$K$11+COUNTIF(BDD!H145:AR145,8)*'ButsMPG + Var'!$K$10+COUNTIF(BDD!H145:AR145,7)*'ButsMPG + Var'!$K$9+COUNTIF(BDD!H145:AR145,6)*'ButsMPG + Var'!$K$8+COUNTIF(BDD!H145:AR145,5)*'ButsMPG + Var'!$K$7+COUNTIF(BDD!H145:AR145,4)*'ButsMPG + Var'!$K$6+COUNTIF(BDD!H145:AR145,3)*'ButsMPG + Var'!$K$5+COUNTIF(BDD!H145:AR145,2)*'ButsMPG + Var'!$K$4+COUNTIF(BDD!H145:AR145,1)*'ButsMPG + Var'!$K$3,IF(C142="M",COUNTIF(BDD!H145:AR145,10)*'ButsMPG + Var'!$K$22+COUNTIF(BDD!H145:AR145,9)*'ButsMPG + Var'!$K$21+COUNTIF(BDD!H145:AR145,8)*'ButsMPG + Var'!$K$20+COUNTIF(BDD!H145:AR145,7)*'ButsMPG + Var'!$K$19+COUNTIF(BDD!H145:AR145,6)*'ButsMPG + Var'!$K$18+COUNTIF(BDD!H145:AR145,5)*'ButsMPG + Var'!$K$17+COUNTIF(BDD!H145:AR145,4)*'ButsMPG + Var'!$K$16+COUNTIF(BDD!H145:AR145,3)*'ButsMPG + Var'!$K$15+COUNTIF(BDD!H145:AR145,2)*'ButsMPG + Var'!$K$14+COUNTIF(BDD!H145:AR145,1)*'ButsMPG + Var'!$K$13,IF(C142="D",COUNTIF(BDD!H145:AR145,10)*'ButsMPG + Var'!$K$32+COUNTIF(BDD!H145:AR145,9)*'ButsMPG + Var'!$K$31+COUNTIF(BDD!H145:AR145,8)*'ButsMPG + Var'!$K$30+COUNTIF(BDD!H145:AR145,7)*'ButsMPG + Var'!$K$29+COUNTIF(BDD!H145:AR145,6)*'ButsMPG + Var'!$K$28+COUNTIF(BDD!H145:AR145,5)*'ButsMPG + Var'!$K$27+COUNTIF(BDD!H145:AR145,4)*'ButsMPG + Var'!$K$26+COUNTIF(BDD!H145:AR145,3)*'ButsMPG + Var'!$K$25+COUNTIF(BDD!H145:AR145,2)*'ButsMPG + Var'!$K$24+COUNTIF(BDD!H145:AR145,1)*'ButsMPG + Var'!$K$23,0)))</f>
        <v>0</v>
      </c>
      <c r="H142" s="25">
        <f t="shared" si="3"/>
        <v>0</v>
      </c>
      <c r="I142" s="25">
        <f>BDD!G145</f>
        <v>0</v>
      </c>
      <c r="J142" s="25">
        <f>SUMPRODUCT(BDD!H145:AS145,'ButsMPG + Var'!$B$46:$AM$46)</f>
        <v>0</v>
      </c>
      <c r="K142" s="25" t="e">
        <f>10*('ButsMPG + Var'!$H$37*J142/MAX(J:J)+'ButsMPG + Var'!$G$37*H142/MAX(H:H))</f>
        <v>#DIV/0!</v>
      </c>
      <c r="L142" s="1">
        <f>IF(ISNA(VLOOKUP(B142,PrixMini!$B$3:$E$573,4,FALSE)),1,VLOOKUP(B142,PrixMini!$B$3:$E$573,4,FALSE))</f>
        <v>1</v>
      </c>
      <c r="M142" s="25" t="e">
        <f>IF(ROUND(CalculCotation!$D$3*EXP(CalculCotation!$C$3*K142)-CalculCotation!$D$3+1,0)&gt;L142,ROUND(CalculCotation!$D$3*EXP(CalculCotation!$C$3*K142)-CalculCotation!$D$3+1,0),L142)</f>
        <v>#DIV/0!</v>
      </c>
    </row>
    <row r="143" spans="2:13" x14ac:dyDescent="0.3">
      <c r="B143" s="1">
        <f>BDD!C146</f>
        <v>0</v>
      </c>
      <c r="C143" s="1">
        <f>BDD!B146</f>
        <v>0</v>
      </c>
      <c r="D143" s="1">
        <f>BDD!A146</f>
        <v>0</v>
      </c>
      <c r="E143" s="1">
        <f>BDD!D146</f>
        <v>0</v>
      </c>
      <c r="F143" s="1">
        <f>BDD!F146</f>
        <v>0</v>
      </c>
      <c r="G143" s="25">
        <f>'ButsMPG + Var'!$I$39*IF(C143="A",COUNTIF(BDD!H146:AR146,10)*'ButsMPG + Var'!$K$12+COUNTIF(BDD!H146:AR146,9)*'ButsMPG + Var'!$K$11+COUNTIF(BDD!H146:AR146,8)*'ButsMPG + Var'!$K$10+COUNTIF(BDD!H146:AR146,7)*'ButsMPG + Var'!$K$9+COUNTIF(BDD!H146:AR146,6)*'ButsMPG + Var'!$K$8+COUNTIF(BDD!H146:AR146,5)*'ButsMPG + Var'!$K$7+COUNTIF(BDD!H146:AR146,4)*'ButsMPG + Var'!$K$6+COUNTIF(BDD!H146:AR146,3)*'ButsMPG + Var'!$K$5+COUNTIF(BDD!H146:AR146,2)*'ButsMPG + Var'!$K$4+COUNTIF(BDD!H146:AR146,1)*'ButsMPG + Var'!$K$3,IF(C143="M",COUNTIF(BDD!H146:AR146,10)*'ButsMPG + Var'!$K$22+COUNTIF(BDD!H146:AR146,9)*'ButsMPG + Var'!$K$21+COUNTIF(BDD!H146:AR146,8)*'ButsMPG + Var'!$K$20+COUNTIF(BDD!H146:AR146,7)*'ButsMPG + Var'!$K$19+COUNTIF(BDD!H146:AR146,6)*'ButsMPG + Var'!$K$18+COUNTIF(BDD!H146:AR146,5)*'ButsMPG + Var'!$K$17+COUNTIF(BDD!H146:AR146,4)*'ButsMPG + Var'!$K$16+COUNTIF(BDD!H146:AR146,3)*'ButsMPG + Var'!$K$15+COUNTIF(BDD!H146:AR146,2)*'ButsMPG + Var'!$K$14+COUNTIF(BDD!H146:AR146,1)*'ButsMPG + Var'!$K$13,IF(C143="D",COUNTIF(BDD!H146:AR146,10)*'ButsMPG + Var'!$K$32+COUNTIF(BDD!H146:AR146,9)*'ButsMPG + Var'!$K$31+COUNTIF(BDD!H146:AR146,8)*'ButsMPG + Var'!$K$30+COUNTIF(BDD!H146:AR146,7)*'ButsMPG + Var'!$K$29+COUNTIF(BDD!H146:AR146,6)*'ButsMPG + Var'!$K$28+COUNTIF(BDD!H146:AR146,5)*'ButsMPG + Var'!$K$27+COUNTIF(BDD!H146:AR146,4)*'ButsMPG + Var'!$K$26+COUNTIF(BDD!H146:AR146,3)*'ButsMPG + Var'!$K$25+COUNTIF(BDD!H146:AR146,2)*'ButsMPG + Var'!$K$24+COUNTIF(BDD!H146:AR146,1)*'ButsMPG + Var'!$K$23,0)))</f>
        <v>0</v>
      </c>
      <c r="H143" s="25">
        <f t="shared" si="3"/>
        <v>0</v>
      </c>
      <c r="I143" s="25">
        <f>BDD!G146</f>
        <v>0</v>
      </c>
      <c r="J143" s="25">
        <f>SUMPRODUCT(BDD!H146:AS146,'ButsMPG + Var'!$B$46:$AM$46)</f>
        <v>0</v>
      </c>
      <c r="K143" s="25" t="e">
        <f>10*('ButsMPG + Var'!$H$37*J143/MAX(J:J)+'ButsMPG + Var'!$G$37*H143/MAX(H:H))</f>
        <v>#DIV/0!</v>
      </c>
      <c r="L143" s="1">
        <f>IF(ISNA(VLOOKUP(B143,PrixMini!$B$3:$E$573,4,FALSE)),1,VLOOKUP(B143,PrixMini!$B$3:$E$573,4,FALSE))</f>
        <v>1</v>
      </c>
      <c r="M143" s="25" t="e">
        <f>IF(ROUND(CalculCotation!$D$3*EXP(CalculCotation!$C$3*K143)-CalculCotation!$D$3+1,0)&gt;L143,ROUND(CalculCotation!$D$3*EXP(CalculCotation!$C$3*K143)-CalculCotation!$D$3+1,0),L143)</f>
        <v>#DIV/0!</v>
      </c>
    </row>
    <row r="144" spans="2:13" x14ac:dyDescent="0.3">
      <c r="B144" s="1">
        <f>BDD!C147</f>
        <v>0</v>
      </c>
      <c r="C144" s="1">
        <f>BDD!B147</f>
        <v>0</v>
      </c>
      <c r="D144" s="1">
        <f>BDD!A147</f>
        <v>0</v>
      </c>
      <c r="E144" s="1">
        <f>BDD!D147</f>
        <v>0</v>
      </c>
      <c r="F144" s="1">
        <f>BDD!F147</f>
        <v>0</v>
      </c>
      <c r="G144" s="25">
        <f>'ButsMPG + Var'!$I$39*IF(C144="A",COUNTIF(BDD!H147:AR147,10)*'ButsMPG + Var'!$K$12+COUNTIF(BDD!H147:AR147,9)*'ButsMPG + Var'!$K$11+COUNTIF(BDD!H147:AR147,8)*'ButsMPG + Var'!$K$10+COUNTIF(BDD!H147:AR147,7)*'ButsMPG + Var'!$K$9+COUNTIF(BDD!H147:AR147,6)*'ButsMPG + Var'!$K$8+COUNTIF(BDD!H147:AR147,5)*'ButsMPG + Var'!$K$7+COUNTIF(BDD!H147:AR147,4)*'ButsMPG + Var'!$K$6+COUNTIF(BDD!H147:AR147,3)*'ButsMPG + Var'!$K$5+COUNTIF(BDD!H147:AR147,2)*'ButsMPG + Var'!$K$4+COUNTIF(BDD!H147:AR147,1)*'ButsMPG + Var'!$K$3,IF(C144="M",COUNTIF(BDD!H147:AR147,10)*'ButsMPG + Var'!$K$22+COUNTIF(BDD!H147:AR147,9)*'ButsMPG + Var'!$K$21+COUNTIF(BDD!H147:AR147,8)*'ButsMPG + Var'!$K$20+COUNTIF(BDD!H147:AR147,7)*'ButsMPG + Var'!$K$19+COUNTIF(BDD!H147:AR147,6)*'ButsMPG + Var'!$K$18+COUNTIF(BDD!H147:AR147,5)*'ButsMPG + Var'!$K$17+COUNTIF(BDD!H147:AR147,4)*'ButsMPG + Var'!$K$16+COUNTIF(BDD!H147:AR147,3)*'ButsMPG + Var'!$K$15+COUNTIF(BDD!H147:AR147,2)*'ButsMPG + Var'!$K$14+COUNTIF(BDD!H147:AR147,1)*'ButsMPG + Var'!$K$13,IF(C144="D",COUNTIF(BDD!H147:AR147,10)*'ButsMPG + Var'!$K$32+COUNTIF(BDD!H147:AR147,9)*'ButsMPG + Var'!$K$31+COUNTIF(BDD!H147:AR147,8)*'ButsMPG + Var'!$K$30+COUNTIF(BDD!H147:AR147,7)*'ButsMPG + Var'!$K$29+COUNTIF(BDD!H147:AR147,6)*'ButsMPG + Var'!$K$28+COUNTIF(BDD!H147:AR147,5)*'ButsMPG + Var'!$K$27+COUNTIF(BDD!H147:AR147,4)*'ButsMPG + Var'!$K$26+COUNTIF(BDD!H147:AR147,3)*'ButsMPG + Var'!$K$25+COUNTIF(BDD!H147:AR147,2)*'ButsMPG + Var'!$K$24+COUNTIF(BDD!H147:AR147,1)*'ButsMPG + Var'!$K$23,0)))</f>
        <v>0</v>
      </c>
      <c r="H144" s="25">
        <f t="shared" si="3"/>
        <v>0</v>
      </c>
      <c r="I144" s="25">
        <f>BDD!G147</f>
        <v>0</v>
      </c>
      <c r="J144" s="25">
        <f>SUMPRODUCT(BDD!H147:AS147,'ButsMPG + Var'!$B$46:$AM$46)</f>
        <v>0</v>
      </c>
      <c r="K144" s="25" t="e">
        <f>10*('ButsMPG + Var'!$H$37*J144/MAX(J:J)+'ButsMPG + Var'!$G$37*H144/MAX(H:H))</f>
        <v>#DIV/0!</v>
      </c>
      <c r="L144" s="1">
        <f>IF(ISNA(VLOOKUP(B144,PrixMini!$B$3:$E$573,4,FALSE)),1,VLOOKUP(B144,PrixMini!$B$3:$E$573,4,FALSE))</f>
        <v>1</v>
      </c>
      <c r="M144" s="25" t="e">
        <f>IF(ROUND(CalculCotation!$D$3*EXP(CalculCotation!$C$3*K144)-CalculCotation!$D$3+1,0)&gt;L144,ROUND(CalculCotation!$D$3*EXP(CalculCotation!$C$3*K144)-CalculCotation!$D$3+1,0),L144)</f>
        <v>#DIV/0!</v>
      </c>
    </row>
    <row r="145" spans="2:13" x14ac:dyDescent="0.3">
      <c r="B145" s="1">
        <f>BDD!C148</f>
        <v>0</v>
      </c>
      <c r="C145" s="1">
        <f>BDD!B148</f>
        <v>0</v>
      </c>
      <c r="D145" s="1">
        <f>BDD!A148</f>
        <v>0</v>
      </c>
      <c r="E145" s="1">
        <f>BDD!D148</f>
        <v>0</v>
      </c>
      <c r="F145" s="1">
        <f>BDD!F148</f>
        <v>0</v>
      </c>
      <c r="G145" s="25">
        <f>'ButsMPG + Var'!$I$39*IF(C145="A",COUNTIF(BDD!H148:AR148,10)*'ButsMPG + Var'!$K$12+COUNTIF(BDD!H148:AR148,9)*'ButsMPG + Var'!$K$11+COUNTIF(BDD!H148:AR148,8)*'ButsMPG + Var'!$K$10+COUNTIF(BDD!H148:AR148,7)*'ButsMPG + Var'!$K$9+COUNTIF(BDD!H148:AR148,6)*'ButsMPG + Var'!$K$8+COUNTIF(BDD!H148:AR148,5)*'ButsMPG + Var'!$K$7+COUNTIF(BDD!H148:AR148,4)*'ButsMPG + Var'!$K$6+COUNTIF(BDD!H148:AR148,3)*'ButsMPG + Var'!$K$5+COUNTIF(BDD!H148:AR148,2)*'ButsMPG + Var'!$K$4+COUNTIF(BDD!H148:AR148,1)*'ButsMPG + Var'!$K$3,IF(C145="M",COUNTIF(BDD!H148:AR148,10)*'ButsMPG + Var'!$K$22+COUNTIF(BDD!H148:AR148,9)*'ButsMPG + Var'!$K$21+COUNTIF(BDD!H148:AR148,8)*'ButsMPG + Var'!$K$20+COUNTIF(BDD!H148:AR148,7)*'ButsMPG + Var'!$K$19+COUNTIF(BDD!H148:AR148,6)*'ButsMPG + Var'!$K$18+COUNTIF(BDD!H148:AR148,5)*'ButsMPG + Var'!$K$17+COUNTIF(BDD!H148:AR148,4)*'ButsMPG + Var'!$K$16+COUNTIF(BDD!H148:AR148,3)*'ButsMPG + Var'!$K$15+COUNTIF(BDD!H148:AR148,2)*'ButsMPG + Var'!$K$14+COUNTIF(BDD!H148:AR148,1)*'ButsMPG + Var'!$K$13,IF(C145="D",COUNTIF(BDD!H148:AR148,10)*'ButsMPG + Var'!$K$32+COUNTIF(BDD!H148:AR148,9)*'ButsMPG + Var'!$K$31+COUNTIF(BDD!H148:AR148,8)*'ButsMPG + Var'!$K$30+COUNTIF(BDD!H148:AR148,7)*'ButsMPG + Var'!$K$29+COUNTIF(BDD!H148:AR148,6)*'ButsMPG + Var'!$K$28+COUNTIF(BDD!H148:AR148,5)*'ButsMPG + Var'!$K$27+COUNTIF(BDD!H148:AR148,4)*'ButsMPG + Var'!$K$26+COUNTIF(BDD!H148:AR148,3)*'ButsMPG + Var'!$K$25+COUNTIF(BDD!H148:AR148,2)*'ButsMPG + Var'!$K$24+COUNTIF(BDD!H148:AR148,1)*'ButsMPG + Var'!$K$23,0)))</f>
        <v>0</v>
      </c>
      <c r="H145" s="25">
        <f t="shared" si="3"/>
        <v>0</v>
      </c>
      <c r="I145" s="25">
        <f>BDD!G148</f>
        <v>0</v>
      </c>
      <c r="J145" s="25">
        <f>SUMPRODUCT(BDD!H148:AS148,'ButsMPG + Var'!$B$46:$AM$46)</f>
        <v>0</v>
      </c>
      <c r="K145" s="25" t="e">
        <f>10*('ButsMPG + Var'!$H$37*J145/MAX(J:J)+'ButsMPG + Var'!$G$37*H145/MAX(H:H))</f>
        <v>#DIV/0!</v>
      </c>
      <c r="L145" s="1">
        <f>IF(ISNA(VLOOKUP(B145,PrixMini!$B$3:$E$573,4,FALSE)),1,VLOOKUP(B145,PrixMini!$B$3:$E$573,4,FALSE))</f>
        <v>1</v>
      </c>
      <c r="M145" s="25" t="e">
        <f>IF(ROUND(CalculCotation!$D$3*EXP(CalculCotation!$C$3*K145)-CalculCotation!$D$3+1,0)&gt;L145,ROUND(CalculCotation!$D$3*EXP(CalculCotation!$C$3*K145)-CalculCotation!$D$3+1,0),L145)</f>
        <v>#DIV/0!</v>
      </c>
    </row>
    <row r="146" spans="2:13" x14ac:dyDescent="0.3">
      <c r="B146" s="1">
        <f>BDD!C149</f>
        <v>0</v>
      </c>
      <c r="C146" s="1">
        <f>BDD!B149</f>
        <v>0</v>
      </c>
      <c r="D146" s="1">
        <f>BDD!A149</f>
        <v>0</v>
      </c>
      <c r="E146" s="1">
        <f>BDD!D149</f>
        <v>0</v>
      </c>
      <c r="F146" s="1">
        <f>BDD!F149</f>
        <v>0</v>
      </c>
      <c r="G146" s="25">
        <f>'ButsMPG + Var'!$I$39*IF(C146="A",COUNTIF(BDD!H149:AR149,10)*'ButsMPG + Var'!$K$12+COUNTIF(BDD!H149:AR149,9)*'ButsMPG + Var'!$K$11+COUNTIF(BDD!H149:AR149,8)*'ButsMPG + Var'!$K$10+COUNTIF(BDD!H149:AR149,7)*'ButsMPG + Var'!$K$9+COUNTIF(BDD!H149:AR149,6)*'ButsMPG + Var'!$K$8+COUNTIF(BDD!H149:AR149,5)*'ButsMPG + Var'!$K$7+COUNTIF(BDD!H149:AR149,4)*'ButsMPG + Var'!$K$6+COUNTIF(BDD!H149:AR149,3)*'ButsMPG + Var'!$K$5+COUNTIF(BDD!H149:AR149,2)*'ButsMPG + Var'!$K$4+COUNTIF(BDD!H149:AR149,1)*'ButsMPG + Var'!$K$3,IF(C146="M",COUNTIF(BDD!H149:AR149,10)*'ButsMPG + Var'!$K$22+COUNTIF(BDD!H149:AR149,9)*'ButsMPG + Var'!$K$21+COUNTIF(BDD!H149:AR149,8)*'ButsMPG + Var'!$K$20+COUNTIF(BDD!H149:AR149,7)*'ButsMPG + Var'!$K$19+COUNTIF(BDD!H149:AR149,6)*'ButsMPG + Var'!$K$18+COUNTIF(BDD!H149:AR149,5)*'ButsMPG + Var'!$K$17+COUNTIF(BDD!H149:AR149,4)*'ButsMPG + Var'!$K$16+COUNTIF(BDD!H149:AR149,3)*'ButsMPG + Var'!$K$15+COUNTIF(BDD!H149:AR149,2)*'ButsMPG + Var'!$K$14+COUNTIF(BDD!H149:AR149,1)*'ButsMPG + Var'!$K$13,IF(C146="D",COUNTIF(BDD!H149:AR149,10)*'ButsMPG + Var'!$K$32+COUNTIF(BDD!H149:AR149,9)*'ButsMPG + Var'!$K$31+COUNTIF(BDD!H149:AR149,8)*'ButsMPG + Var'!$K$30+COUNTIF(BDD!H149:AR149,7)*'ButsMPG + Var'!$K$29+COUNTIF(BDD!H149:AR149,6)*'ButsMPG + Var'!$K$28+COUNTIF(BDD!H149:AR149,5)*'ButsMPG + Var'!$K$27+COUNTIF(BDD!H149:AR149,4)*'ButsMPG + Var'!$K$26+COUNTIF(BDD!H149:AR149,3)*'ButsMPG + Var'!$K$25+COUNTIF(BDD!H149:AR149,2)*'ButsMPG + Var'!$K$24+COUNTIF(BDD!H149:AR149,1)*'ButsMPG + Var'!$K$23,0)))</f>
        <v>0</v>
      </c>
      <c r="H146" s="25">
        <f t="shared" si="3"/>
        <v>0</v>
      </c>
      <c r="I146" s="25">
        <f>BDD!G149</f>
        <v>0</v>
      </c>
      <c r="J146" s="25">
        <f>SUMPRODUCT(BDD!H149:AS149,'ButsMPG + Var'!$B$46:$AM$46)</f>
        <v>0</v>
      </c>
      <c r="K146" s="25" t="e">
        <f>10*('ButsMPG + Var'!$H$37*J146/MAX(J:J)+'ButsMPG + Var'!$G$37*H146/MAX(H:H))</f>
        <v>#DIV/0!</v>
      </c>
      <c r="L146" s="1">
        <f>IF(ISNA(VLOOKUP(B146,PrixMini!$B$3:$E$573,4,FALSE)),1,VLOOKUP(B146,PrixMini!$B$3:$E$573,4,FALSE))</f>
        <v>1</v>
      </c>
      <c r="M146" s="25" t="e">
        <f>IF(ROUND(CalculCotation!$D$3*EXP(CalculCotation!$C$3*K146)-CalculCotation!$D$3+1,0)&gt;L146,ROUND(CalculCotation!$D$3*EXP(CalculCotation!$C$3*K146)-CalculCotation!$D$3+1,0),L146)</f>
        <v>#DIV/0!</v>
      </c>
    </row>
    <row r="147" spans="2:13" x14ac:dyDescent="0.3">
      <c r="B147" s="1">
        <f>BDD!C150</f>
        <v>0</v>
      </c>
      <c r="C147" s="1">
        <f>BDD!B150</f>
        <v>0</v>
      </c>
      <c r="D147" s="1">
        <f>BDD!A150</f>
        <v>0</v>
      </c>
      <c r="E147" s="1">
        <f>BDD!D150</f>
        <v>0</v>
      </c>
      <c r="F147" s="1">
        <f>BDD!F150</f>
        <v>0</v>
      </c>
      <c r="G147" s="25">
        <f>'ButsMPG + Var'!$I$39*IF(C147="A",COUNTIF(BDD!H150:AR150,10)*'ButsMPG + Var'!$K$12+COUNTIF(BDD!H150:AR150,9)*'ButsMPG + Var'!$K$11+COUNTIF(BDD!H150:AR150,8)*'ButsMPG + Var'!$K$10+COUNTIF(BDD!H150:AR150,7)*'ButsMPG + Var'!$K$9+COUNTIF(BDD!H150:AR150,6)*'ButsMPG + Var'!$K$8+COUNTIF(BDD!H150:AR150,5)*'ButsMPG + Var'!$K$7+COUNTIF(BDD!H150:AR150,4)*'ButsMPG + Var'!$K$6+COUNTIF(BDD!H150:AR150,3)*'ButsMPG + Var'!$K$5+COUNTIF(BDD!H150:AR150,2)*'ButsMPG + Var'!$K$4+COUNTIF(BDD!H150:AR150,1)*'ButsMPG + Var'!$K$3,IF(C147="M",COUNTIF(BDD!H150:AR150,10)*'ButsMPG + Var'!$K$22+COUNTIF(BDD!H150:AR150,9)*'ButsMPG + Var'!$K$21+COUNTIF(BDD!H150:AR150,8)*'ButsMPG + Var'!$K$20+COUNTIF(BDD!H150:AR150,7)*'ButsMPG + Var'!$K$19+COUNTIF(BDD!H150:AR150,6)*'ButsMPG + Var'!$K$18+COUNTIF(BDD!H150:AR150,5)*'ButsMPG + Var'!$K$17+COUNTIF(BDD!H150:AR150,4)*'ButsMPG + Var'!$K$16+COUNTIF(BDD!H150:AR150,3)*'ButsMPG + Var'!$K$15+COUNTIF(BDD!H150:AR150,2)*'ButsMPG + Var'!$K$14+COUNTIF(BDD!H150:AR150,1)*'ButsMPG + Var'!$K$13,IF(C147="D",COUNTIF(BDD!H150:AR150,10)*'ButsMPG + Var'!$K$32+COUNTIF(BDD!H150:AR150,9)*'ButsMPG + Var'!$K$31+COUNTIF(BDD!H150:AR150,8)*'ButsMPG + Var'!$K$30+COUNTIF(BDD!H150:AR150,7)*'ButsMPG + Var'!$K$29+COUNTIF(BDD!H150:AR150,6)*'ButsMPG + Var'!$K$28+COUNTIF(BDD!H150:AR150,5)*'ButsMPG + Var'!$K$27+COUNTIF(BDD!H150:AR150,4)*'ButsMPG + Var'!$K$26+COUNTIF(BDD!H150:AR150,3)*'ButsMPG + Var'!$K$25+COUNTIF(BDD!H150:AR150,2)*'ButsMPG + Var'!$K$24+COUNTIF(BDD!H150:AR150,1)*'ButsMPG + Var'!$K$23,0)))</f>
        <v>0</v>
      </c>
      <c r="H147" s="25">
        <f t="shared" si="3"/>
        <v>0</v>
      </c>
      <c r="I147" s="25">
        <f>BDD!G150</f>
        <v>0</v>
      </c>
      <c r="J147" s="25">
        <f>SUMPRODUCT(BDD!H150:AS150,'ButsMPG + Var'!$B$46:$AM$46)</f>
        <v>0</v>
      </c>
      <c r="K147" s="25" t="e">
        <f>10*('ButsMPG + Var'!$H$37*J147/MAX(J:J)+'ButsMPG + Var'!$G$37*H147/MAX(H:H))</f>
        <v>#DIV/0!</v>
      </c>
      <c r="L147" s="1">
        <f>IF(ISNA(VLOOKUP(B147,PrixMini!$B$3:$E$573,4,FALSE)),1,VLOOKUP(B147,PrixMini!$B$3:$E$573,4,FALSE))</f>
        <v>1</v>
      </c>
      <c r="M147" s="25" t="e">
        <f>IF(ROUND(CalculCotation!$D$3*EXP(CalculCotation!$C$3*K147)-CalculCotation!$D$3+1,0)&gt;L147,ROUND(CalculCotation!$D$3*EXP(CalculCotation!$C$3*K147)-CalculCotation!$D$3+1,0),L147)</f>
        <v>#DIV/0!</v>
      </c>
    </row>
    <row r="148" spans="2:13" x14ac:dyDescent="0.3">
      <c r="B148" s="1">
        <f>BDD!C151</f>
        <v>0</v>
      </c>
      <c r="C148" s="1">
        <f>BDD!B151</f>
        <v>0</v>
      </c>
      <c r="D148" s="1">
        <f>BDD!A151</f>
        <v>0</v>
      </c>
      <c r="E148" s="1">
        <f>BDD!D151</f>
        <v>0</v>
      </c>
      <c r="F148" s="1">
        <f>BDD!F151</f>
        <v>0</v>
      </c>
      <c r="G148" s="25">
        <f>'ButsMPG + Var'!$I$39*IF(C148="A",COUNTIF(BDD!H151:AR151,10)*'ButsMPG + Var'!$K$12+COUNTIF(BDD!H151:AR151,9)*'ButsMPG + Var'!$K$11+COUNTIF(BDD!H151:AR151,8)*'ButsMPG + Var'!$K$10+COUNTIF(BDD!H151:AR151,7)*'ButsMPG + Var'!$K$9+COUNTIF(BDD!H151:AR151,6)*'ButsMPG + Var'!$K$8+COUNTIF(BDD!H151:AR151,5)*'ButsMPG + Var'!$K$7+COUNTIF(BDD!H151:AR151,4)*'ButsMPG + Var'!$K$6+COUNTIF(BDD!H151:AR151,3)*'ButsMPG + Var'!$K$5+COUNTIF(BDD!H151:AR151,2)*'ButsMPG + Var'!$K$4+COUNTIF(BDD!H151:AR151,1)*'ButsMPG + Var'!$K$3,IF(C148="M",COUNTIF(BDD!H151:AR151,10)*'ButsMPG + Var'!$K$22+COUNTIF(BDD!H151:AR151,9)*'ButsMPG + Var'!$K$21+COUNTIF(BDD!H151:AR151,8)*'ButsMPG + Var'!$K$20+COUNTIF(BDD!H151:AR151,7)*'ButsMPG + Var'!$K$19+COUNTIF(BDD!H151:AR151,6)*'ButsMPG + Var'!$K$18+COUNTIF(BDD!H151:AR151,5)*'ButsMPG + Var'!$K$17+COUNTIF(BDD!H151:AR151,4)*'ButsMPG + Var'!$K$16+COUNTIF(BDD!H151:AR151,3)*'ButsMPG + Var'!$K$15+COUNTIF(BDD!H151:AR151,2)*'ButsMPG + Var'!$K$14+COUNTIF(BDD!H151:AR151,1)*'ButsMPG + Var'!$K$13,IF(C148="D",COUNTIF(BDD!H151:AR151,10)*'ButsMPG + Var'!$K$32+COUNTIF(BDD!H151:AR151,9)*'ButsMPG + Var'!$K$31+COUNTIF(BDD!H151:AR151,8)*'ButsMPG + Var'!$K$30+COUNTIF(BDD!H151:AR151,7)*'ButsMPG + Var'!$K$29+COUNTIF(BDD!H151:AR151,6)*'ButsMPG + Var'!$K$28+COUNTIF(BDD!H151:AR151,5)*'ButsMPG + Var'!$K$27+COUNTIF(BDD!H151:AR151,4)*'ButsMPG + Var'!$K$26+COUNTIF(BDD!H151:AR151,3)*'ButsMPG + Var'!$K$25+COUNTIF(BDD!H151:AR151,2)*'ButsMPG + Var'!$K$24+COUNTIF(BDD!H151:AR151,1)*'ButsMPG + Var'!$K$23,0)))</f>
        <v>0</v>
      </c>
      <c r="H148" s="25">
        <f t="shared" si="3"/>
        <v>0</v>
      </c>
      <c r="I148" s="25">
        <f>BDD!G151</f>
        <v>0</v>
      </c>
      <c r="J148" s="25">
        <f>SUMPRODUCT(BDD!H151:AS151,'ButsMPG + Var'!$B$46:$AM$46)</f>
        <v>0</v>
      </c>
      <c r="K148" s="25" t="e">
        <f>10*('ButsMPG + Var'!$H$37*J148/MAX(J:J)+'ButsMPG + Var'!$G$37*H148/MAX(H:H))</f>
        <v>#DIV/0!</v>
      </c>
      <c r="L148" s="1">
        <f>IF(ISNA(VLOOKUP(B148,PrixMini!$B$3:$E$573,4,FALSE)),1,VLOOKUP(B148,PrixMini!$B$3:$E$573,4,FALSE))</f>
        <v>1</v>
      </c>
      <c r="M148" s="25" t="e">
        <f>IF(ROUND(CalculCotation!$D$3*EXP(CalculCotation!$C$3*K148)-CalculCotation!$D$3+1,0)&gt;L148,ROUND(CalculCotation!$D$3*EXP(CalculCotation!$C$3*K148)-CalculCotation!$D$3+1,0),L148)</f>
        <v>#DIV/0!</v>
      </c>
    </row>
    <row r="149" spans="2:13" x14ac:dyDescent="0.3">
      <c r="B149" s="1">
        <f>BDD!C152</f>
        <v>0</v>
      </c>
      <c r="C149" s="1">
        <f>BDD!B152</f>
        <v>0</v>
      </c>
      <c r="D149" s="1">
        <f>BDD!A152</f>
        <v>0</v>
      </c>
      <c r="E149" s="1">
        <f>BDD!D152</f>
        <v>0</v>
      </c>
      <c r="F149" s="1">
        <f>BDD!F152</f>
        <v>0</v>
      </c>
      <c r="G149" s="25">
        <f>'ButsMPG + Var'!$I$39*IF(C149="A",COUNTIF(BDD!H152:AR152,10)*'ButsMPG + Var'!$K$12+COUNTIF(BDD!H152:AR152,9)*'ButsMPG + Var'!$K$11+COUNTIF(BDD!H152:AR152,8)*'ButsMPG + Var'!$K$10+COUNTIF(BDD!H152:AR152,7)*'ButsMPG + Var'!$K$9+COUNTIF(BDD!H152:AR152,6)*'ButsMPG + Var'!$K$8+COUNTIF(BDD!H152:AR152,5)*'ButsMPG + Var'!$K$7+COUNTIF(BDD!H152:AR152,4)*'ButsMPG + Var'!$K$6+COUNTIF(BDD!H152:AR152,3)*'ButsMPG + Var'!$K$5+COUNTIF(BDD!H152:AR152,2)*'ButsMPG + Var'!$K$4+COUNTIF(BDD!H152:AR152,1)*'ButsMPG + Var'!$K$3,IF(C149="M",COUNTIF(BDD!H152:AR152,10)*'ButsMPG + Var'!$K$22+COUNTIF(BDD!H152:AR152,9)*'ButsMPG + Var'!$K$21+COUNTIF(BDD!H152:AR152,8)*'ButsMPG + Var'!$K$20+COUNTIF(BDD!H152:AR152,7)*'ButsMPG + Var'!$K$19+COUNTIF(BDD!H152:AR152,6)*'ButsMPG + Var'!$K$18+COUNTIF(BDD!H152:AR152,5)*'ButsMPG + Var'!$K$17+COUNTIF(BDD!H152:AR152,4)*'ButsMPG + Var'!$K$16+COUNTIF(BDD!H152:AR152,3)*'ButsMPG + Var'!$K$15+COUNTIF(BDD!H152:AR152,2)*'ButsMPG + Var'!$K$14+COUNTIF(BDD!H152:AR152,1)*'ButsMPG + Var'!$K$13,IF(C149="D",COUNTIF(BDD!H152:AR152,10)*'ButsMPG + Var'!$K$32+COUNTIF(BDD!H152:AR152,9)*'ButsMPG + Var'!$K$31+COUNTIF(BDD!H152:AR152,8)*'ButsMPG + Var'!$K$30+COUNTIF(BDD!H152:AR152,7)*'ButsMPG + Var'!$K$29+COUNTIF(BDD!H152:AR152,6)*'ButsMPG + Var'!$K$28+COUNTIF(BDD!H152:AR152,5)*'ButsMPG + Var'!$K$27+COUNTIF(BDD!H152:AR152,4)*'ButsMPG + Var'!$K$26+COUNTIF(BDD!H152:AR152,3)*'ButsMPG + Var'!$K$25+COUNTIF(BDD!H152:AR152,2)*'ButsMPG + Var'!$K$24+COUNTIF(BDD!H152:AR152,1)*'ButsMPG + Var'!$K$23,0)))</f>
        <v>0</v>
      </c>
      <c r="H149" s="25">
        <f t="shared" si="3"/>
        <v>0</v>
      </c>
      <c r="I149" s="25">
        <f>BDD!G152</f>
        <v>0</v>
      </c>
      <c r="J149" s="25">
        <f>SUMPRODUCT(BDD!H152:AS152,'ButsMPG + Var'!$B$46:$AM$46)</f>
        <v>0</v>
      </c>
      <c r="K149" s="25" t="e">
        <f>10*('ButsMPG + Var'!$H$37*J149/MAX(J:J)+'ButsMPG + Var'!$G$37*H149/MAX(H:H))</f>
        <v>#DIV/0!</v>
      </c>
      <c r="L149" s="1">
        <f>IF(ISNA(VLOOKUP(B149,PrixMini!$B$3:$E$573,4,FALSE)),1,VLOOKUP(B149,PrixMini!$B$3:$E$573,4,FALSE))</f>
        <v>1</v>
      </c>
      <c r="M149" s="25" t="e">
        <f>IF(ROUND(CalculCotation!$D$3*EXP(CalculCotation!$C$3*K149)-CalculCotation!$D$3+1,0)&gt;L149,ROUND(CalculCotation!$D$3*EXP(CalculCotation!$C$3*K149)-CalculCotation!$D$3+1,0),L149)</f>
        <v>#DIV/0!</v>
      </c>
    </row>
    <row r="150" spans="2:13" x14ac:dyDescent="0.3">
      <c r="B150" s="1">
        <f>BDD!C153</f>
        <v>0</v>
      </c>
      <c r="C150" s="1">
        <f>BDD!B153</f>
        <v>0</v>
      </c>
      <c r="D150" s="1">
        <f>BDD!A153</f>
        <v>0</v>
      </c>
      <c r="E150" s="1">
        <f>BDD!D153</f>
        <v>0</v>
      </c>
      <c r="F150" s="1">
        <f>BDD!F153</f>
        <v>0</v>
      </c>
      <c r="G150" s="25">
        <f>'ButsMPG + Var'!$I$39*IF(C150="A",COUNTIF(BDD!H153:AR153,10)*'ButsMPG + Var'!$K$12+COUNTIF(BDD!H153:AR153,9)*'ButsMPG + Var'!$K$11+COUNTIF(BDD!H153:AR153,8)*'ButsMPG + Var'!$K$10+COUNTIF(BDD!H153:AR153,7)*'ButsMPG + Var'!$K$9+COUNTIF(BDD!H153:AR153,6)*'ButsMPG + Var'!$K$8+COUNTIF(BDD!H153:AR153,5)*'ButsMPG + Var'!$K$7+COUNTIF(BDD!H153:AR153,4)*'ButsMPG + Var'!$K$6+COUNTIF(BDD!H153:AR153,3)*'ButsMPG + Var'!$K$5+COUNTIF(BDD!H153:AR153,2)*'ButsMPG + Var'!$K$4+COUNTIF(BDD!H153:AR153,1)*'ButsMPG + Var'!$K$3,IF(C150="M",COUNTIF(BDD!H153:AR153,10)*'ButsMPG + Var'!$K$22+COUNTIF(BDD!H153:AR153,9)*'ButsMPG + Var'!$K$21+COUNTIF(BDD!H153:AR153,8)*'ButsMPG + Var'!$K$20+COUNTIF(BDD!H153:AR153,7)*'ButsMPG + Var'!$K$19+COUNTIF(BDD!H153:AR153,6)*'ButsMPG + Var'!$K$18+COUNTIF(BDD!H153:AR153,5)*'ButsMPG + Var'!$K$17+COUNTIF(BDD!H153:AR153,4)*'ButsMPG + Var'!$K$16+COUNTIF(BDD!H153:AR153,3)*'ButsMPG + Var'!$K$15+COUNTIF(BDD!H153:AR153,2)*'ButsMPG + Var'!$K$14+COUNTIF(BDD!H153:AR153,1)*'ButsMPG + Var'!$K$13,IF(C150="D",COUNTIF(BDD!H153:AR153,10)*'ButsMPG + Var'!$K$32+COUNTIF(BDD!H153:AR153,9)*'ButsMPG + Var'!$K$31+COUNTIF(BDD!H153:AR153,8)*'ButsMPG + Var'!$K$30+COUNTIF(BDD!H153:AR153,7)*'ButsMPG + Var'!$K$29+COUNTIF(BDD!H153:AR153,6)*'ButsMPG + Var'!$K$28+COUNTIF(BDD!H153:AR153,5)*'ButsMPG + Var'!$K$27+COUNTIF(BDD!H153:AR153,4)*'ButsMPG + Var'!$K$26+COUNTIF(BDD!H153:AR153,3)*'ButsMPG + Var'!$K$25+COUNTIF(BDD!H153:AR153,2)*'ButsMPG + Var'!$K$24+COUNTIF(BDD!H153:AR153,1)*'ButsMPG + Var'!$K$23,0)))</f>
        <v>0</v>
      </c>
      <c r="H150" s="25">
        <f t="shared" si="3"/>
        <v>0</v>
      </c>
      <c r="I150" s="25">
        <f>BDD!G153</f>
        <v>0</v>
      </c>
      <c r="J150" s="25">
        <f>SUMPRODUCT(BDD!H153:AS153,'ButsMPG + Var'!$B$46:$AM$46)</f>
        <v>0</v>
      </c>
      <c r="K150" s="25" t="e">
        <f>10*('ButsMPG + Var'!$H$37*J150/MAX(J:J)+'ButsMPG + Var'!$G$37*H150/MAX(H:H))</f>
        <v>#DIV/0!</v>
      </c>
      <c r="L150" s="1">
        <f>IF(ISNA(VLOOKUP(B150,PrixMini!$B$3:$E$573,4,FALSE)),1,VLOOKUP(B150,PrixMini!$B$3:$E$573,4,FALSE))</f>
        <v>1</v>
      </c>
      <c r="M150" s="25" t="e">
        <f>IF(ROUND(CalculCotation!$D$3*EXP(CalculCotation!$C$3*K150)-CalculCotation!$D$3+1,0)&gt;L150,ROUND(CalculCotation!$D$3*EXP(CalculCotation!$C$3*K150)-CalculCotation!$D$3+1,0),L150)</f>
        <v>#DIV/0!</v>
      </c>
    </row>
    <row r="151" spans="2:13" x14ac:dyDescent="0.3">
      <c r="B151" s="1">
        <f>BDD!C154</f>
        <v>0</v>
      </c>
      <c r="C151" s="1">
        <f>BDD!B154</f>
        <v>0</v>
      </c>
      <c r="D151" s="1">
        <f>BDD!A154</f>
        <v>0</v>
      </c>
      <c r="E151" s="1">
        <f>BDD!D154</f>
        <v>0</v>
      </c>
      <c r="F151" s="1">
        <f>BDD!F154</f>
        <v>0</v>
      </c>
      <c r="G151" s="25">
        <f>'ButsMPG + Var'!$I$39*IF(C151="A",COUNTIF(BDD!H154:AR154,10)*'ButsMPG + Var'!$K$12+COUNTIF(BDD!H154:AR154,9)*'ButsMPG + Var'!$K$11+COUNTIF(BDD!H154:AR154,8)*'ButsMPG + Var'!$K$10+COUNTIF(BDD!H154:AR154,7)*'ButsMPG + Var'!$K$9+COUNTIF(BDD!H154:AR154,6)*'ButsMPG + Var'!$K$8+COUNTIF(BDD!H154:AR154,5)*'ButsMPG + Var'!$K$7+COUNTIF(BDD!H154:AR154,4)*'ButsMPG + Var'!$K$6+COUNTIF(BDD!H154:AR154,3)*'ButsMPG + Var'!$K$5+COUNTIF(BDD!H154:AR154,2)*'ButsMPG + Var'!$K$4+COUNTIF(BDD!H154:AR154,1)*'ButsMPG + Var'!$K$3,IF(C151="M",COUNTIF(BDD!H154:AR154,10)*'ButsMPG + Var'!$K$22+COUNTIF(BDD!H154:AR154,9)*'ButsMPG + Var'!$K$21+COUNTIF(BDD!H154:AR154,8)*'ButsMPG + Var'!$K$20+COUNTIF(BDD!H154:AR154,7)*'ButsMPG + Var'!$K$19+COUNTIF(BDD!H154:AR154,6)*'ButsMPG + Var'!$K$18+COUNTIF(BDD!H154:AR154,5)*'ButsMPG + Var'!$K$17+COUNTIF(BDD!H154:AR154,4)*'ButsMPG + Var'!$K$16+COUNTIF(BDD!H154:AR154,3)*'ButsMPG + Var'!$K$15+COUNTIF(BDD!H154:AR154,2)*'ButsMPG + Var'!$K$14+COUNTIF(BDD!H154:AR154,1)*'ButsMPG + Var'!$K$13,IF(C151="D",COUNTIF(BDD!H154:AR154,10)*'ButsMPG + Var'!$K$32+COUNTIF(BDD!H154:AR154,9)*'ButsMPG + Var'!$K$31+COUNTIF(BDD!H154:AR154,8)*'ButsMPG + Var'!$K$30+COUNTIF(BDD!H154:AR154,7)*'ButsMPG + Var'!$K$29+COUNTIF(BDD!H154:AR154,6)*'ButsMPG + Var'!$K$28+COUNTIF(BDD!H154:AR154,5)*'ButsMPG + Var'!$K$27+COUNTIF(BDD!H154:AR154,4)*'ButsMPG + Var'!$K$26+COUNTIF(BDD!H154:AR154,3)*'ButsMPG + Var'!$K$25+COUNTIF(BDD!H154:AR154,2)*'ButsMPG + Var'!$K$24+COUNTIF(BDD!H154:AR154,1)*'ButsMPG + Var'!$K$23,0)))</f>
        <v>0</v>
      </c>
      <c r="H151" s="25">
        <f t="shared" si="3"/>
        <v>0</v>
      </c>
      <c r="I151" s="25">
        <f>BDD!G154</f>
        <v>0</v>
      </c>
      <c r="J151" s="25">
        <f>SUMPRODUCT(BDD!H154:AS154,'ButsMPG + Var'!$B$46:$AM$46)</f>
        <v>0</v>
      </c>
      <c r="K151" s="25" t="e">
        <f>10*('ButsMPG + Var'!$H$37*J151/MAX(J:J)+'ButsMPG + Var'!$G$37*H151/MAX(H:H))</f>
        <v>#DIV/0!</v>
      </c>
      <c r="L151" s="1">
        <f>IF(ISNA(VLOOKUP(B151,PrixMini!$B$3:$E$573,4,FALSE)),1,VLOOKUP(B151,PrixMini!$B$3:$E$573,4,FALSE))</f>
        <v>1</v>
      </c>
      <c r="M151" s="25" t="e">
        <f>IF(ROUND(CalculCotation!$D$3*EXP(CalculCotation!$C$3*K151)-CalculCotation!$D$3+1,0)&gt;L151,ROUND(CalculCotation!$D$3*EXP(CalculCotation!$C$3*K151)-CalculCotation!$D$3+1,0),L151)</f>
        <v>#DIV/0!</v>
      </c>
    </row>
    <row r="152" spans="2:13" x14ac:dyDescent="0.3">
      <c r="B152" s="1">
        <f>BDD!C155</f>
        <v>0</v>
      </c>
      <c r="C152" s="1">
        <f>BDD!B155</f>
        <v>0</v>
      </c>
      <c r="D152" s="1">
        <f>BDD!A155</f>
        <v>0</v>
      </c>
      <c r="E152" s="1">
        <f>BDD!D155</f>
        <v>0</v>
      </c>
      <c r="F152" s="1">
        <f>BDD!F155</f>
        <v>0</v>
      </c>
      <c r="G152" s="25">
        <f>'ButsMPG + Var'!$I$39*IF(C152="A",COUNTIF(BDD!H155:AR155,10)*'ButsMPG + Var'!$K$12+COUNTIF(BDD!H155:AR155,9)*'ButsMPG + Var'!$K$11+COUNTIF(BDD!H155:AR155,8)*'ButsMPG + Var'!$K$10+COUNTIF(BDD!H155:AR155,7)*'ButsMPG + Var'!$K$9+COUNTIF(BDD!H155:AR155,6)*'ButsMPG + Var'!$K$8+COUNTIF(BDD!H155:AR155,5)*'ButsMPG + Var'!$K$7+COUNTIF(BDD!H155:AR155,4)*'ButsMPG + Var'!$K$6+COUNTIF(BDD!H155:AR155,3)*'ButsMPG + Var'!$K$5+COUNTIF(BDD!H155:AR155,2)*'ButsMPG + Var'!$K$4+COUNTIF(BDD!H155:AR155,1)*'ButsMPG + Var'!$K$3,IF(C152="M",COUNTIF(BDD!H155:AR155,10)*'ButsMPG + Var'!$K$22+COUNTIF(BDD!H155:AR155,9)*'ButsMPG + Var'!$K$21+COUNTIF(BDD!H155:AR155,8)*'ButsMPG + Var'!$K$20+COUNTIF(BDD!H155:AR155,7)*'ButsMPG + Var'!$K$19+COUNTIF(BDD!H155:AR155,6)*'ButsMPG + Var'!$K$18+COUNTIF(BDD!H155:AR155,5)*'ButsMPG + Var'!$K$17+COUNTIF(BDD!H155:AR155,4)*'ButsMPG + Var'!$K$16+COUNTIF(BDD!H155:AR155,3)*'ButsMPG + Var'!$K$15+COUNTIF(BDD!H155:AR155,2)*'ButsMPG + Var'!$K$14+COUNTIF(BDD!H155:AR155,1)*'ButsMPG + Var'!$K$13,IF(C152="D",COUNTIF(BDD!H155:AR155,10)*'ButsMPG + Var'!$K$32+COUNTIF(BDD!H155:AR155,9)*'ButsMPG + Var'!$K$31+COUNTIF(BDD!H155:AR155,8)*'ButsMPG + Var'!$K$30+COUNTIF(BDD!H155:AR155,7)*'ButsMPG + Var'!$K$29+COUNTIF(BDD!H155:AR155,6)*'ButsMPG + Var'!$K$28+COUNTIF(BDD!H155:AR155,5)*'ButsMPG + Var'!$K$27+COUNTIF(BDD!H155:AR155,4)*'ButsMPG + Var'!$K$26+COUNTIF(BDD!H155:AR155,3)*'ButsMPG + Var'!$K$25+COUNTIF(BDD!H155:AR155,2)*'ButsMPG + Var'!$K$24+COUNTIF(BDD!H155:AR155,1)*'ButsMPG + Var'!$K$23,0)))</f>
        <v>0</v>
      </c>
      <c r="H152" s="25">
        <f t="shared" si="3"/>
        <v>0</v>
      </c>
      <c r="I152" s="25">
        <f>BDD!G155</f>
        <v>0</v>
      </c>
      <c r="J152" s="25">
        <f>SUMPRODUCT(BDD!H155:AS155,'ButsMPG + Var'!$B$46:$AM$46)</f>
        <v>0</v>
      </c>
      <c r="K152" s="25" t="e">
        <f>10*('ButsMPG + Var'!$H$37*J152/MAX(J:J)+'ButsMPG + Var'!$G$37*H152/MAX(H:H))</f>
        <v>#DIV/0!</v>
      </c>
      <c r="L152" s="1">
        <f>IF(ISNA(VLOOKUP(B152,PrixMini!$B$3:$E$573,4,FALSE)),1,VLOOKUP(B152,PrixMini!$B$3:$E$573,4,FALSE))</f>
        <v>1</v>
      </c>
      <c r="M152" s="25" t="e">
        <f>IF(ROUND(CalculCotation!$D$3*EXP(CalculCotation!$C$3*K152)-CalculCotation!$D$3+1,0)&gt;L152,ROUND(CalculCotation!$D$3*EXP(CalculCotation!$C$3*K152)-CalculCotation!$D$3+1,0),L152)</f>
        <v>#DIV/0!</v>
      </c>
    </row>
    <row r="153" spans="2:13" x14ac:dyDescent="0.3">
      <c r="B153" s="1">
        <f>BDD!C156</f>
        <v>0</v>
      </c>
      <c r="C153" s="1">
        <f>BDD!B156</f>
        <v>0</v>
      </c>
      <c r="D153" s="1">
        <f>BDD!A156</f>
        <v>0</v>
      </c>
      <c r="E153" s="1">
        <f>BDD!D156</f>
        <v>0</v>
      </c>
      <c r="F153" s="1">
        <f>BDD!F156</f>
        <v>0</v>
      </c>
      <c r="G153" s="25">
        <f>'ButsMPG + Var'!$I$39*IF(C153="A",COUNTIF(BDD!H156:AR156,10)*'ButsMPG + Var'!$K$12+COUNTIF(BDD!H156:AR156,9)*'ButsMPG + Var'!$K$11+COUNTIF(BDD!H156:AR156,8)*'ButsMPG + Var'!$K$10+COUNTIF(BDD!H156:AR156,7)*'ButsMPG + Var'!$K$9+COUNTIF(BDD!H156:AR156,6)*'ButsMPG + Var'!$K$8+COUNTIF(BDD!H156:AR156,5)*'ButsMPG + Var'!$K$7+COUNTIF(BDD!H156:AR156,4)*'ButsMPG + Var'!$K$6+COUNTIF(BDD!H156:AR156,3)*'ButsMPG + Var'!$K$5+COUNTIF(BDD!H156:AR156,2)*'ButsMPG + Var'!$K$4+COUNTIF(BDD!H156:AR156,1)*'ButsMPG + Var'!$K$3,IF(C153="M",COUNTIF(BDD!H156:AR156,10)*'ButsMPG + Var'!$K$22+COUNTIF(BDD!H156:AR156,9)*'ButsMPG + Var'!$K$21+COUNTIF(BDD!H156:AR156,8)*'ButsMPG + Var'!$K$20+COUNTIF(BDD!H156:AR156,7)*'ButsMPG + Var'!$K$19+COUNTIF(BDD!H156:AR156,6)*'ButsMPG + Var'!$K$18+COUNTIF(BDD!H156:AR156,5)*'ButsMPG + Var'!$K$17+COUNTIF(BDD!H156:AR156,4)*'ButsMPG + Var'!$K$16+COUNTIF(BDD!H156:AR156,3)*'ButsMPG + Var'!$K$15+COUNTIF(BDD!H156:AR156,2)*'ButsMPG + Var'!$K$14+COUNTIF(BDD!H156:AR156,1)*'ButsMPG + Var'!$K$13,IF(C153="D",COUNTIF(BDD!H156:AR156,10)*'ButsMPG + Var'!$K$32+COUNTIF(BDD!H156:AR156,9)*'ButsMPG + Var'!$K$31+COUNTIF(BDD!H156:AR156,8)*'ButsMPG + Var'!$K$30+COUNTIF(BDD!H156:AR156,7)*'ButsMPG + Var'!$K$29+COUNTIF(BDD!H156:AR156,6)*'ButsMPG + Var'!$K$28+COUNTIF(BDD!H156:AR156,5)*'ButsMPG + Var'!$K$27+COUNTIF(BDD!H156:AR156,4)*'ButsMPG + Var'!$K$26+COUNTIF(BDD!H156:AR156,3)*'ButsMPG + Var'!$K$25+COUNTIF(BDD!H156:AR156,2)*'ButsMPG + Var'!$K$24+COUNTIF(BDD!H156:AR156,1)*'ButsMPG + Var'!$K$23,0)))</f>
        <v>0</v>
      </c>
      <c r="H153" s="25">
        <f t="shared" si="3"/>
        <v>0</v>
      </c>
      <c r="I153" s="25">
        <f>BDD!G156</f>
        <v>0</v>
      </c>
      <c r="J153" s="25">
        <f>SUMPRODUCT(BDD!H156:AS156,'ButsMPG + Var'!$B$46:$AM$46)</f>
        <v>0</v>
      </c>
      <c r="K153" s="25" t="e">
        <f>10*('ButsMPG + Var'!$H$37*J153/MAX(J:J)+'ButsMPG + Var'!$G$37*H153/MAX(H:H))</f>
        <v>#DIV/0!</v>
      </c>
      <c r="L153" s="1">
        <f>IF(ISNA(VLOOKUP(B153,PrixMini!$B$3:$E$573,4,FALSE)),1,VLOOKUP(B153,PrixMini!$B$3:$E$573,4,FALSE))</f>
        <v>1</v>
      </c>
      <c r="M153" s="25" t="e">
        <f>IF(ROUND(CalculCotation!$D$3*EXP(CalculCotation!$C$3*K153)-CalculCotation!$D$3+1,0)&gt;L153,ROUND(CalculCotation!$D$3*EXP(CalculCotation!$C$3*K153)-CalculCotation!$D$3+1,0),L153)</f>
        <v>#DIV/0!</v>
      </c>
    </row>
    <row r="154" spans="2:13" x14ac:dyDescent="0.3">
      <c r="B154" s="1">
        <f>BDD!C157</f>
        <v>0</v>
      </c>
      <c r="C154" s="1">
        <f>BDD!B157</f>
        <v>0</v>
      </c>
      <c r="D154" s="1">
        <f>BDD!A157</f>
        <v>0</v>
      </c>
      <c r="E154" s="1">
        <f>BDD!D157</f>
        <v>0</v>
      </c>
      <c r="F154" s="1">
        <f>BDD!F157</f>
        <v>0</v>
      </c>
      <c r="G154" s="25">
        <f>'ButsMPG + Var'!$I$39*IF(C154="A",COUNTIF(BDD!H157:AR157,10)*'ButsMPG + Var'!$K$12+COUNTIF(BDD!H157:AR157,9)*'ButsMPG + Var'!$K$11+COUNTIF(BDD!H157:AR157,8)*'ButsMPG + Var'!$K$10+COUNTIF(BDD!H157:AR157,7)*'ButsMPG + Var'!$K$9+COUNTIF(BDD!H157:AR157,6)*'ButsMPG + Var'!$K$8+COUNTIF(BDD!H157:AR157,5)*'ButsMPG + Var'!$K$7+COUNTIF(BDD!H157:AR157,4)*'ButsMPG + Var'!$K$6+COUNTIF(BDD!H157:AR157,3)*'ButsMPG + Var'!$K$5+COUNTIF(BDD!H157:AR157,2)*'ButsMPG + Var'!$K$4+COUNTIF(BDD!H157:AR157,1)*'ButsMPG + Var'!$K$3,IF(C154="M",COUNTIF(BDD!H157:AR157,10)*'ButsMPG + Var'!$K$22+COUNTIF(BDD!H157:AR157,9)*'ButsMPG + Var'!$K$21+COUNTIF(BDD!H157:AR157,8)*'ButsMPG + Var'!$K$20+COUNTIF(BDD!H157:AR157,7)*'ButsMPG + Var'!$K$19+COUNTIF(BDD!H157:AR157,6)*'ButsMPG + Var'!$K$18+COUNTIF(BDD!H157:AR157,5)*'ButsMPG + Var'!$K$17+COUNTIF(BDD!H157:AR157,4)*'ButsMPG + Var'!$K$16+COUNTIF(BDD!H157:AR157,3)*'ButsMPG + Var'!$K$15+COUNTIF(BDD!H157:AR157,2)*'ButsMPG + Var'!$K$14+COUNTIF(BDD!H157:AR157,1)*'ButsMPG + Var'!$K$13,IF(C154="D",COUNTIF(BDD!H157:AR157,10)*'ButsMPG + Var'!$K$32+COUNTIF(BDD!H157:AR157,9)*'ButsMPG + Var'!$K$31+COUNTIF(BDD!H157:AR157,8)*'ButsMPG + Var'!$K$30+COUNTIF(BDD!H157:AR157,7)*'ButsMPG + Var'!$K$29+COUNTIF(BDD!H157:AR157,6)*'ButsMPG + Var'!$K$28+COUNTIF(BDD!H157:AR157,5)*'ButsMPG + Var'!$K$27+COUNTIF(BDD!H157:AR157,4)*'ButsMPG + Var'!$K$26+COUNTIF(BDD!H157:AR157,3)*'ButsMPG + Var'!$K$25+COUNTIF(BDD!H157:AR157,2)*'ButsMPG + Var'!$K$24+COUNTIF(BDD!H157:AR157,1)*'ButsMPG + Var'!$K$23,0)))</f>
        <v>0</v>
      </c>
      <c r="H154" s="25">
        <f t="shared" si="3"/>
        <v>0</v>
      </c>
      <c r="I154" s="25">
        <f>BDD!G157</f>
        <v>0</v>
      </c>
      <c r="J154" s="25">
        <f>SUMPRODUCT(BDD!H157:AS157,'ButsMPG + Var'!$B$46:$AM$46)</f>
        <v>0</v>
      </c>
      <c r="K154" s="25" t="e">
        <f>10*('ButsMPG + Var'!$H$37*J154/MAX(J:J)+'ButsMPG + Var'!$G$37*H154/MAX(H:H))</f>
        <v>#DIV/0!</v>
      </c>
      <c r="L154" s="1">
        <f>IF(ISNA(VLOOKUP(B154,PrixMini!$B$3:$E$573,4,FALSE)),1,VLOOKUP(B154,PrixMini!$B$3:$E$573,4,FALSE))</f>
        <v>1</v>
      </c>
      <c r="M154" s="25" t="e">
        <f>IF(ROUND(CalculCotation!$D$3*EXP(CalculCotation!$C$3*K154)-CalculCotation!$D$3+1,0)&gt;L154,ROUND(CalculCotation!$D$3*EXP(CalculCotation!$C$3*K154)-CalculCotation!$D$3+1,0),L154)</f>
        <v>#DIV/0!</v>
      </c>
    </row>
    <row r="155" spans="2:13" x14ac:dyDescent="0.3">
      <c r="B155" s="1">
        <f>BDD!C158</f>
        <v>0</v>
      </c>
      <c r="C155" s="1">
        <f>BDD!B158</f>
        <v>0</v>
      </c>
      <c r="D155" s="1">
        <f>BDD!A158</f>
        <v>0</v>
      </c>
      <c r="E155" s="1">
        <f>BDD!D158</f>
        <v>0</v>
      </c>
      <c r="F155" s="1">
        <f>BDD!F158</f>
        <v>0</v>
      </c>
      <c r="G155" s="25">
        <f>'ButsMPG + Var'!$I$39*IF(C155="A",COUNTIF(BDD!H158:AR158,10)*'ButsMPG + Var'!$K$12+COUNTIF(BDD!H158:AR158,9)*'ButsMPG + Var'!$K$11+COUNTIF(BDD!H158:AR158,8)*'ButsMPG + Var'!$K$10+COUNTIF(BDD!H158:AR158,7)*'ButsMPG + Var'!$K$9+COUNTIF(BDD!H158:AR158,6)*'ButsMPG + Var'!$K$8+COUNTIF(BDD!H158:AR158,5)*'ButsMPG + Var'!$K$7+COUNTIF(BDD!H158:AR158,4)*'ButsMPG + Var'!$K$6+COUNTIF(BDD!H158:AR158,3)*'ButsMPG + Var'!$K$5+COUNTIF(BDD!H158:AR158,2)*'ButsMPG + Var'!$K$4+COUNTIF(BDD!H158:AR158,1)*'ButsMPG + Var'!$K$3,IF(C155="M",COUNTIF(BDD!H158:AR158,10)*'ButsMPG + Var'!$K$22+COUNTIF(BDD!H158:AR158,9)*'ButsMPG + Var'!$K$21+COUNTIF(BDD!H158:AR158,8)*'ButsMPG + Var'!$K$20+COUNTIF(BDD!H158:AR158,7)*'ButsMPG + Var'!$K$19+COUNTIF(BDD!H158:AR158,6)*'ButsMPG + Var'!$K$18+COUNTIF(BDD!H158:AR158,5)*'ButsMPG + Var'!$K$17+COUNTIF(BDD!H158:AR158,4)*'ButsMPG + Var'!$K$16+COUNTIF(BDD!H158:AR158,3)*'ButsMPG + Var'!$K$15+COUNTIF(BDD!H158:AR158,2)*'ButsMPG + Var'!$K$14+COUNTIF(BDD!H158:AR158,1)*'ButsMPG + Var'!$K$13,IF(C155="D",COUNTIF(BDD!H158:AR158,10)*'ButsMPG + Var'!$K$32+COUNTIF(BDD!H158:AR158,9)*'ButsMPG + Var'!$K$31+COUNTIF(BDD!H158:AR158,8)*'ButsMPG + Var'!$K$30+COUNTIF(BDD!H158:AR158,7)*'ButsMPG + Var'!$K$29+COUNTIF(BDD!H158:AR158,6)*'ButsMPG + Var'!$K$28+COUNTIF(BDD!H158:AR158,5)*'ButsMPG + Var'!$K$27+COUNTIF(BDD!H158:AR158,4)*'ButsMPG + Var'!$K$26+COUNTIF(BDD!H158:AR158,3)*'ButsMPG + Var'!$K$25+COUNTIF(BDD!H158:AR158,2)*'ButsMPG + Var'!$K$24+COUNTIF(BDD!H158:AR158,1)*'ButsMPG + Var'!$K$23,0)))</f>
        <v>0</v>
      </c>
      <c r="H155" s="25">
        <f t="shared" si="3"/>
        <v>0</v>
      </c>
      <c r="I155" s="25">
        <f>BDD!G158</f>
        <v>0</v>
      </c>
      <c r="J155" s="25">
        <f>SUMPRODUCT(BDD!H158:AS158,'ButsMPG + Var'!$B$46:$AM$46)</f>
        <v>0</v>
      </c>
      <c r="K155" s="25" t="e">
        <f>10*('ButsMPG + Var'!$H$37*J155/MAX(J:J)+'ButsMPG + Var'!$G$37*H155/MAX(H:H))</f>
        <v>#DIV/0!</v>
      </c>
      <c r="L155" s="1">
        <f>IF(ISNA(VLOOKUP(B155,PrixMini!$B$3:$E$573,4,FALSE)),1,VLOOKUP(B155,PrixMini!$B$3:$E$573,4,FALSE))</f>
        <v>1</v>
      </c>
      <c r="M155" s="25" t="e">
        <f>IF(ROUND(CalculCotation!$D$3*EXP(CalculCotation!$C$3*K155)-CalculCotation!$D$3+1,0)&gt;L155,ROUND(CalculCotation!$D$3*EXP(CalculCotation!$C$3*K155)-CalculCotation!$D$3+1,0),L155)</f>
        <v>#DIV/0!</v>
      </c>
    </row>
    <row r="156" spans="2:13" x14ac:dyDescent="0.3">
      <c r="B156" s="1">
        <f>BDD!C159</f>
        <v>0</v>
      </c>
      <c r="C156" s="1">
        <f>BDD!B159</f>
        <v>0</v>
      </c>
      <c r="D156" s="1">
        <f>BDD!A159</f>
        <v>0</v>
      </c>
      <c r="E156" s="1">
        <f>BDD!D159</f>
        <v>0</v>
      </c>
      <c r="F156" s="1">
        <f>BDD!F159</f>
        <v>0</v>
      </c>
      <c r="G156" s="25">
        <f>'ButsMPG + Var'!$I$39*IF(C156="A",COUNTIF(BDD!H159:AR159,10)*'ButsMPG + Var'!$K$12+COUNTIF(BDD!H159:AR159,9)*'ButsMPG + Var'!$K$11+COUNTIF(BDD!H159:AR159,8)*'ButsMPG + Var'!$K$10+COUNTIF(BDD!H159:AR159,7)*'ButsMPG + Var'!$K$9+COUNTIF(BDD!H159:AR159,6)*'ButsMPG + Var'!$K$8+COUNTIF(BDD!H159:AR159,5)*'ButsMPG + Var'!$K$7+COUNTIF(BDD!H159:AR159,4)*'ButsMPG + Var'!$K$6+COUNTIF(BDD!H159:AR159,3)*'ButsMPG + Var'!$K$5+COUNTIF(BDD!H159:AR159,2)*'ButsMPG + Var'!$K$4+COUNTIF(BDD!H159:AR159,1)*'ButsMPG + Var'!$K$3,IF(C156="M",COUNTIF(BDD!H159:AR159,10)*'ButsMPG + Var'!$K$22+COUNTIF(BDD!H159:AR159,9)*'ButsMPG + Var'!$K$21+COUNTIF(BDD!H159:AR159,8)*'ButsMPG + Var'!$K$20+COUNTIF(BDD!H159:AR159,7)*'ButsMPG + Var'!$K$19+COUNTIF(BDD!H159:AR159,6)*'ButsMPG + Var'!$K$18+COUNTIF(BDD!H159:AR159,5)*'ButsMPG + Var'!$K$17+COUNTIF(BDD!H159:AR159,4)*'ButsMPG + Var'!$K$16+COUNTIF(BDD!H159:AR159,3)*'ButsMPG + Var'!$K$15+COUNTIF(BDD!H159:AR159,2)*'ButsMPG + Var'!$K$14+COUNTIF(BDD!H159:AR159,1)*'ButsMPG + Var'!$K$13,IF(C156="D",COUNTIF(BDD!H159:AR159,10)*'ButsMPG + Var'!$K$32+COUNTIF(BDD!H159:AR159,9)*'ButsMPG + Var'!$K$31+COUNTIF(BDD!H159:AR159,8)*'ButsMPG + Var'!$K$30+COUNTIF(BDD!H159:AR159,7)*'ButsMPG + Var'!$K$29+COUNTIF(BDD!H159:AR159,6)*'ButsMPG + Var'!$K$28+COUNTIF(BDD!H159:AR159,5)*'ButsMPG + Var'!$K$27+COUNTIF(BDD!H159:AR159,4)*'ButsMPG + Var'!$K$26+COUNTIF(BDD!H159:AR159,3)*'ButsMPG + Var'!$K$25+COUNTIF(BDD!H159:AR159,2)*'ButsMPG + Var'!$K$24+COUNTIF(BDD!H159:AR159,1)*'ButsMPG + Var'!$K$23,0)))</f>
        <v>0</v>
      </c>
      <c r="H156" s="25">
        <f t="shared" si="3"/>
        <v>0</v>
      </c>
      <c r="I156" s="25">
        <f>BDD!G159</f>
        <v>0</v>
      </c>
      <c r="J156" s="25">
        <f>SUMPRODUCT(BDD!H159:AS159,'ButsMPG + Var'!$B$46:$AM$46)</f>
        <v>0</v>
      </c>
      <c r="K156" s="25" t="e">
        <f>10*('ButsMPG + Var'!$H$37*J156/MAX(J:J)+'ButsMPG + Var'!$G$37*H156/MAX(H:H))</f>
        <v>#DIV/0!</v>
      </c>
      <c r="L156" s="1">
        <f>IF(ISNA(VLOOKUP(B156,PrixMini!$B$3:$E$573,4,FALSE)),1,VLOOKUP(B156,PrixMini!$B$3:$E$573,4,FALSE))</f>
        <v>1</v>
      </c>
      <c r="M156" s="25" t="e">
        <f>IF(ROUND(CalculCotation!$D$3*EXP(CalculCotation!$C$3*K156)-CalculCotation!$D$3+1,0)&gt;L156,ROUND(CalculCotation!$D$3*EXP(CalculCotation!$C$3*K156)-CalculCotation!$D$3+1,0),L156)</f>
        <v>#DIV/0!</v>
      </c>
    </row>
    <row r="157" spans="2:13" x14ac:dyDescent="0.3">
      <c r="B157" s="1">
        <f>BDD!C160</f>
        <v>0</v>
      </c>
      <c r="C157" s="1">
        <f>BDD!B160</f>
        <v>0</v>
      </c>
      <c r="D157" s="1">
        <f>BDD!A160</f>
        <v>0</v>
      </c>
      <c r="E157" s="1">
        <f>BDD!D160</f>
        <v>0</v>
      </c>
      <c r="F157" s="1">
        <f>BDD!F160</f>
        <v>0</v>
      </c>
      <c r="G157" s="25">
        <f>'ButsMPG + Var'!$I$39*IF(C157="A",COUNTIF(BDD!H160:AR160,10)*'ButsMPG + Var'!$K$12+COUNTIF(BDD!H160:AR160,9)*'ButsMPG + Var'!$K$11+COUNTIF(BDD!H160:AR160,8)*'ButsMPG + Var'!$K$10+COUNTIF(BDD!H160:AR160,7)*'ButsMPG + Var'!$K$9+COUNTIF(BDD!H160:AR160,6)*'ButsMPG + Var'!$K$8+COUNTIF(BDD!H160:AR160,5)*'ButsMPG + Var'!$K$7+COUNTIF(BDD!H160:AR160,4)*'ButsMPG + Var'!$K$6+COUNTIF(BDD!H160:AR160,3)*'ButsMPG + Var'!$K$5+COUNTIF(BDD!H160:AR160,2)*'ButsMPG + Var'!$K$4+COUNTIF(BDD!H160:AR160,1)*'ButsMPG + Var'!$K$3,IF(C157="M",COUNTIF(BDD!H160:AR160,10)*'ButsMPG + Var'!$K$22+COUNTIF(BDD!H160:AR160,9)*'ButsMPG + Var'!$K$21+COUNTIF(BDD!H160:AR160,8)*'ButsMPG + Var'!$K$20+COUNTIF(BDD!H160:AR160,7)*'ButsMPG + Var'!$K$19+COUNTIF(BDD!H160:AR160,6)*'ButsMPG + Var'!$K$18+COUNTIF(BDD!H160:AR160,5)*'ButsMPG + Var'!$K$17+COUNTIF(BDD!H160:AR160,4)*'ButsMPG + Var'!$K$16+COUNTIF(BDD!H160:AR160,3)*'ButsMPG + Var'!$K$15+COUNTIF(BDD!H160:AR160,2)*'ButsMPG + Var'!$K$14+COUNTIF(BDD!H160:AR160,1)*'ButsMPG + Var'!$K$13,IF(C157="D",COUNTIF(BDD!H160:AR160,10)*'ButsMPG + Var'!$K$32+COUNTIF(BDD!H160:AR160,9)*'ButsMPG + Var'!$K$31+COUNTIF(BDD!H160:AR160,8)*'ButsMPG + Var'!$K$30+COUNTIF(BDD!H160:AR160,7)*'ButsMPG + Var'!$K$29+COUNTIF(BDD!H160:AR160,6)*'ButsMPG + Var'!$K$28+COUNTIF(BDD!H160:AR160,5)*'ButsMPG + Var'!$K$27+COUNTIF(BDD!H160:AR160,4)*'ButsMPG + Var'!$K$26+COUNTIF(BDD!H160:AR160,3)*'ButsMPG + Var'!$K$25+COUNTIF(BDD!H160:AR160,2)*'ButsMPG + Var'!$K$24+COUNTIF(BDD!H160:AR160,1)*'ButsMPG + Var'!$K$23,0)))</f>
        <v>0</v>
      </c>
      <c r="H157" s="25">
        <f t="shared" si="3"/>
        <v>0</v>
      </c>
      <c r="I157" s="25">
        <f>BDD!G160</f>
        <v>0</v>
      </c>
      <c r="J157" s="25">
        <f>SUMPRODUCT(BDD!H160:AS160,'ButsMPG + Var'!$B$46:$AM$46)</f>
        <v>0</v>
      </c>
      <c r="K157" s="25" t="e">
        <f>10*('ButsMPG + Var'!$H$37*J157/MAX(J:J)+'ButsMPG + Var'!$G$37*H157/MAX(H:H))</f>
        <v>#DIV/0!</v>
      </c>
      <c r="L157" s="1">
        <f>IF(ISNA(VLOOKUP(B157,PrixMini!$B$3:$E$573,4,FALSE)),1,VLOOKUP(B157,PrixMini!$B$3:$E$573,4,FALSE))</f>
        <v>1</v>
      </c>
      <c r="M157" s="25" t="e">
        <f>IF(ROUND(CalculCotation!$D$3*EXP(CalculCotation!$C$3*K157)-CalculCotation!$D$3+1,0)&gt;L157,ROUND(CalculCotation!$D$3*EXP(CalculCotation!$C$3*K157)-CalculCotation!$D$3+1,0),L157)</f>
        <v>#DIV/0!</v>
      </c>
    </row>
    <row r="158" spans="2:13" x14ac:dyDescent="0.3">
      <c r="B158" s="1">
        <f>BDD!C161</f>
        <v>0</v>
      </c>
      <c r="C158" s="1">
        <f>BDD!B161</f>
        <v>0</v>
      </c>
      <c r="D158" s="1">
        <f>BDD!A161</f>
        <v>0</v>
      </c>
      <c r="E158" s="1">
        <f>BDD!D161</f>
        <v>0</v>
      </c>
      <c r="F158" s="1">
        <f>BDD!F161</f>
        <v>0</v>
      </c>
      <c r="G158" s="25">
        <f>'ButsMPG + Var'!$I$39*IF(C158="A",COUNTIF(BDD!H161:AR161,10)*'ButsMPG + Var'!$K$12+COUNTIF(BDD!H161:AR161,9)*'ButsMPG + Var'!$K$11+COUNTIF(BDD!H161:AR161,8)*'ButsMPG + Var'!$K$10+COUNTIF(BDD!H161:AR161,7)*'ButsMPG + Var'!$K$9+COUNTIF(BDD!H161:AR161,6)*'ButsMPG + Var'!$K$8+COUNTIF(BDD!H161:AR161,5)*'ButsMPG + Var'!$K$7+COUNTIF(BDD!H161:AR161,4)*'ButsMPG + Var'!$K$6+COUNTIF(BDD!H161:AR161,3)*'ButsMPG + Var'!$K$5+COUNTIF(BDD!H161:AR161,2)*'ButsMPG + Var'!$K$4+COUNTIF(BDD!H161:AR161,1)*'ButsMPG + Var'!$K$3,IF(C158="M",COUNTIF(BDD!H161:AR161,10)*'ButsMPG + Var'!$K$22+COUNTIF(BDD!H161:AR161,9)*'ButsMPG + Var'!$K$21+COUNTIF(BDD!H161:AR161,8)*'ButsMPG + Var'!$K$20+COUNTIF(BDD!H161:AR161,7)*'ButsMPG + Var'!$K$19+COUNTIF(BDD!H161:AR161,6)*'ButsMPG + Var'!$K$18+COUNTIF(BDD!H161:AR161,5)*'ButsMPG + Var'!$K$17+COUNTIF(BDD!H161:AR161,4)*'ButsMPG + Var'!$K$16+COUNTIF(BDD!H161:AR161,3)*'ButsMPG + Var'!$K$15+COUNTIF(BDD!H161:AR161,2)*'ButsMPG + Var'!$K$14+COUNTIF(BDD!H161:AR161,1)*'ButsMPG + Var'!$K$13,IF(C158="D",COUNTIF(BDD!H161:AR161,10)*'ButsMPG + Var'!$K$32+COUNTIF(BDD!H161:AR161,9)*'ButsMPG + Var'!$K$31+COUNTIF(BDD!H161:AR161,8)*'ButsMPG + Var'!$K$30+COUNTIF(BDD!H161:AR161,7)*'ButsMPG + Var'!$K$29+COUNTIF(BDD!H161:AR161,6)*'ButsMPG + Var'!$K$28+COUNTIF(BDD!H161:AR161,5)*'ButsMPG + Var'!$K$27+COUNTIF(BDD!H161:AR161,4)*'ButsMPG + Var'!$K$26+COUNTIF(BDD!H161:AR161,3)*'ButsMPG + Var'!$K$25+COUNTIF(BDD!H161:AR161,2)*'ButsMPG + Var'!$K$24+COUNTIF(BDD!H161:AR161,1)*'ButsMPG + Var'!$K$23,0)))</f>
        <v>0</v>
      </c>
      <c r="H158" s="25">
        <f t="shared" si="3"/>
        <v>0</v>
      </c>
      <c r="I158" s="25">
        <f>BDD!G161</f>
        <v>0</v>
      </c>
      <c r="J158" s="25">
        <f>SUMPRODUCT(BDD!H161:AS161,'ButsMPG + Var'!$B$46:$AM$46)</f>
        <v>0</v>
      </c>
      <c r="K158" s="25" t="e">
        <f>10*('ButsMPG + Var'!$H$37*J158/MAX(J:J)+'ButsMPG + Var'!$G$37*H158/MAX(H:H))</f>
        <v>#DIV/0!</v>
      </c>
      <c r="L158" s="1">
        <f>IF(ISNA(VLOOKUP(B158,PrixMini!$B$3:$E$573,4,FALSE)),1,VLOOKUP(B158,PrixMini!$B$3:$E$573,4,FALSE))</f>
        <v>1</v>
      </c>
      <c r="M158" s="25" t="e">
        <f>IF(ROUND(CalculCotation!$D$3*EXP(CalculCotation!$C$3*K158)-CalculCotation!$D$3+1,0)&gt;L158,ROUND(CalculCotation!$D$3*EXP(CalculCotation!$C$3*K158)-CalculCotation!$D$3+1,0),L158)</f>
        <v>#DIV/0!</v>
      </c>
    </row>
    <row r="159" spans="2:13" x14ac:dyDescent="0.3">
      <c r="B159" s="1">
        <f>BDD!C162</f>
        <v>0</v>
      </c>
      <c r="C159" s="1">
        <f>BDD!B162</f>
        <v>0</v>
      </c>
      <c r="D159" s="1">
        <f>BDD!A162</f>
        <v>0</v>
      </c>
      <c r="E159" s="1">
        <f>BDD!D162</f>
        <v>0</v>
      </c>
      <c r="F159" s="1">
        <f>BDD!F162</f>
        <v>0</v>
      </c>
      <c r="G159" s="25">
        <f>'ButsMPG + Var'!$I$39*IF(C159="A",COUNTIF(BDD!H162:AR162,10)*'ButsMPG + Var'!$K$12+COUNTIF(BDD!H162:AR162,9)*'ButsMPG + Var'!$K$11+COUNTIF(BDD!H162:AR162,8)*'ButsMPG + Var'!$K$10+COUNTIF(BDD!H162:AR162,7)*'ButsMPG + Var'!$K$9+COUNTIF(BDD!H162:AR162,6)*'ButsMPG + Var'!$K$8+COUNTIF(BDD!H162:AR162,5)*'ButsMPG + Var'!$K$7+COUNTIF(BDD!H162:AR162,4)*'ButsMPG + Var'!$K$6+COUNTIF(BDD!H162:AR162,3)*'ButsMPG + Var'!$K$5+COUNTIF(BDD!H162:AR162,2)*'ButsMPG + Var'!$K$4+COUNTIF(BDD!H162:AR162,1)*'ButsMPG + Var'!$K$3,IF(C159="M",COUNTIF(BDD!H162:AR162,10)*'ButsMPG + Var'!$K$22+COUNTIF(BDD!H162:AR162,9)*'ButsMPG + Var'!$K$21+COUNTIF(BDD!H162:AR162,8)*'ButsMPG + Var'!$K$20+COUNTIF(BDD!H162:AR162,7)*'ButsMPG + Var'!$K$19+COUNTIF(BDD!H162:AR162,6)*'ButsMPG + Var'!$K$18+COUNTIF(BDD!H162:AR162,5)*'ButsMPG + Var'!$K$17+COUNTIF(BDD!H162:AR162,4)*'ButsMPG + Var'!$K$16+COUNTIF(BDD!H162:AR162,3)*'ButsMPG + Var'!$K$15+COUNTIF(BDD!H162:AR162,2)*'ButsMPG + Var'!$K$14+COUNTIF(BDD!H162:AR162,1)*'ButsMPG + Var'!$K$13,IF(C159="D",COUNTIF(BDD!H162:AR162,10)*'ButsMPG + Var'!$K$32+COUNTIF(BDD!H162:AR162,9)*'ButsMPG + Var'!$K$31+COUNTIF(BDD!H162:AR162,8)*'ButsMPG + Var'!$K$30+COUNTIF(BDD!H162:AR162,7)*'ButsMPG + Var'!$K$29+COUNTIF(BDD!H162:AR162,6)*'ButsMPG + Var'!$K$28+COUNTIF(BDD!H162:AR162,5)*'ButsMPG + Var'!$K$27+COUNTIF(BDD!H162:AR162,4)*'ButsMPG + Var'!$K$26+COUNTIF(BDD!H162:AR162,3)*'ButsMPG + Var'!$K$25+COUNTIF(BDD!H162:AR162,2)*'ButsMPG + Var'!$K$24+COUNTIF(BDD!H162:AR162,1)*'ButsMPG + Var'!$K$23,0)))</f>
        <v>0</v>
      </c>
      <c r="H159" s="25">
        <f t="shared" si="3"/>
        <v>0</v>
      </c>
      <c r="I159" s="25">
        <f>BDD!G162</f>
        <v>0</v>
      </c>
      <c r="J159" s="25">
        <f>SUMPRODUCT(BDD!H162:AS162,'ButsMPG + Var'!$B$46:$AM$46)</f>
        <v>0</v>
      </c>
      <c r="K159" s="25" t="e">
        <f>10*('ButsMPG + Var'!$H$37*J159/MAX(J:J)+'ButsMPG + Var'!$G$37*H159/MAX(H:H))</f>
        <v>#DIV/0!</v>
      </c>
      <c r="L159" s="1">
        <f>IF(ISNA(VLOOKUP(B159,PrixMini!$B$3:$E$573,4,FALSE)),1,VLOOKUP(B159,PrixMini!$B$3:$E$573,4,FALSE))</f>
        <v>1</v>
      </c>
      <c r="M159" s="25" t="e">
        <f>IF(ROUND(CalculCotation!$D$3*EXP(CalculCotation!$C$3*K159)-CalculCotation!$D$3+1,0)&gt;L159,ROUND(CalculCotation!$D$3*EXP(CalculCotation!$C$3*K159)-CalculCotation!$D$3+1,0),L159)</f>
        <v>#DIV/0!</v>
      </c>
    </row>
    <row r="160" spans="2:13" x14ac:dyDescent="0.3">
      <c r="B160" s="1">
        <f>BDD!C163</f>
        <v>0</v>
      </c>
      <c r="C160" s="1">
        <f>BDD!B163</f>
        <v>0</v>
      </c>
      <c r="D160" s="1">
        <f>BDD!A163</f>
        <v>0</v>
      </c>
      <c r="E160" s="1">
        <f>BDD!D163</f>
        <v>0</v>
      </c>
      <c r="F160" s="1">
        <f>BDD!F163</f>
        <v>0</v>
      </c>
      <c r="G160" s="25">
        <f>'ButsMPG + Var'!$I$39*IF(C160="A",COUNTIF(BDD!H163:AR163,10)*'ButsMPG + Var'!$K$12+COUNTIF(BDD!H163:AR163,9)*'ButsMPG + Var'!$K$11+COUNTIF(BDD!H163:AR163,8)*'ButsMPG + Var'!$K$10+COUNTIF(BDD!H163:AR163,7)*'ButsMPG + Var'!$K$9+COUNTIF(BDD!H163:AR163,6)*'ButsMPG + Var'!$K$8+COUNTIF(BDD!H163:AR163,5)*'ButsMPG + Var'!$K$7+COUNTIF(BDD!H163:AR163,4)*'ButsMPG + Var'!$K$6+COUNTIF(BDD!H163:AR163,3)*'ButsMPG + Var'!$K$5+COUNTIF(BDD!H163:AR163,2)*'ButsMPG + Var'!$K$4+COUNTIF(BDD!H163:AR163,1)*'ButsMPG + Var'!$K$3,IF(C160="M",COUNTIF(BDD!H163:AR163,10)*'ButsMPG + Var'!$K$22+COUNTIF(BDD!H163:AR163,9)*'ButsMPG + Var'!$K$21+COUNTIF(BDD!H163:AR163,8)*'ButsMPG + Var'!$K$20+COUNTIF(BDD!H163:AR163,7)*'ButsMPG + Var'!$K$19+COUNTIF(BDD!H163:AR163,6)*'ButsMPG + Var'!$K$18+COUNTIF(BDD!H163:AR163,5)*'ButsMPG + Var'!$K$17+COUNTIF(BDD!H163:AR163,4)*'ButsMPG + Var'!$K$16+COUNTIF(BDD!H163:AR163,3)*'ButsMPG + Var'!$K$15+COUNTIF(BDD!H163:AR163,2)*'ButsMPG + Var'!$K$14+COUNTIF(BDD!H163:AR163,1)*'ButsMPG + Var'!$K$13,IF(C160="D",COUNTIF(BDD!H163:AR163,10)*'ButsMPG + Var'!$K$32+COUNTIF(BDD!H163:AR163,9)*'ButsMPG + Var'!$K$31+COUNTIF(BDD!H163:AR163,8)*'ButsMPG + Var'!$K$30+COUNTIF(BDD!H163:AR163,7)*'ButsMPG + Var'!$K$29+COUNTIF(BDD!H163:AR163,6)*'ButsMPG + Var'!$K$28+COUNTIF(BDD!H163:AR163,5)*'ButsMPG + Var'!$K$27+COUNTIF(BDD!H163:AR163,4)*'ButsMPG + Var'!$K$26+COUNTIF(BDD!H163:AR163,3)*'ButsMPG + Var'!$K$25+COUNTIF(BDD!H163:AR163,2)*'ButsMPG + Var'!$K$24+COUNTIF(BDD!H163:AR163,1)*'ButsMPG + Var'!$K$23,0)))</f>
        <v>0</v>
      </c>
      <c r="H160" s="25">
        <f t="shared" si="3"/>
        <v>0</v>
      </c>
      <c r="I160" s="25">
        <f>BDD!G163</f>
        <v>0</v>
      </c>
      <c r="J160" s="25">
        <f>SUMPRODUCT(BDD!H163:AS163,'ButsMPG + Var'!$B$46:$AM$46)</f>
        <v>0</v>
      </c>
      <c r="K160" s="25" t="e">
        <f>10*('ButsMPG + Var'!$H$37*J160/MAX(J:J)+'ButsMPG + Var'!$G$37*H160/MAX(H:H))</f>
        <v>#DIV/0!</v>
      </c>
      <c r="L160" s="1">
        <f>IF(ISNA(VLOOKUP(B160,PrixMini!$B$3:$E$573,4,FALSE)),1,VLOOKUP(B160,PrixMini!$B$3:$E$573,4,FALSE))</f>
        <v>1</v>
      </c>
      <c r="M160" s="25" t="e">
        <f>IF(ROUND(CalculCotation!$D$3*EXP(CalculCotation!$C$3*K160)-CalculCotation!$D$3+1,0)&gt;L160,ROUND(CalculCotation!$D$3*EXP(CalculCotation!$C$3*K160)-CalculCotation!$D$3+1,0),L160)</f>
        <v>#DIV/0!</v>
      </c>
    </row>
    <row r="161" spans="2:13" x14ac:dyDescent="0.3">
      <c r="B161" s="1">
        <f>BDD!C164</f>
        <v>0</v>
      </c>
      <c r="C161" s="1">
        <f>BDD!B164</f>
        <v>0</v>
      </c>
      <c r="D161" s="1">
        <f>BDD!A164</f>
        <v>0</v>
      </c>
      <c r="E161" s="1">
        <f>BDD!D164</f>
        <v>0</v>
      </c>
      <c r="F161" s="1">
        <f>BDD!F164</f>
        <v>0</v>
      </c>
      <c r="G161" s="25">
        <f>'ButsMPG + Var'!$I$39*IF(C161="A",COUNTIF(BDD!H164:AR164,10)*'ButsMPG + Var'!$K$12+COUNTIF(BDD!H164:AR164,9)*'ButsMPG + Var'!$K$11+COUNTIF(BDD!H164:AR164,8)*'ButsMPG + Var'!$K$10+COUNTIF(BDD!H164:AR164,7)*'ButsMPG + Var'!$K$9+COUNTIF(BDD!H164:AR164,6)*'ButsMPG + Var'!$K$8+COUNTIF(BDD!H164:AR164,5)*'ButsMPG + Var'!$K$7+COUNTIF(BDD!H164:AR164,4)*'ButsMPG + Var'!$K$6+COUNTIF(BDD!H164:AR164,3)*'ButsMPG + Var'!$K$5+COUNTIF(BDD!H164:AR164,2)*'ButsMPG + Var'!$K$4+COUNTIF(BDD!H164:AR164,1)*'ButsMPG + Var'!$K$3,IF(C161="M",COUNTIF(BDD!H164:AR164,10)*'ButsMPG + Var'!$K$22+COUNTIF(BDD!H164:AR164,9)*'ButsMPG + Var'!$K$21+COUNTIF(BDD!H164:AR164,8)*'ButsMPG + Var'!$K$20+COUNTIF(BDD!H164:AR164,7)*'ButsMPG + Var'!$K$19+COUNTIF(BDD!H164:AR164,6)*'ButsMPG + Var'!$K$18+COUNTIF(BDD!H164:AR164,5)*'ButsMPG + Var'!$K$17+COUNTIF(BDD!H164:AR164,4)*'ButsMPG + Var'!$K$16+COUNTIF(BDD!H164:AR164,3)*'ButsMPG + Var'!$K$15+COUNTIF(BDD!H164:AR164,2)*'ButsMPG + Var'!$K$14+COUNTIF(BDD!H164:AR164,1)*'ButsMPG + Var'!$K$13,IF(C161="D",COUNTIF(BDD!H164:AR164,10)*'ButsMPG + Var'!$K$32+COUNTIF(BDD!H164:AR164,9)*'ButsMPG + Var'!$K$31+COUNTIF(BDD!H164:AR164,8)*'ButsMPG + Var'!$K$30+COUNTIF(BDD!H164:AR164,7)*'ButsMPG + Var'!$K$29+COUNTIF(BDD!H164:AR164,6)*'ButsMPG + Var'!$K$28+COUNTIF(BDD!H164:AR164,5)*'ButsMPG + Var'!$K$27+COUNTIF(BDD!H164:AR164,4)*'ButsMPG + Var'!$K$26+COUNTIF(BDD!H164:AR164,3)*'ButsMPG + Var'!$K$25+COUNTIF(BDD!H164:AR164,2)*'ButsMPG + Var'!$K$24+COUNTIF(BDD!H164:AR164,1)*'ButsMPG + Var'!$K$23,0)))</f>
        <v>0</v>
      </c>
      <c r="H161" s="25">
        <f t="shared" si="3"/>
        <v>0</v>
      </c>
      <c r="I161" s="25">
        <f>BDD!G164</f>
        <v>0</v>
      </c>
      <c r="J161" s="25">
        <f>SUMPRODUCT(BDD!H164:AS164,'ButsMPG + Var'!$B$46:$AM$46)</f>
        <v>0</v>
      </c>
      <c r="K161" s="25" t="e">
        <f>10*('ButsMPG + Var'!$H$37*J161/MAX(J:J)+'ButsMPG + Var'!$G$37*H161/MAX(H:H))</f>
        <v>#DIV/0!</v>
      </c>
      <c r="L161" s="1">
        <f>IF(ISNA(VLOOKUP(B161,PrixMini!$B$3:$E$573,4,FALSE)),1,VLOOKUP(B161,PrixMini!$B$3:$E$573,4,FALSE))</f>
        <v>1</v>
      </c>
      <c r="M161" s="25" t="e">
        <f>IF(ROUND(CalculCotation!$D$3*EXP(CalculCotation!$C$3*K161)-CalculCotation!$D$3+1,0)&gt;L161,ROUND(CalculCotation!$D$3*EXP(CalculCotation!$C$3*K161)-CalculCotation!$D$3+1,0),L161)</f>
        <v>#DIV/0!</v>
      </c>
    </row>
    <row r="162" spans="2:13" x14ac:dyDescent="0.3">
      <c r="B162" s="1">
        <f>BDD!C165</f>
        <v>0</v>
      </c>
      <c r="C162" s="1">
        <f>BDD!B165</f>
        <v>0</v>
      </c>
      <c r="D162" s="1">
        <f>BDD!A165</f>
        <v>0</v>
      </c>
      <c r="E162" s="1">
        <f>BDD!D165</f>
        <v>0</v>
      </c>
      <c r="F162" s="1">
        <f>BDD!F165</f>
        <v>0</v>
      </c>
      <c r="G162" s="25">
        <f>'ButsMPG + Var'!$I$39*IF(C162="A",COUNTIF(BDD!H165:AR165,10)*'ButsMPG + Var'!$K$12+COUNTIF(BDD!H165:AR165,9)*'ButsMPG + Var'!$K$11+COUNTIF(BDD!H165:AR165,8)*'ButsMPG + Var'!$K$10+COUNTIF(BDD!H165:AR165,7)*'ButsMPG + Var'!$K$9+COUNTIF(BDD!H165:AR165,6)*'ButsMPG + Var'!$K$8+COUNTIF(BDD!H165:AR165,5)*'ButsMPG + Var'!$K$7+COUNTIF(BDD!H165:AR165,4)*'ButsMPG + Var'!$K$6+COUNTIF(BDD!H165:AR165,3)*'ButsMPG + Var'!$K$5+COUNTIF(BDD!H165:AR165,2)*'ButsMPG + Var'!$K$4+COUNTIF(BDD!H165:AR165,1)*'ButsMPG + Var'!$K$3,IF(C162="M",COUNTIF(BDD!H165:AR165,10)*'ButsMPG + Var'!$K$22+COUNTIF(BDD!H165:AR165,9)*'ButsMPG + Var'!$K$21+COUNTIF(BDD!H165:AR165,8)*'ButsMPG + Var'!$K$20+COUNTIF(BDD!H165:AR165,7)*'ButsMPG + Var'!$K$19+COUNTIF(BDD!H165:AR165,6)*'ButsMPG + Var'!$K$18+COUNTIF(BDD!H165:AR165,5)*'ButsMPG + Var'!$K$17+COUNTIF(BDD!H165:AR165,4)*'ButsMPG + Var'!$K$16+COUNTIF(BDD!H165:AR165,3)*'ButsMPG + Var'!$K$15+COUNTIF(BDD!H165:AR165,2)*'ButsMPG + Var'!$K$14+COUNTIF(BDD!H165:AR165,1)*'ButsMPG + Var'!$K$13,IF(C162="D",COUNTIF(BDD!H165:AR165,10)*'ButsMPG + Var'!$K$32+COUNTIF(BDD!H165:AR165,9)*'ButsMPG + Var'!$K$31+COUNTIF(BDD!H165:AR165,8)*'ButsMPG + Var'!$K$30+COUNTIF(BDD!H165:AR165,7)*'ButsMPG + Var'!$K$29+COUNTIF(BDD!H165:AR165,6)*'ButsMPG + Var'!$K$28+COUNTIF(BDD!H165:AR165,5)*'ButsMPG + Var'!$K$27+COUNTIF(BDD!H165:AR165,4)*'ButsMPG + Var'!$K$26+COUNTIF(BDD!H165:AR165,3)*'ButsMPG + Var'!$K$25+COUNTIF(BDD!H165:AR165,2)*'ButsMPG + Var'!$K$24+COUNTIF(BDD!H165:AR165,1)*'ButsMPG + Var'!$K$23,0)))</f>
        <v>0</v>
      </c>
      <c r="H162" s="25">
        <f t="shared" si="3"/>
        <v>0</v>
      </c>
      <c r="I162" s="25">
        <f>BDD!G165</f>
        <v>0</v>
      </c>
      <c r="J162" s="25">
        <f>SUMPRODUCT(BDD!H165:AS165,'ButsMPG + Var'!$B$46:$AM$46)</f>
        <v>0</v>
      </c>
      <c r="K162" s="25" t="e">
        <f>10*('ButsMPG + Var'!$H$37*J162/MAX(J:J)+'ButsMPG + Var'!$G$37*H162/MAX(H:H))</f>
        <v>#DIV/0!</v>
      </c>
      <c r="L162" s="1">
        <f>IF(ISNA(VLOOKUP(B162,PrixMini!$B$3:$E$573,4,FALSE)),1,VLOOKUP(B162,PrixMini!$B$3:$E$573,4,FALSE))</f>
        <v>1</v>
      </c>
      <c r="M162" s="25" t="e">
        <f>IF(ROUND(CalculCotation!$D$3*EXP(CalculCotation!$C$3*K162)-CalculCotation!$D$3+1,0)&gt;L162,ROUND(CalculCotation!$D$3*EXP(CalculCotation!$C$3*K162)-CalculCotation!$D$3+1,0),L162)</f>
        <v>#DIV/0!</v>
      </c>
    </row>
    <row r="163" spans="2:13" x14ac:dyDescent="0.3">
      <c r="B163" s="1">
        <f>BDD!C166</f>
        <v>0</v>
      </c>
      <c r="C163" s="1">
        <f>BDD!B166</f>
        <v>0</v>
      </c>
      <c r="D163" s="1">
        <f>BDD!A166</f>
        <v>0</v>
      </c>
      <c r="E163" s="1">
        <f>BDD!D166</f>
        <v>0</v>
      </c>
      <c r="F163" s="1">
        <f>BDD!F166</f>
        <v>0</v>
      </c>
      <c r="G163" s="25">
        <f>'ButsMPG + Var'!$I$39*IF(C163="A",COUNTIF(BDD!H166:AR166,10)*'ButsMPG + Var'!$K$12+COUNTIF(BDD!H166:AR166,9)*'ButsMPG + Var'!$K$11+COUNTIF(BDD!H166:AR166,8)*'ButsMPG + Var'!$K$10+COUNTIF(BDD!H166:AR166,7)*'ButsMPG + Var'!$K$9+COUNTIF(BDD!H166:AR166,6)*'ButsMPG + Var'!$K$8+COUNTIF(BDD!H166:AR166,5)*'ButsMPG + Var'!$K$7+COUNTIF(BDD!H166:AR166,4)*'ButsMPG + Var'!$K$6+COUNTIF(BDD!H166:AR166,3)*'ButsMPG + Var'!$K$5+COUNTIF(BDD!H166:AR166,2)*'ButsMPG + Var'!$K$4+COUNTIF(BDD!H166:AR166,1)*'ButsMPG + Var'!$K$3,IF(C163="M",COUNTIF(BDD!H166:AR166,10)*'ButsMPG + Var'!$K$22+COUNTIF(BDD!H166:AR166,9)*'ButsMPG + Var'!$K$21+COUNTIF(BDD!H166:AR166,8)*'ButsMPG + Var'!$K$20+COUNTIF(BDD!H166:AR166,7)*'ButsMPG + Var'!$K$19+COUNTIF(BDD!H166:AR166,6)*'ButsMPG + Var'!$K$18+COUNTIF(BDD!H166:AR166,5)*'ButsMPG + Var'!$K$17+COUNTIF(BDD!H166:AR166,4)*'ButsMPG + Var'!$K$16+COUNTIF(BDD!H166:AR166,3)*'ButsMPG + Var'!$K$15+COUNTIF(BDD!H166:AR166,2)*'ButsMPG + Var'!$K$14+COUNTIF(BDD!H166:AR166,1)*'ButsMPG + Var'!$K$13,IF(C163="D",COUNTIF(BDD!H166:AR166,10)*'ButsMPG + Var'!$K$32+COUNTIF(BDD!H166:AR166,9)*'ButsMPG + Var'!$K$31+COUNTIF(BDD!H166:AR166,8)*'ButsMPG + Var'!$K$30+COUNTIF(BDD!H166:AR166,7)*'ButsMPG + Var'!$K$29+COUNTIF(BDD!H166:AR166,6)*'ButsMPG + Var'!$K$28+COUNTIF(BDD!H166:AR166,5)*'ButsMPG + Var'!$K$27+COUNTIF(BDD!H166:AR166,4)*'ButsMPG + Var'!$K$26+COUNTIF(BDD!H166:AR166,3)*'ButsMPG + Var'!$K$25+COUNTIF(BDD!H166:AR166,2)*'ButsMPG + Var'!$K$24+COUNTIF(BDD!H166:AR166,1)*'ButsMPG + Var'!$K$23,0)))</f>
        <v>0</v>
      </c>
      <c r="H163" s="25">
        <f t="shared" si="3"/>
        <v>0</v>
      </c>
      <c r="I163" s="25">
        <f>BDD!G166</f>
        <v>0</v>
      </c>
      <c r="J163" s="25">
        <f>SUMPRODUCT(BDD!H166:AS166,'ButsMPG + Var'!$B$46:$AM$46)</f>
        <v>0</v>
      </c>
      <c r="K163" s="25" t="e">
        <f>10*('ButsMPG + Var'!$H$37*J163/MAX(J:J)+'ButsMPG + Var'!$G$37*H163/MAX(H:H))</f>
        <v>#DIV/0!</v>
      </c>
      <c r="L163" s="1">
        <f>IF(ISNA(VLOOKUP(B163,PrixMini!$B$3:$E$573,4,FALSE)),1,VLOOKUP(B163,PrixMini!$B$3:$E$573,4,FALSE))</f>
        <v>1</v>
      </c>
      <c r="M163" s="25" t="e">
        <f>IF(ROUND(CalculCotation!$D$3*EXP(CalculCotation!$C$3*K163)-CalculCotation!$D$3+1,0)&gt;L163,ROUND(CalculCotation!$D$3*EXP(CalculCotation!$C$3*K163)-CalculCotation!$D$3+1,0),L163)</f>
        <v>#DIV/0!</v>
      </c>
    </row>
    <row r="164" spans="2:13" x14ac:dyDescent="0.3">
      <c r="B164" s="1">
        <f>BDD!C167</f>
        <v>0</v>
      </c>
      <c r="C164" s="1">
        <f>BDD!B167</f>
        <v>0</v>
      </c>
      <c r="D164" s="1">
        <f>BDD!A167</f>
        <v>0</v>
      </c>
      <c r="E164" s="1">
        <f>BDD!D167</f>
        <v>0</v>
      </c>
      <c r="F164" s="1">
        <f>BDD!F167</f>
        <v>0</v>
      </c>
      <c r="G164" s="25">
        <f>'ButsMPG + Var'!$I$39*IF(C164="A",COUNTIF(BDD!H167:AR167,10)*'ButsMPG + Var'!$K$12+COUNTIF(BDD!H167:AR167,9)*'ButsMPG + Var'!$K$11+COUNTIF(BDD!H167:AR167,8)*'ButsMPG + Var'!$K$10+COUNTIF(BDD!H167:AR167,7)*'ButsMPG + Var'!$K$9+COUNTIF(BDD!H167:AR167,6)*'ButsMPG + Var'!$K$8+COUNTIF(BDD!H167:AR167,5)*'ButsMPG + Var'!$K$7+COUNTIF(BDD!H167:AR167,4)*'ButsMPG + Var'!$K$6+COUNTIF(BDD!H167:AR167,3)*'ButsMPG + Var'!$K$5+COUNTIF(BDD!H167:AR167,2)*'ButsMPG + Var'!$K$4+COUNTIF(BDD!H167:AR167,1)*'ButsMPG + Var'!$K$3,IF(C164="M",COUNTIF(BDD!H167:AR167,10)*'ButsMPG + Var'!$K$22+COUNTIF(BDD!H167:AR167,9)*'ButsMPG + Var'!$K$21+COUNTIF(BDD!H167:AR167,8)*'ButsMPG + Var'!$K$20+COUNTIF(BDD!H167:AR167,7)*'ButsMPG + Var'!$K$19+COUNTIF(BDD!H167:AR167,6)*'ButsMPG + Var'!$K$18+COUNTIF(BDD!H167:AR167,5)*'ButsMPG + Var'!$K$17+COUNTIF(BDD!H167:AR167,4)*'ButsMPG + Var'!$K$16+COUNTIF(BDD!H167:AR167,3)*'ButsMPG + Var'!$K$15+COUNTIF(BDD!H167:AR167,2)*'ButsMPG + Var'!$K$14+COUNTIF(BDD!H167:AR167,1)*'ButsMPG + Var'!$K$13,IF(C164="D",COUNTIF(BDD!H167:AR167,10)*'ButsMPG + Var'!$K$32+COUNTIF(BDD!H167:AR167,9)*'ButsMPG + Var'!$K$31+COUNTIF(BDD!H167:AR167,8)*'ButsMPG + Var'!$K$30+COUNTIF(BDD!H167:AR167,7)*'ButsMPG + Var'!$K$29+COUNTIF(BDD!H167:AR167,6)*'ButsMPG + Var'!$K$28+COUNTIF(BDD!H167:AR167,5)*'ButsMPG + Var'!$K$27+COUNTIF(BDD!H167:AR167,4)*'ButsMPG + Var'!$K$26+COUNTIF(BDD!H167:AR167,3)*'ButsMPG + Var'!$K$25+COUNTIF(BDD!H167:AR167,2)*'ButsMPG + Var'!$K$24+COUNTIF(BDD!H167:AR167,1)*'ButsMPG + Var'!$K$23,0)))</f>
        <v>0</v>
      </c>
      <c r="H164" s="25">
        <f t="shared" si="3"/>
        <v>0</v>
      </c>
      <c r="I164" s="25">
        <f>BDD!G167</f>
        <v>0</v>
      </c>
      <c r="J164" s="25">
        <f>SUMPRODUCT(BDD!H167:AS167,'ButsMPG + Var'!$B$46:$AM$46)</f>
        <v>0</v>
      </c>
      <c r="K164" s="25" t="e">
        <f>10*('ButsMPG + Var'!$H$37*J164/MAX(J:J)+'ButsMPG + Var'!$G$37*H164/MAX(H:H))</f>
        <v>#DIV/0!</v>
      </c>
      <c r="L164" s="1">
        <f>IF(ISNA(VLOOKUP(B164,PrixMini!$B$3:$E$573,4,FALSE)),1,VLOOKUP(B164,PrixMini!$B$3:$E$573,4,FALSE))</f>
        <v>1</v>
      </c>
      <c r="M164" s="25" t="e">
        <f>IF(ROUND(CalculCotation!$D$3*EXP(CalculCotation!$C$3*K164)-CalculCotation!$D$3+1,0)&gt;L164,ROUND(CalculCotation!$D$3*EXP(CalculCotation!$C$3*K164)-CalculCotation!$D$3+1,0),L164)</f>
        <v>#DIV/0!</v>
      </c>
    </row>
    <row r="165" spans="2:13" x14ac:dyDescent="0.3">
      <c r="B165" s="1">
        <f>BDD!C168</f>
        <v>0</v>
      </c>
      <c r="C165" s="1">
        <f>BDD!B168</f>
        <v>0</v>
      </c>
      <c r="D165" s="1">
        <f>BDD!A168</f>
        <v>0</v>
      </c>
      <c r="E165" s="1">
        <f>BDD!D168</f>
        <v>0</v>
      </c>
      <c r="F165" s="1">
        <f>BDD!F168</f>
        <v>0</v>
      </c>
      <c r="G165" s="25">
        <f>'ButsMPG + Var'!$I$39*IF(C165="A",COUNTIF(BDD!H168:AR168,10)*'ButsMPG + Var'!$K$12+COUNTIF(BDD!H168:AR168,9)*'ButsMPG + Var'!$K$11+COUNTIF(BDD!H168:AR168,8)*'ButsMPG + Var'!$K$10+COUNTIF(BDD!H168:AR168,7)*'ButsMPG + Var'!$K$9+COUNTIF(BDD!H168:AR168,6)*'ButsMPG + Var'!$K$8+COUNTIF(BDD!H168:AR168,5)*'ButsMPG + Var'!$K$7+COUNTIF(BDD!H168:AR168,4)*'ButsMPG + Var'!$K$6+COUNTIF(BDD!H168:AR168,3)*'ButsMPG + Var'!$K$5+COUNTIF(BDD!H168:AR168,2)*'ButsMPG + Var'!$K$4+COUNTIF(BDD!H168:AR168,1)*'ButsMPG + Var'!$K$3,IF(C165="M",COUNTIF(BDD!H168:AR168,10)*'ButsMPG + Var'!$K$22+COUNTIF(BDD!H168:AR168,9)*'ButsMPG + Var'!$K$21+COUNTIF(BDD!H168:AR168,8)*'ButsMPG + Var'!$K$20+COUNTIF(BDD!H168:AR168,7)*'ButsMPG + Var'!$K$19+COUNTIF(BDD!H168:AR168,6)*'ButsMPG + Var'!$K$18+COUNTIF(BDD!H168:AR168,5)*'ButsMPG + Var'!$K$17+COUNTIF(BDD!H168:AR168,4)*'ButsMPG + Var'!$K$16+COUNTIF(BDD!H168:AR168,3)*'ButsMPG + Var'!$K$15+COUNTIF(BDD!H168:AR168,2)*'ButsMPG + Var'!$K$14+COUNTIF(BDD!H168:AR168,1)*'ButsMPG + Var'!$K$13,IF(C165="D",COUNTIF(BDD!H168:AR168,10)*'ButsMPG + Var'!$K$32+COUNTIF(BDD!H168:AR168,9)*'ButsMPG + Var'!$K$31+COUNTIF(BDD!H168:AR168,8)*'ButsMPG + Var'!$K$30+COUNTIF(BDD!H168:AR168,7)*'ButsMPG + Var'!$K$29+COUNTIF(BDD!H168:AR168,6)*'ButsMPG + Var'!$K$28+COUNTIF(BDD!H168:AR168,5)*'ButsMPG + Var'!$K$27+COUNTIF(BDD!H168:AR168,4)*'ButsMPG + Var'!$K$26+COUNTIF(BDD!H168:AR168,3)*'ButsMPG + Var'!$K$25+COUNTIF(BDD!H168:AR168,2)*'ButsMPG + Var'!$K$24+COUNTIF(BDD!H168:AR168,1)*'ButsMPG + Var'!$K$23,0)))</f>
        <v>0</v>
      </c>
      <c r="H165" s="25">
        <f t="shared" si="3"/>
        <v>0</v>
      </c>
      <c r="I165" s="25">
        <f>BDD!G168</f>
        <v>0</v>
      </c>
      <c r="J165" s="25">
        <f>SUMPRODUCT(BDD!H168:AS168,'ButsMPG + Var'!$B$46:$AM$46)</f>
        <v>0</v>
      </c>
      <c r="K165" s="25" t="e">
        <f>10*('ButsMPG + Var'!$H$37*J165/MAX(J:J)+'ButsMPG + Var'!$G$37*H165/MAX(H:H))</f>
        <v>#DIV/0!</v>
      </c>
      <c r="L165" s="1">
        <f>IF(ISNA(VLOOKUP(B165,PrixMini!$B$3:$E$573,4,FALSE)),1,VLOOKUP(B165,PrixMini!$B$3:$E$573,4,FALSE))</f>
        <v>1</v>
      </c>
      <c r="M165" s="25" t="e">
        <f>IF(ROUND(CalculCotation!$D$3*EXP(CalculCotation!$C$3*K165)-CalculCotation!$D$3+1,0)&gt;L165,ROUND(CalculCotation!$D$3*EXP(CalculCotation!$C$3*K165)-CalculCotation!$D$3+1,0),L165)</f>
        <v>#DIV/0!</v>
      </c>
    </row>
    <row r="166" spans="2:13" x14ac:dyDescent="0.3">
      <c r="B166" s="1">
        <f>BDD!C169</f>
        <v>0</v>
      </c>
      <c r="C166" s="1">
        <f>BDD!B169</f>
        <v>0</v>
      </c>
      <c r="D166" s="1">
        <f>BDD!A169</f>
        <v>0</v>
      </c>
      <c r="E166" s="1">
        <f>BDD!D169</f>
        <v>0</v>
      </c>
      <c r="F166" s="1">
        <f>BDD!F169</f>
        <v>0</v>
      </c>
      <c r="G166" s="25">
        <f>'ButsMPG + Var'!$I$39*IF(C166="A",COUNTIF(BDD!H169:AR169,10)*'ButsMPG + Var'!$K$12+COUNTIF(BDD!H169:AR169,9)*'ButsMPG + Var'!$K$11+COUNTIF(BDD!H169:AR169,8)*'ButsMPG + Var'!$K$10+COUNTIF(BDD!H169:AR169,7)*'ButsMPG + Var'!$K$9+COUNTIF(BDD!H169:AR169,6)*'ButsMPG + Var'!$K$8+COUNTIF(BDD!H169:AR169,5)*'ButsMPG + Var'!$K$7+COUNTIF(BDD!H169:AR169,4)*'ButsMPG + Var'!$K$6+COUNTIF(BDD!H169:AR169,3)*'ButsMPG + Var'!$K$5+COUNTIF(BDD!H169:AR169,2)*'ButsMPG + Var'!$K$4+COUNTIF(BDD!H169:AR169,1)*'ButsMPG + Var'!$K$3,IF(C166="M",COUNTIF(BDD!H169:AR169,10)*'ButsMPG + Var'!$K$22+COUNTIF(BDD!H169:AR169,9)*'ButsMPG + Var'!$K$21+COUNTIF(BDD!H169:AR169,8)*'ButsMPG + Var'!$K$20+COUNTIF(BDD!H169:AR169,7)*'ButsMPG + Var'!$K$19+COUNTIF(BDD!H169:AR169,6)*'ButsMPG + Var'!$K$18+COUNTIF(BDD!H169:AR169,5)*'ButsMPG + Var'!$K$17+COUNTIF(BDD!H169:AR169,4)*'ButsMPG + Var'!$K$16+COUNTIF(BDD!H169:AR169,3)*'ButsMPG + Var'!$K$15+COUNTIF(BDD!H169:AR169,2)*'ButsMPG + Var'!$K$14+COUNTIF(BDD!H169:AR169,1)*'ButsMPG + Var'!$K$13,IF(C166="D",COUNTIF(BDD!H169:AR169,10)*'ButsMPG + Var'!$K$32+COUNTIF(BDD!H169:AR169,9)*'ButsMPG + Var'!$K$31+COUNTIF(BDD!H169:AR169,8)*'ButsMPG + Var'!$K$30+COUNTIF(BDD!H169:AR169,7)*'ButsMPG + Var'!$K$29+COUNTIF(BDD!H169:AR169,6)*'ButsMPG + Var'!$K$28+COUNTIF(BDD!H169:AR169,5)*'ButsMPG + Var'!$K$27+COUNTIF(BDD!H169:AR169,4)*'ButsMPG + Var'!$K$26+COUNTIF(BDD!H169:AR169,3)*'ButsMPG + Var'!$K$25+COUNTIF(BDD!H169:AR169,2)*'ButsMPG + Var'!$K$24+COUNTIF(BDD!H169:AR169,1)*'ButsMPG + Var'!$K$23,0)))</f>
        <v>0</v>
      </c>
      <c r="H166" s="25">
        <f t="shared" si="3"/>
        <v>0</v>
      </c>
      <c r="I166" s="25">
        <f>BDD!G169</f>
        <v>0</v>
      </c>
      <c r="J166" s="25">
        <f>SUMPRODUCT(BDD!H169:AS169,'ButsMPG + Var'!$B$46:$AM$46)</f>
        <v>0</v>
      </c>
      <c r="K166" s="25" t="e">
        <f>10*('ButsMPG + Var'!$H$37*J166/MAX(J:J)+'ButsMPG + Var'!$G$37*H166/MAX(H:H))</f>
        <v>#DIV/0!</v>
      </c>
      <c r="L166" s="1">
        <f>IF(ISNA(VLOOKUP(B166,PrixMini!$B$3:$E$573,4,FALSE)),1,VLOOKUP(B166,PrixMini!$B$3:$E$573,4,FALSE))</f>
        <v>1</v>
      </c>
      <c r="M166" s="25" t="e">
        <f>IF(ROUND(CalculCotation!$D$3*EXP(CalculCotation!$C$3*K166)-CalculCotation!$D$3+1,0)&gt;L166,ROUND(CalculCotation!$D$3*EXP(CalculCotation!$C$3*K166)-CalculCotation!$D$3+1,0),L166)</f>
        <v>#DIV/0!</v>
      </c>
    </row>
    <row r="167" spans="2:13" x14ac:dyDescent="0.3">
      <c r="B167" s="1">
        <f>BDD!C170</f>
        <v>0</v>
      </c>
      <c r="C167" s="1">
        <f>BDD!B170</f>
        <v>0</v>
      </c>
      <c r="D167" s="1">
        <f>BDD!A170</f>
        <v>0</v>
      </c>
      <c r="E167" s="1">
        <f>BDD!D170</f>
        <v>0</v>
      </c>
      <c r="F167" s="1">
        <f>BDD!F170</f>
        <v>0</v>
      </c>
      <c r="G167" s="25">
        <f>'ButsMPG + Var'!$I$39*IF(C167="A",COUNTIF(BDD!H170:AR170,10)*'ButsMPG + Var'!$K$12+COUNTIF(BDD!H170:AR170,9)*'ButsMPG + Var'!$K$11+COUNTIF(BDD!H170:AR170,8)*'ButsMPG + Var'!$K$10+COUNTIF(BDD!H170:AR170,7)*'ButsMPG + Var'!$K$9+COUNTIF(BDD!H170:AR170,6)*'ButsMPG + Var'!$K$8+COUNTIF(BDD!H170:AR170,5)*'ButsMPG + Var'!$K$7+COUNTIF(BDD!H170:AR170,4)*'ButsMPG + Var'!$K$6+COUNTIF(BDD!H170:AR170,3)*'ButsMPG + Var'!$K$5+COUNTIF(BDD!H170:AR170,2)*'ButsMPG + Var'!$K$4+COUNTIF(BDD!H170:AR170,1)*'ButsMPG + Var'!$K$3,IF(C167="M",COUNTIF(BDD!H170:AR170,10)*'ButsMPG + Var'!$K$22+COUNTIF(BDD!H170:AR170,9)*'ButsMPG + Var'!$K$21+COUNTIF(BDD!H170:AR170,8)*'ButsMPG + Var'!$K$20+COUNTIF(BDD!H170:AR170,7)*'ButsMPG + Var'!$K$19+COUNTIF(BDD!H170:AR170,6)*'ButsMPG + Var'!$K$18+COUNTIF(BDD!H170:AR170,5)*'ButsMPG + Var'!$K$17+COUNTIF(BDD!H170:AR170,4)*'ButsMPG + Var'!$K$16+COUNTIF(BDD!H170:AR170,3)*'ButsMPG + Var'!$K$15+COUNTIF(BDD!H170:AR170,2)*'ButsMPG + Var'!$K$14+COUNTIF(BDD!H170:AR170,1)*'ButsMPG + Var'!$K$13,IF(C167="D",COUNTIF(BDD!H170:AR170,10)*'ButsMPG + Var'!$K$32+COUNTIF(BDD!H170:AR170,9)*'ButsMPG + Var'!$K$31+COUNTIF(BDD!H170:AR170,8)*'ButsMPG + Var'!$K$30+COUNTIF(BDD!H170:AR170,7)*'ButsMPG + Var'!$K$29+COUNTIF(BDD!H170:AR170,6)*'ButsMPG + Var'!$K$28+COUNTIF(BDD!H170:AR170,5)*'ButsMPG + Var'!$K$27+COUNTIF(BDD!H170:AR170,4)*'ButsMPG + Var'!$K$26+COUNTIF(BDD!H170:AR170,3)*'ButsMPG + Var'!$K$25+COUNTIF(BDD!H170:AR170,2)*'ButsMPG + Var'!$K$24+COUNTIF(BDD!H170:AR170,1)*'ButsMPG + Var'!$K$23,0)))</f>
        <v>0</v>
      </c>
      <c r="H167" s="25">
        <f t="shared" si="3"/>
        <v>0</v>
      </c>
      <c r="I167" s="25">
        <f>BDD!G170</f>
        <v>0</v>
      </c>
      <c r="J167" s="25">
        <f>SUMPRODUCT(BDD!H170:AS170,'ButsMPG + Var'!$B$46:$AM$46)</f>
        <v>0</v>
      </c>
      <c r="K167" s="25" t="e">
        <f>10*('ButsMPG + Var'!$H$37*J167/MAX(J:J)+'ButsMPG + Var'!$G$37*H167/MAX(H:H))</f>
        <v>#DIV/0!</v>
      </c>
      <c r="L167" s="1">
        <f>IF(ISNA(VLOOKUP(B167,PrixMini!$B$3:$E$573,4,FALSE)),1,VLOOKUP(B167,PrixMini!$B$3:$E$573,4,FALSE))</f>
        <v>1</v>
      </c>
      <c r="M167" s="25" t="e">
        <f>IF(ROUND(CalculCotation!$D$3*EXP(CalculCotation!$C$3*K167)-CalculCotation!$D$3+1,0)&gt;L167,ROUND(CalculCotation!$D$3*EXP(CalculCotation!$C$3*K167)-CalculCotation!$D$3+1,0),L167)</f>
        <v>#DIV/0!</v>
      </c>
    </row>
    <row r="168" spans="2:13" x14ac:dyDescent="0.3">
      <c r="B168" s="1">
        <f>BDD!C171</f>
        <v>0</v>
      </c>
      <c r="C168" s="1">
        <f>BDD!B171</f>
        <v>0</v>
      </c>
      <c r="D168" s="1">
        <f>BDD!A171</f>
        <v>0</v>
      </c>
      <c r="E168" s="1">
        <f>BDD!D171</f>
        <v>0</v>
      </c>
      <c r="F168" s="1">
        <f>BDD!F171</f>
        <v>0</v>
      </c>
      <c r="G168" s="25">
        <f>'ButsMPG + Var'!$I$39*IF(C168="A",COUNTIF(BDD!H171:AR171,10)*'ButsMPG + Var'!$K$12+COUNTIF(BDD!H171:AR171,9)*'ButsMPG + Var'!$K$11+COUNTIF(BDD!H171:AR171,8)*'ButsMPG + Var'!$K$10+COUNTIF(BDD!H171:AR171,7)*'ButsMPG + Var'!$K$9+COUNTIF(BDD!H171:AR171,6)*'ButsMPG + Var'!$K$8+COUNTIF(BDD!H171:AR171,5)*'ButsMPG + Var'!$K$7+COUNTIF(BDD!H171:AR171,4)*'ButsMPG + Var'!$K$6+COUNTIF(BDD!H171:AR171,3)*'ButsMPG + Var'!$K$5+COUNTIF(BDD!H171:AR171,2)*'ButsMPG + Var'!$K$4+COUNTIF(BDD!H171:AR171,1)*'ButsMPG + Var'!$K$3,IF(C168="M",COUNTIF(BDD!H171:AR171,10)*'ButsMPG + Var'!$K$22+COUNTIF(BDD!H171:AR171,9)*'ButsMPG + Var'!$K$21+COUNTIF(BDD!H171:AR171,8)*'ButsMPG + Var'!$K$20+COUNTIF(BDD!H171:AR171,7)*'ButsMPG + Var'!$K$19+COUNTIF(BDD!H171:AR171,6)*'ButsMPG + Var'!$K$18+COUNTIF(BDD!H171:AR171,5)*'ButsMPG + Var'!$K$17+COUNTIF(BDD!H171:AR171,4)*'ButsMPG + Var'!$K$16+COUNTIF(BDD!H171:AR171,3)*'ButsMPG + Var'!$K$15+COUNTIF(BDD!H171:AR171,2)*'ButsMPG + Var'!$K$14+COUNTIF(BDD!H171:AR171,1)*'ButsMPG + Var'!$K$13,IF(C168="D",COUNTIF(BDD!H171:AR171,10)*'ButsMPG + Var'!$K$32+COUNTIF(BDD!H171:AR171,9)*'ButsMPG + Var'!$K$31+COUNTIF(BDD!H171:AR171,8)*'ButsMPG + Var'!$K$30+COUNTIF(BDD!H171:AR171,7)*'ButsMPG + Var'!$K$29+COUNTIF(BDD!H171:AR171,6)*'ButsMPG + Var'!$K$28+COUNTIF(BDD!H171:AR171,5)*'ButsMPG + Var'!$K$27+COUNTIF(BDD!H171:AR171,4)*'ButsMPG + Var'!$K$26+COUNTIF(BDD!H171:AR171,3)*'ButsMPG + Var'!$K$25+COUNTIF(BDD!H171:AR171,2)*'ButsMPG + Var'!$K$24+COUNTIF(BDD!H171:AR171,1)*'ButsMPG + Var'!$K$23,0)))</f>
        <v>0</v>
      </c>
      <c r="H168" s="25">
        <f t="shared" si="3"/>
        <v>0</v>
      </c>
      <c r="I168" s="25">
        <f>BDD!G171</f>
        <v>0</v>
      </c>
      <c r="J168" s="25">
        <f>SUMPRODUCT(BDD!H171:AS171,'ButsMPG + Var'!$B$46:$AM$46)</f>
        <v>0</v>
      </c>
      <c r="K168" s="25" t="e">
        <f>10*('ButsMPG + Var'!$H$37*J168/MAX(J:J)+'ButsMPG + Var'!$G$37*H168/MAX(H:H))</f>
        <v>#DIV/0!</v>
      </c>
      <c r="L168" s="1">
        <f>IF(ISNA(VLOOKUP(B168,PrixMini!$B$3:$E$573,4,FALSE)),1,VLOOKUP(B168,PrixMini!$B$3:$E$573,4,FALSE))</f>
        <v>1</v>
      </c>
      <c r="M168" s="25" t="e">
        <f>IF(ROUND(CalculCotation!$D$3*EXP(CalculCotation!$C$3*K168)-CalculCotation!$D$3+1,0)&gt;L168,ROUND(CalculCotation!$D$3*EXP(CalculCotation!$C$3*K168)-CalculCotation!$D$3+1,0),L168)</f>
        <v>#DIV/0!</v>
      </c>
    </row>
    <row r="169" spans="2:13" x14ac:dyDescent="0.3">
      <c r="B169" s="1">
        <f>BDD!C172</f>
        <v>0</v>
      </c>
      <c r="C169" s="1">
        <f>BDD!B172</f>
        <v>0</v>
      </c>
      <c r="D169" s="1">
        <f>BDD!A172</f>
        <v>0</v>
      </c>
      <c r="E169" s="1">
        <f>BDD!D172</f>
        <v>0</v>
      </c>
      <c r="F169" s="1">
        <f>BDD!F172</f>
        <v>0</v>
      </c>
      <c r="G169" s="25">
        <f>'ButsMPG + Var'!$I$39*IF(C169="A",COUNTIF(BDD!H172:AR172,10)*'ButsMPG + Var'!$K$12+COUNTIF(BDD!H172:AR172,9)*'ButsMPG + Var'!$K$11+COUNTIF(BDD!H172:AR172,8)*'ButsMPG + Var'!$K$10+COUNTIF(BDD!H172:AR172,7)*'ButsMPG + Var'!$K$9+COUNTIF(BDD!H172:AR172,6)*'ButsMPG + Var'!$K$8+COUNTIF(BDD!H172:AR172,5)*'ButsMPG + Var'!$K$7+COUNTIF(BDD!H172:AR172,4)*'ButsMPG + Var'!$K$6+COUNTIF(BDD!H172:AR172,3)*'ButsMPG + Var'!$K$5+COUNTIF(BDD!H172:AR172,2)*'ButsMPG + Var'!$K$4+COUNTIF(BDD!H172:AR172,1)*'ButsMPG + Var'!$K$3,IF(C169="M",COUNTIF(BDD!H172:AR172,10)*'ButsMPG + Var'!$K$22+COUNTIF(BDD!H172:AR172,9)*'ButsMPG + Var'!$K$21+COUNTIF(BDD!H172:AR172,8)*'ButsMPG + Var'!$K$20+COUNTIF(BDD!H172:AR172,7)*'ButsMPG + Var'!$K$19+COUNTIF(BDD!H172:AR172,6)*'ButsMPG + Var'!$K$18+COUNTIF(BDD!H172:AR172,5)*'ButsMPG + Var'!$K$17+COUNTIF(BDD!H172:AR172,4)*'ButsMPG + Var'!$K$16+COUNTIF(BDD!H172:AR172,3)*'ButsMPG + Var'!$K$15+COUNTIF(BDD!H172:AR172,2)*'ButsMPG + Var'!$K$14+COUNTIF(BDD!H172:AR172,1)*'ButsMPG + Var'!$K$13,IF(C169="D",COUNTIF(BDD!H172:AR172,10)*'ButsMPG + Var'!$K$32+COUNTIF(BDD!H172:AR172,9)*'ButsMPG + Var'!$K$31+COUNTIF(BDD!H172:AR172,8)*'ButsMPG + Var'!$K$30+COUNTIF(BDD!H172:AR172,7)*'ButsMPG + Var'!$K$29+COUNTIF(BDD!H172:AR172,6)*'ButsMPG + Var'!$K$28+COUNTIF(BDD!H172:AR172,5)*'ButsMPG + Var'!$K$27+COUNTIF(BDD!H172:AR172,4)*'ButsMPG + Var'!$K$26+COUNTIF(BDD!H172:AR172,3)*'ButsMPG + Var'!$K$25+COUNTIF(BDD!H172:AR172,2)*'ButsMPG + Var'!$K$24+COUNTIF(BDD!H172:AR172,1)*'ButsMPG + Var'!$K$23,0)))</f>
        <v>0</v>
      </c>
      <c r="H169" s="25">
        <f t="shared" si="3"/>
        <v>0</v>
      </c>
      <c r="I169" s="25">
        <f>BDD!G172</f>
        <v>0</v>
      </c>
      <c r="J169" s="25">
        <f>SUMPRODUCT(BDD!H172:AS172,'ButsMPG + Var'!$B$46:$AM$46)</f>
        <v>0</v>
      </c>
      <c r="K169" s="25" t="e">
        <f>10*('ButsMPG + Var'!$H$37*J169/MAX(J:J)+'ButsMPG + Var'!$G$37*H169/MAX(H:H))</f>
        <v>#DIV/0!</v>
      </c>
      <c r="L169" s="1">
        <f>IF(ISNA(VLOOKUP(B169,PrixMini!$B$3:$E$573,4,FALSE)),1,VLOOKUP(B169,PrixMini!$B$3:$E$573,4,FALSE))</f>
        <v>1</v>
      </c>
      <c r="M169" s="25" t="e">
        <f>IF(ROUND(CalculCotation!$D$3*EXP(CalculCotation!$C$3*K169)-CalculCotation!$D$3+1,0)&gt;L169,ROUND(CalculCotation!$D$3*EXP(CalculCotation!$C$3*K169)-CalculCotation!$D$3+1,0),L169)</f>
        <v>#DIV/0!</v>
      </c>
    </row>
    <row r="170" spans="2:13" x14ac:dyDescent="0.3">
      <c r="B170" s="1">
        <f>BDD!C173</f>
        <v>0</v>
      </c>
      <c r="C170" s="1">
        <f>BDD!B173</f>
        <v>0</v>
      </c>
      <c r="D170" s="1">
        <f>BDD!A173</f>
        <v>0</v>
      </c>
      <c r="E170" s="1">
        <f>BDD!D173</f>
        <v>0</v>
      </c>
      <c r="F170" s="1">
        <f>BDD!F173</f>
        <v>0</v>
      </c>
      <c r="G170" s="25">
        <f>'ButsMPG + Var'!$I$39*IF(C170="A",COUNTIF(BDD!H173:AR173,10)*'ButsMPG + Var'!$K$12+COUNTIF(BDD!H173:AR173,9)*'ButsMPG + Var'!$K$11+COUNTIF(BDD!H173:AR173,8)*'ButsMPG + Var'!$K$10+COUNTIF(BDD!H173:AR173,7)*'ButsMPG + Var'!$K$9+COUNTIF(BDD!H173:AR173,6)*'ButsMPG + Var'!$K$8+COUNTIF(BDD!H173:AR173,5)*'ButsMPG + Var'!$K$7+COUNTIF(BDD!H173:AR173,4)*'ButsMPG + Var'!$K$6+COUNTIF(BDD!H173:AR173,3)*'ButsMPG + Var'!$K$5+COUNTIF(BDD!H173:AR173,2)*'ButsMPG + Var'!$K$4+COUNTIF(BDD!H173:AR173,1)*'ButsMPG + Var'!$K$3,IF(C170="M",COUNTIF(BDD!H173:AR173,10)*'ButsMPG + Var'!$K$22+COUNTIF(BDD!H173:AR173,9)*'ButsMPG + Var'!$K$21+COUNTIF(BDD!H173:AR173,8)*'ButsMPG + Var'!$K$20+COUNTIF(BDD!H173:AR173,7)*'ButsMPG + Var'!$K$19+COUNTIF(BDD!H173:AR173,6)*'ButsMPG + Var'!$K$18+COUNTIF(BDD!H173:AR173,5)*'ButsMPG + Var'!$K$17+COUNTIF(BDD!H173:AR173,4)*'ButsMPG + Var'!$K$16+COUNTIF(BDD!H173:AR173,3)*'ButsMPG + Var'!$K$15+COUNTIF(BDD!H173:AR173,2)*'ButsMPG + Var'!$K$14+COUNTIF(BDD!H173:AR173,1)*'ButsMPG + Var'!$K$13,IF(C170="D",COUNTIF(BDD!H173:AR173,10)*'ButsMPG + Var'!$K$32+COUNTIF(BDD!H173:AR173,9)*'ButsMPG + Var'!$K$31+COUNTIF(BDD!H173:AR173,8)*'ButsMPG + Var'!$K$30+COUNTIF(BDD!H173:AR173,7)*'ButsMPG + Var'!$K$29+COUNTIF(BDD!H173:AR173,6)*'ButsMPG + Var'!$K$28+COUNTIF(BDD!H173:AR173,5)*'ButsMPG + Var'!$K$27+COUNTIF(BDD!H173:AR173,4)*'ButsMPG + Var'!$K$26+COUNTIF(BDD!H173:AR173,3)*'ButsMPG + Var'!$K$25+COUNTIF(BDD!H173:AR173,2)*'ButsMPG + Var'!$K$24+COUNTIF(BDD!H173:AR173,1)*'ButsMPG + Var'!$K$23,0)))</f>
        <v>0</v>
      </c>
      <c r="H170" s="25">
        <f t="shared" si="3"/>
        <v>0</v>
      </c>
      <c r="I170" s="25">
        <f>BDD!G173</f>
        <v>0</v>
      </c>
      <c r="J170" s="25">
        <f>SUMPRODUCT(BDD!H173:AS173,'ButsMPG + Var'!$B$46:$AM$46)</f>
        <v>0</v>
      </c>
      <c r="K170" s="25" t="e">
        <f>10*('ButsMPG + Var'!$H$37*J170/MAX(J:J)+'ButsMPG + Var'!$G$37*H170/MAX(H:H))</f>
        <v>#DIV/0!</v>
      </c>
      <c r="L170" s="1">
        <f>IF(ISNA(VLOOKUP(B170,PrixMini!$B$3:$E$573,4,FALSE)),1,VLOOKUP(B170,PrixMini!$B$3:$E$573,4,FALSE))</f>
        <v>1</v>
      </c>
      <c r="M170" s="25" t="e">
        <f>IF(ROUND(CalculCotation!$D$3*EXP(CalculCotation!$C$3*K170)-CalculCotation!$D$3+1,0)&gt;L170,ROUND(CalculCotation!$D$3*EXP(CalculCotation!$C$3*K170)-CalculCotation!$D$3+1,0),L170)</f>
        <v>#DIV/0!</v>
      </c>
    </row>
    <row r="171" spans="2:13" x14ac:dyDescent="0.3">
      <c r="B171" s="1">
        <f>BDD!C174</f>
        <v>0</v>
      </c>
      <c r="C171" s="1">
        <f>BDD!B174</f>
        <v>0</v>
      </c>
      <c r="D171" s="1">
        <f>BDD!A174</f>
        <v>0</v>
      </c>
      <c r="E171" s="1">
        <f>BDD!D174</f>
        <v>0</v>
      </c>
      <c r="F171" s="1">
        <f>BDD!F174</f>
        <v>0</v>
      </c>
      <c r="G171" s="25">
        <f>'ButsMPG + Var'!$I$39*IF(C171="A",COUNTIF(BDD!H174:AR174,10)*'ButsMPG + Var'!$K$12+COUNTIF(BDD!H174:AR174,9)*'ButsMPG + Var'!$K$11+COUNTIF(BDD!H174:AR174,8)*'ButsMPG + Var'!$K$10+COUNTIF(BDD!H174:AR174,7)*'ButsMPG + Var'!$K$9+COUNTIF(BDD!H174:AR174,6)*'ButsMPG + Var'!$K$8+COUNTIF(BDD!H174:AR174,5)*'ButsMPG + Var'!$K$7+COUNTIF(BDD!H174:AR174,4)*'ButsMPG + Var'!$K$6+COUNTIF(BDD!H174:AR174,3)*'ButsMPG + Var'!$K$5+COUNTIF(BDD!H174:AR174,2)*'ButsMPG + Var'!$K$4+COUNTIF(BDD!H174:AR174,1)*'ButsMPG + Var'!$K$3,IF(C171="M",COUNTIF(BDD!H174:AR174,10)*'ButsMPG + Var'!$K$22+COUNTIF(BDD!H174:AR174,9)*'ButsMPG + Var'!$K$21+COUNTIF(BDD!H174:AR174,8)*'ButsMPG + Var'!$K$20+COUNTIF(BDD!H174:AR174,7)*'ButsMPG + Var'!$K$19+COUNTIF(BDD!H174:AR174,6)*'ButsMPG + Var'!$K$18+COUNTIF(BDD!H174:AR174,5)*'ButsMPG + Var'!$K$17+COUNTIF(BDD!H174:AR174,4)*'ButsMPG + Var'!$K$16+COUNTIF(BDD!H174:AR174,3)*'ButsMPG + Var'!$K$15+COUNTIF(BDD!H174:AR174,2)*'ButsMPG + Var'!$K$14+COUNTIF(BDD!H174:AR174,1)*'ButsMPG + Var'!$K$13,IF(C171="D",COUNTIF(BDD!H174:AR174,10)*'ButsMPG + Var'!$K$32+COUNTIF(BDD!H174:AR174,9)*'ButsMPG + Var'!$K$31+COUNTIF(BDD!H174:AR174,8)*'ButsMPG + Var'!$K$30+COUNTIF(BDD!H174:AR174,7)*'ButsMPG + Var'!$K$29+COUNTIF(BDD!H174:AR174,6)*'ButsMPG + Var'!$K$28+COUNTIF(BDD!H174:AR174,5)*'ButsMPG + Var'!$K$27+COUNTIF(BDD!H174:AR174,4)*'ButsMPG + Var'!$K$26+COUNTIF(BDD!H174:AR174,3)*'ButsMPG + Var'!$K$25+COUNTIF(BDD!H174:AR174,2)*'ButsMPG + Var'!$K$24+COUNTIF(BDD!H174:AR174,1)*'ButsMPG + Var'!$K$23,0)))</f>
        <v>0</v>
      </c>
      <c r="H171" s="25">
        <f t="shared" si="3"/>
        <v>0</v>
      </c>
      <c r="I171" s="25">
        <f>BDD!G174</f>
        <v>0</v>
      </c>
      <c r="J171" s="25">
        <f>SUMPRODUCT(BDD!H174:AS174,'ButsMPG + Var'!$B$46:$AM$46)</f>
        <v>0</v>
      </c>
      <c r="K171" s="25" t="e">
        <f>10*('ButsMPG + Var'!$H$37*J171/MAX(J:J)+'ButsMPG + Var'!$G$37*H171/MAX(H:H))</f>
        <v>#DIV/0!</v>
      </c>
      <c r="L171" s="1">
        <f>IF(ISNA(VLOOKUP(B171,PrixMini!$B$3:$E$573,4,FALSE)),1,VLOOKUP(B171,PrixMini!$B$3:$E$573,4,FALSE))</f>
        <v>1</v>
      </c>
      <c r="M171" s="25" t="e">
        <f>IF(ROUND(CalculCotation!$D$3*EXP(CalculCotation!$C$3*K171)-CalculCotation!$D$3+1,0)&gt;L171,ROUND(CalculCotation!$D$3*EXP(CalculCotation!$C$3*K171)-CalculCotation!$D$3+1,0),L171)</f>
        <v>#DIV/0!</v>
      </c>
    </row>
    <row r="172" spans="2:13" x14ac:dyDescent="0.3">
      <c r="B172" s="1">
        <f>BDD!C175</f>
        <v>0</v>
      </c>
      <c r="C172" s="1">
        <f>BDD!B175</f>
        <v>0</v>
      </c>
      <c r="D172" s="1">
        <f>BDD!A175</f>
        <v>0</v>
      </c>
      <c r="E172" s="1">
        <f>BDD!D175</f>
        <v>0</v>
      </c>
      <c r="F172" s="1">
        <f>BDD!F175</f>
        <v>0</v>
      </c>
      <c r="G172" s="25">
        <f>'ButsMPG + Var'!$I$39*IF(C172="A",COUNTIF(BDD!H175:AR175,10)*'ButsMPG + Var'!$K$12+COUNTIF(BDD!H175:AR175,9)*'ButsMPG + Var'!$K$11+COUNTIF(BDD!H175:AR175,8)*'ButsMPG + Var'!$K$10+COUNTIF(BDD!H175:AR175,7)*'ButsMPG + Var'!$K$9+COUNTIF(BDD!H175:AR175,6)*'ButsMPG + Var'!$K$8+COUNTIF(BDD!H175:AR175,5)*'ButsMPG + Var'!$K$7+COUNTIF(BDD!H175:AR175,4)*'ButsMPG + Var'!$K$6+COUNTIF(BDD!H175:AR175,3)*'ButsMPG + Var'!$K$5+COUNTIF(BDD!H175:AR175,2)*'ButsMPG + Var'!$K$4+COUNTIF(BDD!H175:AR175,1)*'ButsMPG + Var'!$K$3,IF(C172="M",COUNTIF(BDD!H175:AR175,10)*'ButsMPG + Var'!$K$22+COUNTIF(BDD!H175:AR175,9)*'ButsMPG + Var'!$K$21+COUNTIF(BDD!H175:AR175,8)*'ButsMPG + Var'!$K$20+COUNTIF(BDD!H175:AR175,7)*'ButsMPG + Var'!$K$19+COUNTIF(BDD!H175:AR175,6)*'ButsMPG + Var'!$K$18+COUNTIF(BDD!H175:AR175,5)*'ButsMPG + Var'!$K$17+COUNTIF(BDD!H175:AR175,4)*'ButsMPG + Var'!$K$16+COUNTIF(BDD!H175:AR175,3)*'ButsMPG + Var'!$K$15+COUNTIF(BDD!H175:AR175,2)*'ButsMPG + Var'!$K$14+COUNTIF(BDD!H175:AR175,1)*'ButsMPG + Var'!$K$13,IF(C172="D",COUNTIF(BDD!H175:AR175,10)*'ButsMPG + Var'!$K$32+COUNTIF(BDD!H175:AR175,9)*'ButsMPG + Var'!$K$31+COUNTIF(BDD!H175:AR175,8)*'ButsMPG + Var'!$K$30+COUNTIF(BDD!H175:AR175,7)*'ButsMPG + Var'!$K$29+COUNTIF(BDD!H175:AR175,6)*'ButsMPG + Var'!$K$28+COUNTIF(BDD!H175:AR175,5)*'ButsMPG + Var'!$K$27+COUNTIF(BDD!H175:AR175,4)*'ButsMPG + Var'!$K$26+COUNTIF(BDD!H175:AR175,3)*'ButsMPG + Var'!$K$25+COUNTIF(BDD!H175:AR175,2)*'ButsMPG + Var'!$K$24+COUNTIF(BDD!H175:AR175,1)*'ButsMPG + Var'!$K$23,0)))</f>
        <v>0</v>
      </c>
      <c r="H172" s="25">
        <f t="shared" si="3"/>
        <v>0</v>
      </c>
      <c r="I172" s="25">
        <f>BDD!G175</f>
        <v>0</v>
      </c>
      <c r="J172" s="25">
        <f>SUMPRODUCT(BDD!H175:AS175,'ButsMPG + Var'!$B$46:$AM$46)</f>
        <v>0</v>
      </c>
      <c r="K172" s="25" t="e">
        <f>10*('ButsMPG + Var'!$H$37*J172/MAX(J:J)+'ButsMPG + Var'!$G$37*H172/MAX(H:H))</f>
        <v>#DIV/0!</v>
      </c>
      <c r="L172" s="1">
        <f>IF(ISNA(VLOOKUP(B172,PrixMini!$B$3:$E$573,4,FALSE)),1,VLOOKUP(B172,PrixMini!$B$3:$E$573,4,FALSE))</f>
        <v>1</v>
      </c>
      <c r="M172" s="25" t="e">
        <f>IF(ROUND(CalculCotation!$D$3*EXP(CalculCotation!$C$3*K172)-CalculCotation!$D$3+1,0)&gt;L172,ROUND(CalculCotation!$D$3*EXP(CalculCotation!$C$3*K172)-CalculCotation!$D$3+1,0),L172)</f>
        <v>#DIV/0!</v>
      </c>
    </row>
    <row r="173" spans="2:13" x14ac:dyDescent="0.3">
      <c r="B173" s="1">
        <f>BDD!C176</f>
        <v>0</v>
      </c>
      <c r="C173" s="1">
        <f>BDD!B176</f>
        <v>0</v>
      </c>
      <c r="D173" s="1">
        <f>BDD!A176</f>
        <v>0</v>
      </c>
      <c r="E173" s="1">
        <f>BDD!D176</f>
        <v>0</v>
      </c>
      <c r="F173" s="1">
        <f>BDD!F176</f>
        <v>0</v>
      </c>
      <c r="G173" s="25">
        <f>'ButsMPG + Var'!$I$39*IF(C173="A",COUNTIF(BDD!H176:AR176,10)*'ButsMPG + Var'!$K$12+COUNTIF(BDD!H176:AR176,9)*'ButsMPG + Var'!$K$11+COUNTIF(BDD!H176:AR176,8)*'ButsMPG + Var'!$K$10+COUNTIF(BDD!H176:AR176,7)*'ButsMPG + Var'!$K$9+COUNTIF(BDD!H176:AR176,6)*'ButsMPG + Var'!$K$8+COUNTIF(BDD!H176:AR176,5)*'ButsMPG + Var'!$K$7+COUNTIF(BDD!H176:AR176,4)*'ButsMPG + Var'!$K$6+COUNTIF(BDD!H176:AR176,3)*'ButsMPG + Var'!$K$5+COUNTIF(BDD!H176:AR176,2)*'ButsMPG + Var'!$K$4+COUNTIF(BDD!H176:AR176,1)*'ButsMPG + Var'!$K$3,IF(C173="M",COUNTIF(BDD!H176:AR176,10)*'ButsMPG + Var'!$K$22+COUNTIF(BDD!H176:AR176,9)*'ButsMPG + Var'!$K$21+COUNTIF(BDD!H176:AR176,8)*'ButsMPG + Var'!$K$20+COUNTIF(BDD!H176:AR176,7)*'ButsMPG + Var'!$K$19+COUNTIF(BDD!H176:AR176,6)*'ButsMPG + Var'!$K$18+COUNTIF(BDD!H176:AR176,5)*'ButsMPG + Var'!$K$17+COUNTIF(BDD!H176:AR176,4)*'ButsMPG + Var'!$K$16+COUNTIF(BDD!H176:AR176,3)*'ButsMPG + Var'!$K$15+COUNTIF(BDD!H176:AR176,2)*'ButsMPG + Var'!$K$14+COUNTIF(BDD!H176:AR176,1)*'ButsMPG + Var'!$K$13,IF(C173="D",COUNTIF(BDD!H176:AR176,10)*'ButsMPG + Var'!$K$32+COUNTIF(BDD!H176:AR176,9)*'ButsMPG + Var'!$K$31+COUNTIF(BDD!H176:AR176,8)*'ButsMPG + Var'!$K$30+COUNTIF(BDD!H176:AR176,7)*'ButsMPG + Var'!$K$29+COUNTIF(BDD!H176:AR176,6)*'ButsMPG + Var'!$K$28+COUNTIF(BDD!H176:AR176,5)*'ButsMPG + Var'!$K$27+COUNTIF(BDD!H176:AR176,4)*'ButsMPG + Var'!$K$26+COUNTIF(BDD!H176:AR176,3)*'ButsMPG + Var'!$K$25+COUNTIF(BDD!H176:AR176,2)*'ButsMPG + Var'!$K$24+COUNTIF(BDD!H176:AR176,1)*'ButsMPG + Var'!$K$23,0)))</f>
        <v>0</v>
      </c>
      <c r="H173" s="25">
        <f t="shared" si="3"/>
        <v>0</v>
      </c>
      <c r="I173" s="25">
        <f>BDD!G176</f>
        <v>0</v>
      </c>
      <c r="J173" s="25">
        <f>SUMPRODUCT(BDD!H176:AS176,'ButsMPG + Var'!$B$46:$AM$46)</f>
        <v>0</v>
      </c>
      <c r="K173" s="25" t="e">
        <f>10*('ButsMPG + Var'!$H$37*J173/MAX(J:J)+'ButsMPG + Var'!$G$37*H173/MAX(H:H))</f>
        <v>#DIV/0!</v>
      </c>
      <c r="L173" s="1">
        <f>IF(ISNA(VLOOKUP(B173,PrixMini!$B$3:$E$573,4,FALSE)),1,VLOOKUP(B173,PrixMini!$B$3:$E$573,4,FALSE))</f>
        <v>1</v>
      </c>
      <c r="M173" s="25" t="e">
        <f>IF(ROUND(CalculCotation!$D$3*EXP(CalculCotation!$C$3*K173)-CalculCotation!$D$3+1,0)&gt;L173,ROUND(CalculCotation!$D$3*EXP(CalculCotation!$C$3*K173)-CalculCotation!$D$3+1,0),L173)</f>
        <v>#DIV/0!</v>
      </c>
    </row>
    <row r="174" spans="2:13" x14ac:dyDescent="0.3">
      <c r="B174" s="1">
        <f>BDD!C177</f>
        <v>0</v>
      </c>
      <c r="C174" s="1">
        <f>BDD!B177</f>
        <v>0</v>
      </c>
      <c r="D174" s="1">
        <f>BDD!A177</f>
        <v>0</v>
      </c>
      <c r="E174" s="1">
        <f>BDD!D177</f>
        <v>0</v>
      </c>
      <c r="F174" s="1">
        <f>BDD!F177</f>
        <v>0</v>
      </c>
      <c r="G174" s="25">
        <f>'ButsMPG + Var'!$I$39*IF(C174="A",COUNTIF(BDD!H177:AR177,10)*'ButsMPG + Var'!$K$12+COUNTIF(BDD!H177:AR177,9)*'ButsMPG + Var'!$K$11+COUNTIF(BDD!H177:AR177,8)*'ButsMPG + Var'!$K$10+COUNTIF(BDD!H177:AR177,7)*'ButsMPG + Var'!$K$9+COUNTIF(BDD!H177:AR177,6)*'ButsMPG + Var'!$K$8+COUNTIF(BDD!H177:AR177,5)*'ButsMPG + Var'!$K$7+COUNTIF(BDD!H177:AR177,4)*'ButsMPG + Var'!$K$6+COUNTIF(BDD!H177:AR177,3)*'ButsMPG + Var'!$K$5+COUNTIF(BDD!H177:AR177,2)*'ButsMPG + Var'!$K$4+COUNTIF(BDD!H177:AR177,1)*'ButsMPG + Var'!$K$3,IF(C174="M",COUNTIF(BDD!H177:AR177,10)*'ButsMPG + Var'!$K$22+COUNTIF(BDD!H177:AR177,9)*'ButsMPG + Var'!$K$21+COUNTIF(BDD!H177:AR177,8)*'ButsMPG + Var'!$K$20+COUNTIF(BDD!H177:AR177,7)*'ButsMPG + Var'!$K$19+COUNTIF(BDD!H177:AR177,6)*'ButsMPG + Var'!$K$18+COUNTIF(BDD!H177:AR177,5)*'ButsMPG + Var'!$K$17+COUNTIF(BDD!H177:AR177,4)*'ButsMPG + Var'!$K$16+COUNTIF(BDD!H177:AR177,3)*'ButsMPG + Var'!$K$15+COUNTIF(BDD!H177:AR177,2)*'ButsMPG + Var'!$K$14+COUNTIF(BDD!H177:AR177,1)*'ButsMPG + Var'!$K$13,IF(C174="D",COUNTIF(BDD!H177:AR177,10)*'ButsMPG + Var'!$K$32+COUNTIF(BDD!H177:AR177,9)*'ButsMPG + Var'!$K$31+COUNTIF(BDD!H177:AR177,8)*'ButsMPG + Var'!$K$30+COUNTIF(BDD!H177:AR177,7)*'ButsMPG + Var'!$K$29+COUNTIF(BDD!H177:AR177,6)*'ButsMPG + Var'!$K$28+COUNTIF(BDD!H177:AR177,5)*'ButsMPG + Var'!$K$27+COUNTIF(BDD!H177:AR177,4)*'ButsMPG + Var'!$K$26+COUNTIF(BDD!H177:AR177,3)*'ButsMPG + Var'!$K$25+COUNTIF(BDD!H177:AR177,2)*'ButsMPG + Var'!$K$24+COUNTIF(BDD!H177:AR177,1)*'ButsMPG + Var'!$K$23,0)))</f>
        <v>0</v>
      </c>
      <c r="H174" s="25">
        <f t="shared" si="3"/>
        <v>0</v>
      </c>
      <c r="I174" s="25">
        <f>BDD!G177</f>
        <v>0</v>
      </c>
      <c r="J174" s="25">
        <f>SUMPRODUCT(BDD!H177:AS177,'ButsMPG + Var'!$B$46:$AM$46)</f>
        <v>0</v>
      </c>
      <c r="K174" s="25" t="e">
        <f>10*('ButsMPG + Var'!$H$37*J174/MAX(J:J)+'ButsMPG + Var'!$G$37*H174/MAX(H:H))</f>
        <v>#DIV/0!</v>
      </c>
      <c r="L174" s="1">
        <f>IF(ISNA(VLOOKUP(B174,PrixMini!$B$3:$E$573,4,FALSE)),1,VLOOKUP(B174,PrixMini!$B$3:$E$573,4,FALSE))</f>
        <v>1</v>
      </c>
      <c r="M174" s="25" t="e">
        <f>IF(ROUND(CalculCotation!$D$3*EXP(CalculCotation!$C$3*K174)-CalculCotation!$D$3+1,0)&gt;L174,ROUND(CalculCotation!$D$3*EXP(CalculCotation!$C$3*K174)-CalculCotation!$D$3+1,0),L174)</f>
        <v>#DIV/0!</v>
      </c>
    </row>
    <row r="175" spans="2:13" x14ac:dyDescent="0.3">
      <c r="B175" s="1">
        <f>BDD!C178</f>
        <v>0</v>
      </c>
      <c r="C175" s="1">
        <f>BDD!B178</f>
        <v>0</v>
      </c>
      <c r="D175" s="1">
        <f>BDD!A178</f>
        <v>0</v>
      </c>
      <c r="E175" s="1">
        <f>BDD!D178</f>
        <v>0</v>
      </c>
      <c r="F175" s="1">
        <f>BDD!F178</f>
        <v>0</v>
      </c>
      <c r="G175" s="25">
        <f>'ButsMPG + Var'!$I$39*IF(C175="A",COUNTIF(BDD!H178:AR178,10)*'ButsMPG + Var'!$K$12+COUNTIF(BDD!H178:AR178,9)*'ButsMPG + Var'!$K$11+COUNTIF(BDD!H178:AR178,8)*'ButsMPG + Var'!$K$10+COUNTIF(BDD!H178:AR178,7)*'ButsMPG + Var'!$K$9+COUNTIF(BDD!H178:AR178,6)*'ButsMPG + Var'!$K$8+COUNTIF(BDD!H178:AR178,5)*'ButsMPG + Var'!$K$7+COUNTIF(BDD!H178:AR178,4)*'ButsMPG + Var'!$K$6+COUNTIF(BDD!H178:AR178,3)*'ButsMPG + Var'!$K$5+COUNTIF(BDD!H178:AR178,2)*'ButsMPG + Var'!$K$4+COUNTIF(BDD!H178:AR178,1)*'ButsMPG + Var'!$K$3,IF(C175="M",COUNTIF(BDD!H178:AR178,10)*'ButsMPG + Var'!$K$22+COUNTIF(BDD!H178:AR178,9)*'ButsMPG + Var'!$K$21+COUNTIF(BDD!H178:AR178,8)*'ButsMPG + Var'!$K$20+COUNTIF(BDD!H178:AR178,7)*'ButsMPG + Var'!$K$19+COUNTIF(BDD!H178:AR178,6)*'ButsMPG + Var'!$K$18+COUNTIF(BDD!H178:AR178,5)*'ButsMPG + Var'!$K$17+COUNTIF(BDD!H178:AR178,4)*'ButsMPG + Var'!$K$16+COUNTIF(BDD!H178:AR178,3)*'ButsMPG + Var'!$K$15+COUNTIF(BDD!H178:AR178,2)*'ButsMPG + Var'!$K$14+COUNTIF(BDD!H178:AR178,1)*'ButsMPG + Var'!$K$13,IF(C175="D",COUNTIF(BDD!H178:AR178,10)*'ButsMPG + Var'!$K$32+COUNTIF(BDD!H178:AR178,9)*'ButsMPG + Var'!$K$31+COUNTIF(BDD!H178:AR178,8)*'ButsMPG + Var'!$K$30+COUNTIF(BDD!H178:AR178,7)*'ButsMPG + Var'!$K$29+COUNTIF(BDD!H178:AR178,6)*'ButsMPG + Var'!$K$28+COUNTIF(BDD!H178:AR178,5)*'ButsMPG + Var'!$K$27+COUNTIF(BDD!H178:AR178,4)*'ButsMPG + Var'!$K$26+COUNTIF(BDD!H178:AR178,3)*'ButsMPG + Var'!$K$25+COUNTIF(BDD!H178:AR178,2)*'ButsMPG + Var'!$K$24+COUNTIF(BDD!H178:AR178,1)*'ButsMPG + Var'!$K$23,0)))</f>
        <v>0</v>
      </c>
      <c r="H175" s="25">
        <f t="shared" si="3"/>
        <v>0</v>
      </c>
      <c r="I175" s="25">
        <f>BDD!G178</f>
        <v>0</v>
      </c>
      <c r="J175" s="25">
        <f>SUMPRODUCT(BDD!H178:AS178,'ButsMPG + Var'!$B$46:$AM$46)</f>
        <v>0</v>
      </c>
      <c r="K175" s="25" t="e">
        <f>10*('ButsMPG + Var'!$H$37*J175/MAX(J:J)+'ButsMPG + Var'!$G$37*H175/MAX(H:H))</f>
        <v>#DIV/0!</v>
      </c>
      <c r="L175" s="1">
        <f>IF(ISNA(VLOOKUP(B175,PrixMini!$B$3:$E$573,4,FALSE)),1,VLOOKUP(B175,PrixMini!$B$3:$E$573,4,FALSE))</f>
        <v>1</v>
      </c>
      <c r="M175" s="25" t="e">
        <f>IF(ROUND(CalculCotation!$D$3*EXP(CalculCotation!$C$3*K175)-CalculCotation!$D$3+1,0)&gt;L175,ROUND(CalculCotation!$D$3*EXP(CalculCotation!$C$3*K175)-CalculCotation!$D$3+1,0),L175)</f>
        <v>#DIV/0!</v>
      </c>
    </row>
    <row r="176" spans="2:13" x14ac:dyDescent="0.3">
      <c r="B176" s="1">
        <f>BDD!C179</f>
        <v>0</v>
      </c>
      <c r="C176" s="1">
        <f>BDD!B179</f>
        <v>0</v>
      </c>
      <c r="D176" s="1">
        <f>BDD!A179</f>
        <v>0</v>
      </c>
      <c r="E176" s="1">
        <f>BDD!D179</f>
        <v>0</v>
      </c>
      <c r="F176" s="1">
        <f>BDD!F179</f>
        <v>0</v>
      </c>
      <c r="G176" s="25">
        <f>'ButsMPG + Var'!$I$39*IF(C176="A",COUNTIF(BDD!H179:AR179,10)*'ButsMPG + Var'!$K$12+COUNTIF(BDD!H179:AR179,9)*'ButsMPG + Var'!$K$11+COUNTIF(BDD!H179:AR179,8)*'ButsMPG + Var'!$K$10+COUNTIF(BDD!H179:AR179,7)*'ButsMPG + Var'!$K$9+COUNTIF(BDD!H179:AR179,6)*'ButsMPG + Var'!$K$8+COUNTIF(BDD!H179:AR179,5)*'ButsMPG + Var'!$K$7+COUNTIF(BDD!H179:AR179,4)*'ButsMPG + Var'!$K$6+COUNTIF(BDD!H179:AR179,3)*'ButsMPG + Var'!$K$5+COUNTIF(BDD!H179:AR179,2)*'ButsMPG + Var'!$K$4+COUNTIF(BDD!H179:AR179,1)*'ButsMPG + Var'!$K$3,IF(C176="M",COUNTIF(BDD!H179:AR179,10)*'ButsMPG + Var'!$K$22+COUNTIF(BDD!H179:AR179,9)*'ButsMPG + Var'!$K$21+COUNTIF(BDD!H179:AR179,8)*'ButsMPG + Var'!$K$20+COUNTIF(BDD!H179:AR179,7)*'ButsMPG + Var'!$K$19+COUNTIF(BDD!H179:AR179,6)*'ButsMPG + Var'!$K$18+COUNTIF(BDD!H179:AR179,5)*'ButsMPG + Var'!$K$17+COUNTIF(BDD!H179:AR179,4)*'ButsMPG + Var'!$K$16+COUNTIF(BDD!H179:AR179,3)*'ButsMPG + Var'!$K$15+COUNTIF(BDD!H179:AR179,2)*'ButsMPG + Var'!$K$14+COUNTIF(BDD!H179:AR179,1)*'ButsMPG + Var'!$K$13,IF(C176="D",COUNTIF(BDD!H179:AR179,10)*'ButsMPG + Var'!$K$32+COUNTIF(BDD!H179:AR179,9)*'ButsMPG + Var'!$K$31+COUNTIF(BDD!H179:AR179,8)*'ButsMPG + Var'!$K$30+COUNTIF(BDD!H179:AR179,7)*'ButsMPG + Var'!$K$29+COUNTIF(BDD!H179:AR179,6)*'ButsMPG + Var'!$K$28+COUNTIF(BDD!H179:AR179,5)*'ButsMPG + Var'!$K$27+COUNTIF(BDD!H179:AR179,4)*'ButsMPG + Var'!$K$26+COUNTIF(BDD!H179:AR179,3)*'ButsMPG + Var'!$K$25+COUNTIF(BDD!H179:AR179,2)*'ButsMPG + Var'!$K$24+COUNTIF(BDD!H179:AR179,1)*'ButsMPG + Var'!$K$23,0)))</f>
        <v>0</v>
      </c>
      <c r="H176" s="25">
        <f t="shared" si="3"/>
        <v>0</v>
      </c>
      <c r="I176" s="25">
        <f>BDD!G179</f>
        <v>0</v>
      </c>
      <c r="J176" s="25">
        <f>SUMPRODUCT(BDD!H179:AS179,'ButsMPG + Var'!$B$46:$AM$46)</f>
        <v>0</v>
      </c>
      <c r="K176" s="25" t="e">
        <f>10*('ButsMPG + Var'!$H$37*J176/MAX(J:J)+'ButsMPG + Var'!$G$37*H176/MAX(H:H))</f>
        <v>#DIV/0!</v>
      </c>
      <c r="L176" s="1">
        <f>IF(ISNA(VLOOKUP(B176,PrixMini!$B$3:$E$573,4,FALSE)),1,VLOOKUP(B176,PrixMini!$B$3:$E$573,4,FALSE))</f>
        <v>1</v>
      </c>
      <c r="M176" s="25" t="e">
        <f>IF(ROUND(CalculCotation!$D$3*EXP(CalculCotation!$C$3*K176)-CalculCotation!$D$3+1,0)&gt;L176,ROUND(CalculCotation!$D$3*EXP(CalculCotation!$C$3*K176)-CalculCotation!$D$3+1,0),L176)</f>
        <v>#DIV/0!</v>
      </c>
    </row>
    <row r="177" spans="2:13" x14ac:dyDescent="0.3">
      <c r="B177" s="1">
        <f>BDD!C180</f>
        <v>0</v>
      </c>
      <c r="C177" s="1">
        <f>BDD!B180</f>
        <v>0</v>
      </c>
      <c r="D177" s="1">
        <f>BDD!A180</f>
        <v>0</v>
      </c>
      <c r="E177" s="1">
        <f>BDD!D180</f>
        <v>0</v>
      </c>
      <c r="F177" s="1">
        <f>BDD!F180</f>
        <v>0</v>
      </c>
      <c r="G177" s="25">
        <f>'ButsMPG + Var'!$I$39*IF(C177="A",COUNTIF(BDD!H180:AR180,10)*'ButsMPG + Var'!$K$12+COUNTIF(BDD!H180:AR180,9)*'ButsMPG + Var'!$K$11+COUNTIF(BDD!H180:AR180,8)*'ButsMPG + Var'!$K$10+COUNTIF(BDD!H180:AR180,7)*'ButsMPG + Var'!$K$9+COUNTIF(BDD!H180:AR180,6)*'ButsMPG + Var'!$K$8+COUNTIF(BDD!H180:AR180,5)*'ButsMPG + Var'!$K$7+COUNTIF(BDD!H180:AR180,4)*'ButsMPG + Var'!$K$6+COUNTIF(BDD!H180:AR180,3)*'ButsMPG + Var'!$K$5+COUNTIF(BDD!H180:AR180,2)*'ButsMPG + Var'!$K$4+COUNTIF(BDD!H180:AR180,1)*'ButsMPG + Var'!$K$3,IF(C177="M",COUNTIF(BDD!H180:AR180,10)*'ButsMPG + Var'!$K$22+COUNTIF(BDD!H180:AR180,9)*'ButsMPG + Var'!$K$21+COUNTIF(BDD!H180:AR180,8)*'ButsMPG + Var'!$K$20+COUNTIF(BDD!H180:AR180,7)*'ButsMPG + Var'!$K$19+COUNTIF(BDD!H180:AR180,6)*'ButsMPG + Var'!$K$18+COUNTIF(BDD!H180:AR180,5)*'ButsMPG + Var'!$K$17+COUNTIF(BDD!H180:AR180,4)*'ButsMPG + Var'!$K$16+COUNTIF(BDD!H180:AR180,3)*'ButsMPG + Var'!$K$15+COUNTIF(BDD!H180:AR180,2)*'ButsMPG + Var'!$K$14+COUNTIF(BDD!H180:AR180,1)*'ButsMPG + Var'!$K$13,IF(C177="D",COUNTIF(BDD!H180:AR180,10)*'ButsMPG + Var'!$K$32+COUNTIF(BDD!H180:AR180,9)*'ButsMPG + Var'!$K$31+COUNTIF(BDD!H180:AR180,8)*'ButsMPG + Var'!$K$30+COUNTIF(BDD!H180:AR180,7)*'ButsMPG + Var'!$K$29+COUNTIF(BDD!H180:AR180,6)*'ButsMPG + Var'!$K$28+COUNTIF(BDD!H180:AR180,5)*'ButsMPG + Var'!$K$27+COUNTIF(BDD!H180:AR180,4)*'ButsMPG + Var'!$K$26+COUNTIF(BDD!H180:AR180,3)*'ButsMPG + Var'!$K$25+COUNTIF(BDD!H180:AR180,2)*'ButsMPG + Var'!$K$24+COUNTIF(BDD!H180:AR180,1)*'ButsMPG + Var'!$K$23,0)))</f>
        <v>0</v>
      </c>
      <c r="H177" s="25">
        <f t="shared" si="3"/>
        <v>0</v>
      </c>
      <c r="I177" s="25">
        <f>BDD!G180</f>
        <v>0</v>
      </c>
      <c r="J177" s="25">
        <f>SUMPRODUCT(BDD!H180:AS180,'ButsMPG + Var'!$B$46:$AM$46)</f>
        <v>0</v>
      </c>
      <c r="K177" s="25" t="e">
        <f>10*('ButsMPG + Var'!$H$37*J177/MAX(J:J)+'ButsMPG + Var'!$G$37*H177/MAX(H:H))</f>
        <v>#DIV/0!</v>
      </c>
      <c r="L177" s="1">
        <f>IF(ISNA(VLOOKUP(B177,PrixMini!$B$3:$E$573,4,FALSE)),1,VLOOKUP(B177,PrixMini!$B$3:$E$573,4,FALSE))</f>
        <v>1</v>
      </c>
      <c r="M177" s="25" t="e">
        <f>IF(ROUND(CalculCotation!$D$3*EXP(CalculCotation!$C$3*K177)-CalculCotation!$D$3+1,0)&gt;L177,ROUND(CalculCotation!$D$3*EXP(CalculCotation!$C$3*K177)-CalculCotation!$D$3+1,0),L177)</f>
        <v>#DIV/0!</v>
      </c>
    </row>
    <row r="178" spans="2:13" x14ac:dyDescent="0.3">
      <c r="B178" s="1">
        <f>BDD!C181</f>
        <v>0</v>
      </c>
      <c r="C178" s="1">
        <f>BDD!B181</f>
        <v>0</v>
      </c>
      <c r="D178" s="1">
        <f>BDD!A181</f>
        <v>0</v>
      </c>
      <c r="E178" s="1">
        <f>BDD!D181</f>
        <v>0</v>
      </c>
      <c r="F178" s="1">
        <f>BDD!F181</f>
        <v>0</v>
      </c>
      <c r="G178" s="25">
        <f>'ButsMPG + Var'!$I$39*IF(C178="A",COUNTIF(BDD!H181:AR181,10)*'ButsMPG + Var'!$K$12+COUNTIF(BDD!H181:AR181,9)*'ButsMPG + Var'!$K$11+COUNTIF(BDD!H181:AR181,8)*'ButsMPG + Var'!$K$10+COUNTIF(BDD!H181:AR181,7)*'ButsMPG + Var'!$K$9+COUNTIF(BDD!H181:AR181,6)*'ButsMPG + Var'!$K$8+COUNTIF(BDD!H181:AR181,5)*'ButsMPG + Var'!$K$7+COUNTIF(BDD!H181:AR181,4)*'ButsMPG + Var'!$K$6+COUNTIF(BDD!H181:AR181,3)*'ButsMPG + Var'!$K$5+COUNTIF(BDD!H181:AR181,2)*'ButsMPG + Var'!$K$4+COUNTIF(BDD!H181:AR181,1)*'ButsMPG + Var'!$K$3,IF(C178="M",COUNTIF(BDD!H181:AR181,10)*'ButsMPG + Var'!$K$22+COUNTIF(BDD!H181:AR181,9)*'ButsMPG + Var'!$K$21+COUNTIF(BDD!H181:AR181,8)*'ButsMPG + Var'!$K$20+COUNTIF(BDD!H181:AR181,7)*'ButsMPG + Var'!$K$19+COUNTIF(BDD!H181:AR181,6)*'ButsMPG + Var'!$K$18+COUNTIF(BDD!H181:AR181,5)*'ButsMPG + Var'!$K$17+COUNTIF(BDD!H181:AR181,4)*'ButsMPG + Var'!$K$16+COUNTIF(BDD!H181:AR181,3)*'ButsMPG + Var'!$K$15+COUNTIF(BDD!H181:AR181,2)*'ButsMPG + Var'!$K$14+COUNTIF(BDD!H181:AR181,1)*'ButsMPG + Var'!$K$13,IF(C178="D",COUNTIF(BDD!H181:AR181,10)*'ButsMPG + Var'!$K$32+COUNTIF(BDD!H181:AR181,9)*'ButsMPG + Var'!$K$31+COUNTIF(BDD!H181:AR181,8)*'ButsMPG + Var'!$K$30+COUNTIF(BDD!H181:AR181,7)*'ButsMPG + Var'!$K$29+COUNTIF(BDD!H181:AR181,6)*'ButsMPG + Var'!$K$28+COUNTIF(BDD!H181:AR181,5)*'ButsMPG + Var'!$K$27+COUNTIF(BDD!H181:AR181,4)*'ButsMPG + Var'!$K$26+COUNTIF(BDD!H181:AR181,3)*'ButsMPG + Var'!$K$25+COUNTIF(BDD!H181:AR181,2)*'ButsMPG + Var'!$K$24+COUNTIF(BDD!H181:AR181,1)*'ButsMPG + Var'!$K$23,0)))</f>
        <v>0</v>
      </c>
      <c r="H178" s="25">
        <f t="shared" si="3"/>
        <v>0</v>
      </c>
      <c r="I178" s="25">
        <f>BDD!G181</f>
        <v>0</v>
      </c>
      <c r="J178" s="25">
        <f>SUMPRODUCT(BDD!H181:AS181,'ButsMPG + Var'!$B$46:$AM$46)</f>
        <v>0</v>
      </c>
      <c r="K178" s="25" t="e">
        <f>10*('ButsMPG + Var'!$H$37*J178/MAX(J:J)+'ButsMPG + Var'!$G$37*H178/MAX(H:H))</f>
        <v>#DIV/0!</v>
      </c>
      <c r="L178" s="1">
        <f>IF(ISNA(VLOOKUP(B178,PrixMini!$B$3:$E$573,4,FALSE)),1,VLOOKUP(B178,PrixMini!$B$3:$E$573,4,FALSE))</f>
        <v>1</v>
      </c>
      <c r="M178" s="25" t="e">
        <f>IF(ROUND(CalculCotation!$D$3*EXP(CalculCotation!$C$3*K178)-CalculCotation!$D$3+1,0)&gt;L178,ROUND(CalculCotation!$D$3*EXP(CalculCotation!$C$3*K178)-CalculCotation!$D$3+1,0),L178)</f>
        <v>#DIV/0!</v>
      </c>
    </row>
    <row r="179" spans="2:13" x14ac:dyDescent="0.3">
      <c r="B179" s="1">
        <f>BDD!C182</f>
        <v>0</v>
      </c>
      <c r="C179" s="1">
        <f>BDD!B182</f>
        <v>0</v>
      </c>
      <c r="D179" s="1">
        <f>BDD!A182</f>
        <v>0</v>
      </c>
      <c r="E179" s="1">
        <f>BDD!D182</f>
        <v>0</v>
      </c>
      <c r="F179" s="1">
        <f>BDD!F182</f>
        <v>0</v>
      </c>
      <c r="G179" s="25">
        <f>'ButsMPG + Var'!$I$39*IF(C179="A",COUNTIF(BDD!H182:AR182,10)*'ButsMPG + Var'!$K$12+COUNTIF(BDD!H182:AR182,9)*'ButsMPG + Var'!$K$11+COUNTIF(BDD!H182:AR182,8)*'ButsMPG + Var'!$K$10+COUNTIF(BDD!H182:AR182,7)*'ButsMPG + Var'!$K$9+COUNTIF(BDD!H182:AR182,6)*'ButsMPG + Var'!$K$8+COUNTIF(BDD!H182:AR182,5)*'ButsMPG + Var'!$K$7+COUNTIF(BDD!H182:AR182,4)*'ButsMPG + Var'!$K$6+COUNTIF(BDD!H182:AR182,3)*'ButsMPG + Var'!$K$5+COUNTIF(BDD!H182:AR182,2)*'ButsMPG + Var'!$K$4+COUNTIF(BDD!H182:AR182,1)*'ButsMPG + Var'!$K$3,IF(C179="M",COUNTIF(BDD!H182:AR182,10)*'ButsMPG + Var'!$K$22+COUNTIF(BDD!H182:AR182,9)*'ButsMPG + Var'!$K$21+COUNTIF(BDD!H182:AR182,8)*'ButsMPG + Var'!$K$20+COUNTIF(BDD!H182:AR182,7)*'ButsMPG + Var'!$K$19+COUNTIF(BDD!H182:AR182,6)*'ButsMPG + Var'!$K$18+COUNTIF(BDD!H182:AR182,5)*'ButsMPG + Var'!$K$17+COUNTIF(BDD!H182:AR182,4)*'ButsMPG + Var'!$K$16+COUNTIF(BDD!H182:AR182,3)*'ButsMPG + Var'!$K$15+COUNTIF(BDD!H182:AR182,2)*'ButsMPG + Var'!$K$14+COUNTIF(BDD!H182:AR182,1)*'ButsMPG + Var'!$K$13,IF(C179="D",COUNTIF(BDD!H182:AR182,10)*'ButsMPG + Var'!$K$32+COUNTIF(BDD!H182:AR182,9)*'ButsMPG + Var'!$K$31+COUNTIF(BDD!H182:AR182,8)*'ButsMPG + Var'!$K$30+COUNTIF(BDD!H182:AR182,7)*'ButsMPG + Var'!$K$29+COUNTIF(BDD!H182:AR182,6)*'ButsMPG + Var'!$K$28+COUNTIF(BDD!H182:AR182,5)*'ButsMPG + Var'!$K$27+COUNTIF(BDD!H182:AR182,4)*'ButsMPG + Var'!$K$26+COUNTIF(BDD!H182:AR182,3)*'ButsMPG + Var'!$K$25+COUNTIF(BDD!H182:AR182,2)*'ButsMPG + Var'!$K$24+COUNTIF(BDD!H182:AR182,1)*'ButsMPG + Var'!$K$23,0)))</f>
        <v>0</v>
      </c>
      <c r="H179" s="25">
        <f t="shared" si="3"/>
        <v>0</v>
      </c>
      <c r="I179" s="25">
        <f>BDD!G182</f>
        <v>0</v>
      </c>
      <c r="J179" s="25">
        <f>SUMPRODUCT(BDD!H182:AS182,'ButsMPG + Var'!$B$46:$AM$46)</f>
        <v>0</v>
      </c>
      <c r="K179" s="25" t="e">
        <f>10*('ButsMPG + Var'!$H$37*J179/MAX(J:J)+'ButsMPG + Var'!$G$37*H179/MAX(H:H))</f>
        <v>#DIV/0!</v>
      </c>
      <c r="L179" s="1">
        <f>IF(ISNA(VLOOKUP(B179,PrixMini!$B$3:$E$573,4,FALSE)),1,VLOOKUP(B179,PrixMini!$B$3:$E$573,4,FALSE))</f>
        <v>1</v>
      </c>
      <c r="M179" s="25" t="e">
        <f>IF(ROUND(CalculCotation!$D$3*EXP(CalculCotation!$C$3*K179)-CalculCotation!$D$3+1,0)&gt;L179,ROUND(CalculCotation!$D$3*EXP(CalculCotation!$C$3*K179)-CalculCotation!$D$3+1,0),L179)</f>
        <v>#DIV/0!</v>
      </c>
    </row>
    <row r="180" spans="2:13" x14ac:dyDescent="0.3">
      <c r="B180" s="1">
        <f>BDD!C183</f>
        <v>0</v>
      </c>
      <c r="C180" s="1">
        <f>BDD!B183</f>
        <v>0</v>
      </c>
      <c r="D180" s="1">
        <f>BDD!A183</f>
        <v>0</v>
      </c>
      <c r="E180" s="1">
        <f>BDD!D183</f>
        <v>0</v>
      </c>
      <c r="F180" s="1">
        <f>BDD!F183</f>
        <v>0</v>
      </c>
      <c r="G180" s="25">
        <f>'ButsMPG + Var'!$I$39*IF(C180="A",COUNTIF(BDD!H183:AR183,10)*'ButsMPG + Var'!$K$12+COUNTIF(BDD!H183:AR183,9)*'ButsMPG + Var'!$K$11+COUNTIF(BDD!H183:AR183,8)*'ButsMPG + Var'!$K$10+COUNTIF(BDD!H183:AR183,7)*'ButsMPG + Var'!$K$9+COUNTIF(BDD!H183:AR183,6)*'ButsMPG + Var'!$K$8+COUNTIF(BDD!H183:AR183,5)*'ButsMPG + Var'!$K$7+COUNTIF(BDD!H183:AR183,4)*'ButsMPG + Var'!$K$6+COUNTIF(BDD!H183:AR183,3)*'ButsMPG + Var'!$K$5+COUNTIF(BDD!H183:AR183,2)*'ButsMPG + Var'!$K$4+COUNTIF(BDD!H183:AR183,1)*'ButsMPG + Var'!$K$3,IF(C180="M",COUNTIF(BDD!H183:AR183,10)*'ButsMPG + Var'!$K$22+COUNTIF(BDD!H183:AR183,9)*'ButsMPG + Var'!$K$21+COUNTIF(BDD!H183:AR183,8)*'ButsMPG + Var'!$K$20+COUNTIF(BDD!H183:AR183,7)*'ButsMPG + Var'!$K$19+COUNTIF(BDD!H183:AR183,6)*'ButsMPG + Var'!$K$18+COUNTIF(BDD!H183:AR183,5)*'ButsMPG + Var'!$K$17+COUNTIF(BDD!H183:AR183,4)*'ButsMPG + Var'!$K$16+COUNTIF(BDD!H183:AR183,3)*'ButsMPG + Var'!$K$15+COUNTIF(BDD!H183:AR183,2)*'ButsMPG + Var'!$K$14+COUNTIF(BDD!H183:AR183,1)*'ButsMPG + Var'!$K$13,IF(C180="D",COUNTIF(BDD!H183:AR183,10)*'ButsMPG + Var'!$K$32+COUNTIF(BDD!H183:AR183,9)*'ButsMPG + Var'!$K$31+COUNTIF(BDD!H183:AR183,8)*'ButsMPG + Var'!$K$30+COUNTIF(BDD!H183:AR183,7)*'ButsMPG + Var'!$K$29+COUNTIF(BDD!H183:AR183,6)*'ButsMPG + Var'!$K$28+COUNTIF(BDD!H183:AR183,5)*'ButsMPG + Var'!$K$27+COUNTIF(BDD!H183:AR183,4)*'ButsMPG + Var'!$K$26+COUNTIF(BDD!H183:AR183,3)*'ButsMPG + Var'!$K$25+COUNTIF(BDD!H183:AR183,2)*'ButsMPG + Var'!$K$24+COUNTIF(BDD!H183:AR183,1)*'ButsMPG + Var'!$K$23,0)))</f>
        <v>0</v>
      </c>
      <c r="H180" s="25">
        <f t="shared" si="3"/>
        <v>0</v>
      </c>
      <c r="I180" s="25">
        <f>BDD!G183</f>
        <v>0</v>
      </c>
      <c r="J180" s="25">
        <f>SUMPRODUCT(BDD!H183:AS183,'ButsMPG + Var'!$B$46:$AM$46)</f>
        <v>0</v>
      </c>
      <c r="K180" s="25" t="e">
        <f>10*('ButsMPG + Var'!$H$37*J180/MAX(J:J)+'ButsMPG + Var'!$G$37*H180/MAX(H:H))</f>
        <v>#DIV/0!</v>
      </c>
      <c r="L180" s="1">
        <f>IF(ISNA(VLOOKUP(B180,PrixMini!$B$3:$E$573,4,FALSE)),1,VLOOKUP(B180,PrixMini!$B$3:$E$573,4,FALSE))</f>
        <v>1</v>
      </c>
      <c r="M180" s="25" t="e">
        <f>IF(ROUND(CalculCotation!$D$3*EXP(CalculCotation!$C$3*K180)-CalculCotation!$D$3+1,0)&gt;L180,ROUND(CalculCotation!$D$3*EXP(CalculCotation!$C$3*K180)-CalculCotation!$D$3+1,0),L180)</f>
        <v>#DIV/0!</v>
      </c>
    </row>
    <row r="181" spans="2:13" x14ac:dyDescent="0.3">
      <c r="B181" s="1">
        <f>BDD!C184</f>
        <v>0</v>
      </c>
      <c r="C181" s="1">
        <f>BDD!B184</f>
        <v>0</v>
      </c>
      <c r="D181" s="1">
        <f>BDD!A184</f>
        <v>0</v>
      </c>
      <c r="E181" s="1">
        <f>BDD!D184</f>
        <v>0</v>
      </c>
      <c r="F181" s="1">
        <f>BDD!F184</f>
        <v>0</v>
      </c>
      <c r="G181" s="25">
        <f>'ButsMPG + Var'!$I$39*IF(C181="A",COUNTIF(BDD!H184:AR184,10)*'ButsMPG + Var'!$K$12+COUNTIF(BDD!H184:AR184,9)*'ButsMPG + Var'!$K$11+COUNTIF(BDD!H184:AR184,8)*'ButsMPG + Var'!$K$10+COUNTIF(BDD!H184:AR184,7)*'ButsMPG + Var'!$K$9+COUNTIF(BDD!H184:AR184,6)*'ButsMPG + Var'!$K$8+COUNTIF(BDD!H184:AR184,5)*'ButsMPG + Var'!$K$7+COUNTIF(BDD!H184:AR184,4)*'ButsMPG + Var'!$K$6+COUNTIF(BDD!H184:AR184,3)*'ButsMPG + Var'!$K$5+COUNTIF(BDD!H184:AR184,2)*'ButsMPG + Var'!$K$4+COUNTIF(BDD!H184:AR184,1)*'ButsMPG + Var'!$K$3,IF(C181="M",COUNTIF(BDD!H184:AR184,10)*'ButsMPG + Var'!$K$22+COUNTIF(BDD!H184:AR184,9)*'ButsMPG + Var'!$K$21+COUNTIF(BDD!H184:AR184,8)*'ButsMPG + Var'!$K$20+COUNTIF(BDD!H184:AR184,7)*'ButsMPG + Var'!$K$19+COUNTIF(BDD!H184:AR184,6)*'ButsMPG + Var'!$K$18+COUNTIF(BDD!H184:AR184,5)*'ButsMPG + Var'!$K$17+COUNTIF(BDD!H184:AR184,4)*'ButsMPG + Var'!$K$16+COUNTIF(BDD!H184:AR184,3)*'ButsMPG + Var'!$K$15+COUNTIF(BDD!H184:AR184,2)*'ButsMPG + Var'!$K$14+COUNTIF(BDD!H184:AR184,1)*'ButsMPG + Var'!$K$13,IF(C181="D",COUNTIF(BDD!H184:AR184,10)*'ButsMPG + Var'!$K$32+COUNTIF(BDD!H184:AR184,9)*'ButsMPG + Var'!$K$31+COUNTIF(BDD!H184:AR184,8)*'ButsMPG + Var'!$K$30+COUNTIF(BDD!H184:AR184,7)*'ButsMPG + Var'!$K$29+COUNTIF(BDD!H184:AR184,6)*'ButsMPG + Var'!$K$28+COUNTIF(BDD!H184:AR184,5)*'ButsMPG + Var'!$K$27+COUNTIF(BDD!H184:AR184,4)*'ButsMPG + Var'!$K$26+COUNTIF(BDD!H184:AR184,3)*'ButsMPG + Var'!$K$25+COUNTIF(BDD!H184:AR184,2)*'ButsMPG + Var'!$K$24+COUNTIF(BDD!H184:AR184,1)*'ButsMPG + Var'!$K$23,0)))</f>
        <v>0</v>
      </c>
      <c r="H181" s="25">
        <f t="shared" si="3"/>
        <v>0</v>
      </c>
      <c r="I181" s="25">
        <f>BDD!G184</f>
        <v>0</v>
      </c>
      <c r="J181" s="25">
        <f>SUMPRODUCT(BDD!H184:AS184,'ButsMPG + Var'!$B$46:$AM$46)</f>
        <v>0</v>
      </c>
      <c r="K181" s="25" t="e">
        <f>10*('ButsMPG + Var'!$H$37*J181/MAX(J:J)+'ButsMPG + Var'!$G$37*H181/MAX(H:H))</f>
        <v>#DIV/0!</v>
      </c>
      <c r="L181" s="1">
        <f>IF(ISNA(VLOOKUP(B181,PrixMini!$B$3:$E$573,4,FALSE)),1,VLOOKUP(B181,PrixMini!$B$3:$E$573,4,FALSE))</f>
        <v>1</v>
      </c>
      <c r="M181" s="25" t="e">
        <f>IF(ROUND(CalculCotation!$D$3*EXP(CalculCotation!$C$3*K181)-CalculCotation!$D$3+1,0)&gt;L181,ROUND(CalculCotation!$D$3*EXP(CalculCotation!$C$3*K181)-CalculCotation!$D$3+1,0),L181)</f>
        <v>#DIV/0!</v>
      </c>
    </row>
    <row r="182" spans="2:13" x14ac:dyDescent="0.3">
      <c r="B182" s="1">
        <f>BDD!C185</f>
        <v>0</v>
      </c>
      <c r="C182" s="1">
        <f>BDD!B185</f>
        <v>0</v>
      </c>
      <c r="D182" s="1">
        <f>BDD!A185</f>
        <v>0</v>
      </c>
      <c r="E182" s="1">
        <f>BDD!D185</f>
        <v>0</v>
      </c>
      <c r="F182" s="1">
        <f>BDD!F185</f>
        <v>0</v>
      </c>
      <c r="G182" s="25">
        <f>'ButsMPG + Var'!$I$39*IF(C182="A",COUNTIF(BDD!H185:AR185,10)*'ButsMPG + Var'!$K$12+COUNTIF(BDD!H185:AR185,9)*'ButsMPG + Var'!$K$11+COUNTIF(BDD!H185:AR185,8)*'ButsMPG + Var'!$K$10+COUNTIF(BDD!H185:AR185,7)*'ButsMPG + Var'!$K$9+COUNTIF(BDD!H185:AR185,6)*'ButsMPG + Var'!$K$8+COUNTIF(BDD!H185:AR185,5)*'ButsMPG + Var'!$K$7+COUNTIF(BDD!H185:AR185,4)*'ButsMPG + Var'!$K$6+COUNTIF(BDD!H185:AR185,3)*'ButsMPG + Var'!$K$5+COUNTIF(BDD!H185:AR185,2)*'ButsMPG + Var'!$K$4+COUNTIF(BDD!H185:AR185,1)*'ButsMPG + Var'!$K$3,IF(C182="M",COUNTIF(BDD!H185:AR185,10)*'ButsMPG + Var'!$K$22+COUNTIF(BDD!H185:AR185,9)*'ButsMPG + Var'!$K$21+COUNTIF(BDD!H185:AR185,8)*'ButsMPG + Var'!$K$20+COUNTIF(BDD!H185:AR185,7)*'ButsMPG + Var'!$K$19+COUNTIF(BDD!H185:AR185,6)*'ButsMPG + Var'!$K$18+COUNTIF(BDD!H185:AR185,5)*'ButsMPG + Var'!$K$17+COUNTIF(BDD!H185:AR185,4)*'ButsMPG + Var'!$K$16+COUNTIF(BDD!H185:AR185,3)*'ButsMPG + Var'!$K$15+COUNTIF(BDD!H185:AR185,2)*'ButsMPG + Var'!$K$14+COUNTIF(BDD!H185:AR185,1)*'ButsMPG + Var'!$K$13,IF(C182="D",COUNTIF(BDD!H185:AR185,10)*'ButsMPG + Var'!$K$32+COUNTIF(BDD!H185:AR185,9)*'ButsMPG + Var'!$K$31+COUNTIF(BDD!H185:AR185,8)*'ButsMPG + Var'!$K$30+COUNTIF(BDD!H185:AR185,7)*'ButsMPG + Var'!$K$29+COUNTIF(BDD!H185:AR185,6)*'ButsMPG + Var'!$K$28+COUNTIF(BDD!H185:AR185,5)*'ButsMPG + Var'!$K$27+COUNTIF(BDD!H185:AR185,4)*'ButsMPG + Var'!$K$26+COUNTIF(BDD!H185:AR185,3)*'ButsMPG + Var'!$K$25+COUNTIF(BDD!H185:AR185,2)*'ButsMPG + Var'!$K$24+COUNTIF(BDD!H185:AR185,1)*'ButsMPG + Var'!$K$23,0)))</f>
        <v>0</v>
      </c>
      <c r="H182" s="25">
        <f t="shared" si="3"/>
        <v>0</v>
      </c>
      <c r="I182" s="25">
        <f>BDD!G185</f>
        <v>0</v>
      </c>
      <c r="J182" s="25">
        <f>SUMPRODUCT(BDD!H185:AS185,'ButsMPG + Var'!$B$46:$AM$46)</f>
        <v>0</v>
      </c>
      <c r="K182" s="25" t="e">
        <f>10*('ButsMPG + Var'!$H$37*J182/MAX(J:J)+'ButsMPG + Var'!$G$37*H182/MAX(H:H))</f>
        <v>#DIV/0!</v>
      </c>
      <c r="L182" s="1">
        <f>IF(ISNA(VLOOKUP(B182,PrixMini!$B$3:$E$573,4,FALSE)),1,VLOOKUP(B182,PrixMini!$B$3:$E$573,4,FALSE))</f>
        <v>1</v>
      </c>
      <c r="M182" s="25" t="e">
        <f>IF(ROUND(CalculCotation!$D$3*EXP(CalculCotation!$C$3*K182)-CalculCotation!$D$3+1,0)&gt;L182,ROUND(CalculCotation!$D$3*EXP(CalculCotation!$C$3*K182)-CalculCotation!$D$3+1,0),L182)</f>
        <v>#DIV/0!</v>
      </c>
    </row>
    <row r="183" spans="2:13" x14ac:dyDescent="0.3">
      <c r="B183" s="1">
        <f>BDD!C186</f>
        <v>0</v>
      </c>
      <c r="C183" s="1">
        <f>BDD!B186</f>
        <v>0</v>
      </c>
      <c r="D183" s="1">
        <f>BDD!A186</f>
        <v>0</v>
      </c>
      <c r="E183" s="1">
        <f>BDD!D186</f>
        <v>0</v>
      </c>
      <c r="F183" s="1">
        <f>BDD!F186</f>
        <v>0</v>
      </c>
      <c r="G183" s="25">
        <f>'ButsMPG + Var'!$I$39*IF(C183="A",COUNTIF(BDD!H186:AR186,10)*'ButsMPG + Var'!$K$12+COUNTIF(BDD!H186:AR186,9)*'ButsMPG + Var'!$K$11+COUNTIF(BDD!H186:AR186,8)*'ButsMPG + Var'!$K$10+COUNTIF(BDD!H186:AR186,7)*'ButsMPG + Var'!$K$9+COUNTIF(BDD!H186:AR186,6)*'ButsMPG + Var'!$K$8+COUNTIF(BDD!H186:AR186,5)*'ButsMPG + Var'!$K$7+COUNTIF(BDD!H186:AR186,4)*'ButsMPG + Var'!$K$6+COUNTIF(BDD!H186:AR186,3)*'ButsMPG + Var'!$K$5+COUNTIF(BDD!H186:AR186,2)*'ButsMPG + Var'!$K$4+COUNTIF(BDD!H186:AR186,1)*'ButsMPG + Var'!$K$3,IF(C183="M",COUNTIF(BDD!H186:AR186,10)*'ButsMPG + Var'!$K$22+COUNTIF(BDD!H186:AR186,9)*'ButsMPG + Var'!$K$21+COUNTIF(BDD!H186:AR186,8)*'ButsMPG + Var'!$K$20+COUNTIF(BDD!H186:AR186,7)*'ButsMPG + Var'!$K$19+COUNTIF(BDD!H186:AR186,6)*'ButsMPG + Var'!$K$18+COUNTIF(BDD!H186:AR186,5)*'ButsMPG + Var'!$K$17+COUNTIF(BDD!H186:AR186,4)*'ButsMPG + Var'!$K$16+COUNTIF(BDD!H186:AR186,3)*'ButsMPG + Var'!$K$15+COUNTIF(BDD!H186:AR186,2)*'ButsMPG + Var'!$K$14+COUNTIF(BDD!H186:AR186,1)*'ButsMPG + Var'!$K$13,IF(C183="D",COUNTIF(BDD!H186:AR186,10)*'ButsMPG + Var'!$K$32+COUNTIF(BDD!H186:AR186,9)*'ButsMPG + Var'!$K$31+COUNTIF(BDD!H186:AR186,8)*'ButsMPG + Var'!$K$30+COUNTIF(BDD!H186:AR186,7)*'ButsMPG + Var'!$K$29+COUNTIF(BDD!H186:AR186,6)*'ButsMPG + Var'!$K$28+COUNTIF(BDD!H186:AR186,5)*'ButsMPG + Var'!$K$27+COUNTIF(BDD!H186:AR186,4)*'ButsMPG + Var'!$K$26+COUNTIF(BDD!H186:AR186,3)*'ButsMPG + Var'!$K$25+COUNTIF(BDD!H186:AR186,2)*'ButsMPG + Var'!$K$24+COUNTIF(BDD!H186:AR186,1)*'ButsMPG + Var'!$K$23,0)))</f>
        <v>0</v>
      </c>
      <c r="H183" s="25">
        <f t="shared" si="3"/>
        <v>0</v>
      </c>
      <c r="I183" s="25">
        <f>BDD!G186</f>
        <v>0</v>
      </c>
      <c r="J183" s="25">
        <f>SUMPRODUCT(BDD!H186:AS186,'ButsMPG + Var'!$B$46:$AM$46)</f>
        <v>0</v>
      </c>
      <c r="K183" s="25" t="e">
        <f>10*('ButsMPG + Var'!$H$37*J183/MAX(J:J)+'ButsMPG + Var'!$G$37*H183/MAX(H:H))</f>
        <v>#DIV/0!</v>
      </c>
      <c r="L183" s="1">
        <f>IF(ISNA(VLOOKUP(B183,PrixMini!$B$3:$E$573,4,FALSE)),1,VLOOKUP(B183,PrixMini!$B$3:$E$573,4,FALSE))</f>
        <v>1</v>
      </c>
      <c r="M183" s="25" t="e">
        <f>IF(ROUND(CalculCotation!$D$3*EXP(CalculCotation!$C$3*K183)-CalculCotation!$D$3+1,0)&gt;L183,ROUND(CalculCotation!$D$3*EXP(CalculCotation!$C$3*K183)-CalculCotation!$D$3+1,0),L183)</f>
        <v>#DIV/0!</v>
      </c>
    </row>
    <row r="184" spans="2:13" x14ac:dyDescent="0.3">
      <c r="B184" s="1">
        <f>BDD!C187</f>
        <v>0</v>
      </c>
      <c r="C184" s="1">
        <f>BDD!B187</f>
        <v>0</v>
      </c>
      <c r="D184" s="1">
        <f>BDD!A187</f>
        <v>0</v>
      </c>
      <c r="E184" s="1">
        <f>BDD!D187</f>
        <v>0</v>
      </c>
      <c r="F184" s="1">
        <f>BDD!F187</f>
        <v>0</v>
      </c>
      <c r="G184" s="25">
        <f>'ButsMPG + Var'!$I$39*IF(C184="A",COUNTIF(BDD!H187:AR187,10)*'ButsMPG + Var'!$K$12+COUNTIF(BDD!H187:AR187,9)*'ButsMPG + Var'!$K$11+COUNTIF(BDD!H187:AR187,8)*'ButsMPG + Var'!$K$10+COUNTIF(BDD!H187:AR187,7)*'ButsMPG + Var'!$K$9+COUNTIF(BDD!H187:AR187,6)*'ButsMPG + Var'!$K$8+COUNTIF(BDD!H187:AR187,5)*'ButsMPG + Var'!$K$7+COUNTIF(BDD!H187:AR187,4)*'ButsMPG + Var'!$K$6+COUNTIF(BDD!H187:AR187,3)*'ButsMPG + Var'!$K$5+COUNTIF(BDD!H187:AR187,2)*'ButsMPG + Var'!$K$4+COUNTIF(BDD!H187:AR187,1)*'ButsMPG + Var'!$K$3,IF(C184="M",COUNTIF(BDD!H187:AR187,10)*'ButsMPG + Var'!$K$22+COUNTIF(BDD!H187:AR187,9)*'ButsMPG + Var'!$K$21+COUNTIF(BDD!H187:AR187,8)*'ButsMPG + Var'!$K$20+COUNTIF(BDD!H187:AR187,7)*'ButsMPG + Var'!$K$19+COUNTIF(BDD!H187:AR187,6)*'ButsMPG + Var'!$K$18+COUNTIF(BDD!H187:AR187,5)*'ButsMPG + Var'!$K$17+COUNTIF(BDD!H187:AR187,4)*'ButsMPG + Var'!$K$16+COUNTIF(BDD!H187:AR187,3)*'ButsMPG + Var'!$K$15+COUNTIF(BDD!H187:AR187,2)*'ButsMPG + Var'!$K$14+COUNTIF(BDD!H187:AR187,1)*'ButsMPG + Var'!$K$13,IF(C184="D",COUNTIF(BDD!H187:AR187,10)*'ButsMPG + Var'!$K$32+COUNTIF(BDD!H187:AR187,9)*'ButsMPG + Var'!$K$31+COUNTIF(BDD!H187:AR187,8)*'ButsMPG + Var'!$K$30+COUNTIF(BDD!H187:AR187,7)*'ButsMPG + Var'!$K$29+COUNTIF(BDD!H187:AR187,6)*'ButsMPG + Var'!$K$28+COUNTIF(BDD!H187:AR187,5)*'ButsMPG + Var'!$K$27+COUNTIF(BDD!H187:AR187,4)*'ButsMPG + Var'!$K$26+COUNTIF(BDD!H187:AR187,3)*'ButsMPG + Var'!$K$25+COUNTIF(BDD!H187:AR187,2)*'ButsMPG + Var'!$K$24+COUNTIF(BDD!H187:AR187,1)*'ButsMPG + Var'!$K$23,0)))</f>
        <v>0</v>
      </c>
      <c r="H184" s="25">
        <f t="shared" si="3"/>
        <v>0</v>
      </c>
      <c r="I184" s="25">
        <f>BDD!G187</f>
        <v>0</v>
      </c>
      <c r="J184" s="25">
        <f>SUMPRODUCT(BDD!H187:AS187,'ButsMPG + Var'!$B$46:$AM$46)</f>
        <v>0</v>
      </c>
      <c r="K184" s="25" t="e">
        <f>10*('ButsMPG + Var'!$H$37*J184/MAX(J:J)+'ButsMPG + Var'!$G$37*H184/MAX(H:H))</f>
        <v>#DIV/0!</v>
      </c>
      <c r="L184" s="1">
        <f>IF(ISNA(VLOOKUP(B184,PrixMini!$B$3:$E$573,4,FALSE)),1,VLOOKUP(B184,PrixMini!$B$3:$E$573,4,FALSE))</f>
        <v>1</v>
      </c>
      <c r="M184" s="25" t="e">
        <f>IF(ROUND(CalculCotation!$D$3*EXP(CalculCotation!$C$3*K184)-CalculCotation!$D$3+1,0)&gt;L184,ROUND(CalculCotation!$D$3*EXP(CalculCotation!$C$3*K184)-CalculCotation!$D$3+1,0),L184)</f>
        <v>#DIV/0!</v>
      </c>
    </row>
    <row r="185" spans="2:13" x14ac:dyDescent="0.3">
      <c r="B185" s="1">
        <f>BDD!C188</f>
        <v>0</v>
      </c>
      <c r="C185" s="1">
        <f>BDD!B188</f>
        <v>0</v>
      </c>
      <c r="D185" s="1">
        <f>BDD!A188</f>
        <v>0</v>
      </c>
      <c r="E185" s="1">
        <f>BDD!D188</f>
        <v>0</v>
      </c>
      <c r="F185" s="1">
        <f>BDD!F188</f>
        <v>0</v>
      </c>
      <c r="G185" s="25">
        <f>'ButsMPG + Var'!$I$39*IF(C185="A",COUNTIF(BDD!H188:AR188,10)*'ButsMPG + Var'!$K$12+COUNTIF(BDD!H188:AR188,9)*'ButsMPG + Var'!$K$11+COUNTIF(BDD!H188:AR188,8)*'ButsMPG + Var'!$K$10+COUNTIF(BDD!H188:AR188,7)*'ButsMPG + Var'!$K$9+COUNTIF(BDD!H188:AR188,6)*'ButsMPG + Var'!$K$8+COUNTIF(BDD!H188:AR188,5)*'ButsMPG + Var'!$K$7+COUNTIF(BDD!H188:AR188,4)*'ButsMPG + Var'!$K$6+COUNTIF(BDD!H188:AR188,3)*'ButsMPG + Var'!$K$5+COUNTIF(BDD!H188:AR188,2)*'ButsMPG + Var'!$K$4+COUNTIF(BDD!H188:AR188,1)*'ButsMPG + Var'!$K$3,IF(C185="M",COUNTIF(BDD!H188:AR188,10)*'ButsMPG + Var'!$K$22+COUNTIF(BDD!H188:AR188,9)*'ButsMPG + Var'!$K$21+COUNTIF(BDD!H188:AR188,8)*'ButsMPG + Var'!$K$20+COUNTIF(BDD!H188:AR188,7)*'ButsMPG + Var'!$K$19+COUNTIF(BDD!H188:AR188,6)*'ButsMPG + Var'!$K$18+COUNTIF(BDD!H188:AR188,5)*'ButsMPG + Var'!$K$17+COUNTIF(BDD!H188:AR188,4)*'ButsMPG + Var'!$K$16+COUNTIF(BDD!H188:AR188,3)*'ButsMPG + Var'!$K$15+COUNTIF(BDD!H188:AR188,2)*'ButsMPG + Var'!$K$14+COUNTIF(BDD!H188:AR188,1)*'ButsMPG + Var'!$K$13,IF(C185="D",COUNTIF(BDD!H188:AR188,10)*'ButsMPG + Var'!$K$32+COUNTIF(BDD!H188:AR188,9)*'ButsMPG + Var'!$K$31+COUNTIF(BDD!H188:AR188,8)*'ButsMPG + Var'!$K$30+COUNTIF(BDD!H188:AR188,7)*'ButsMPG + Var'!$K$29+COUNTIF(BDD!H188:AR188,6)*'ButsMPG + Var'!$K$28+COUNTIF(BDD!H188:AR188,5)*'ButsMPG + Var'!$K$27+COUNTIF(BDD!H188:AR188,4)*'ButsMPG + Var'!$K$26+COUNTIF(BDD!H188:AR188,3)*'ButsMPG + Var'!$K$25+COUNTIF(BDD!H188:AR188,2)*'ButsMPG + Var'!$K$24+COUNTIF(BDD!H188:AR188,1)*'ButsMPG + Var'!$K$23,0)))</f>
        <v>0</v>
      </c>
      <c r="H185" s="25">
        <f t="shared" si="3"/>
        <v>0</v>
      </c>
      <c r="I185" s="25">
        <f>BDD!G188</f>
        <v>0</v>
      </c>
      <c r="J185" s="25">
        <f>SUMPRODUCT(BDD!H188:AS188,'ButsMPG + Var'!$B$46:$AM$46)</f>
        <v>0</v>
      </c>
      <c r="K185" s="25" t="e">
        <f>10*('ButsMPG + Var'!$H$37*J185/MAX(J:J)+'ButsMPG + Var'!$G$37*H185/MAX(H:H))</f>
        <v>#DIV/0!</v>
      </c>
      <c r="L185" s="1">
        <f>IF(ISNA(VLOOKUP(B185,PrixMini!$B$3:$E$573,4,FALSE)),1,VLOOKUP(B185,PrixMini!$B$3:$E$573,4,FALSE))</f>
        <v>1</v>
      </c>
      <c r="M185" s="25" t="e">
        <f>IF(ROUND(CalculCotation!$D$3*EXP(CalculCotation!$C$3*K185)-CalculCotation!$D$3+1,0)&gt;L185,ROUND(CalculCotation!$D$3*EXP(CalculCotation!$C$3*K185)-CalculCotation!$D$3+1,0),L185)</f>
        <v>#DIV/0!</v>
      </c>
    </row>
    <row r="186" spans="2:13" x14ac:dyDescent="0.3">
      <c r="B186" s="1">
        <f>BDD!C189</f>
        <v>0</v>
      </c>
      <c r="C186" s="1">
        <f>BDD!B189</f>
        <v>0</v>
      </c>
      <c r="D186" s="1">
        <f>BDD!A189</f>
        <v>0</v>
      </c>
      <c r="E186" s="1">
        <f>BDD!D189</f>
        <v>0</v>
      </c>
      <c r="F186" s="1">
        <f>BDD!F189</f>
        <v>0</v>
      </c>
      <c r="G186" s="25">
        <f>'ButsMPG + Var'!$I$39*IF(C186="A",COUNTIF(BDD!H189:AR189,10)*'ButsMPG + Var'!$K$12+COUNTIF(BDD!H189:AR189,9)*'ButsMPG + Var'!$K$11+COUNTIF(BDD!H189:AR189,8)*'ButsMPG + Var'!$K$10+COUNTIF(BDD!H189:AR189,7)*'ButsMPG + Var'!$K$9+COUNTIF(BDD!H189:AR189,6)*'ButsMPG + Var'!$K$8+COUNTIF(BDD!H189:AR189,5)*'ButsMPG + Var'!$K$7+COUNTIF(BDD!H189:AR189,4)*'ButsMPG + Var'!$K$6+COUNTIF(BDD!H189:AR189,3)*'ButsMPG + Var'!$K$5+COUNTIF(BDD!H189:AR189,2)*'ButsMPG + Var'!$K$4+COUNTIF(BDD!H189:AR189,1)*'ButsMPG + Var'!$K$3,IF(C186="M",COUNTIF(BDD!H189:AR189,10)*'ButsMPG + Var'!$K$22+COUNTIF(BDD!H189:AR189,9)*'ButsMPG + Var'!$K$21+COUNTIF(BDD!H189:AR189,8)*'ButsMPG + Var'!$K$20+COUNTIF(BDD!H189:AR189,7)*'ButsMPG + Var'!$K$19+COUNTIF(BDD!H189:AR189,6)*'ButsMPG + Var'!$K$18+COUNTIF(BDD!H189:AR189,5)*'ButsMPG + Var'!$K$17+COUNTIF(BDD!H189:AR189,4)*'ButsMPG + Var'!$K$16+COUNTIF(BDD!H189:AR189,3)*'ButsMPG + Var'!$K$15+COUNTIF(BDD!H189:AR189,2)*'ButsMPG + Var'!$K$14+COUNTIF(BDD!H189:AR189,1)*'ButsMPG + Var'!$K$13,IF(C186="D",COUNTIF(BDD!H189:AR189,10)*'ButsMPG + Var'!$K$32+COUNTIF(BDD!H189:AR189,9)*'ButsMPG + Var'!$K$31+COUNTIF(BDD!H189:AR189,8)*'ButsMPG + Var'!$K$30+COUNTIF(BDD!H189:AR189,7)*'ButsMPG + Var'!$K$29+COUNTIF(BDD!H189:AR189,6)*'ButsMPG + Var'!$K$28+COUNTIF(BDD!H189:AR189,5)*'ButsMPG + Var'!$K$27+COUNTIF(BDD!H189:AR189,4)*'ButsMPG + Var'!$K$26+COUNTIF(BDD!H189:AR189,3)*'ButsMPG + Var'!$K$25+COUNTIF(BDD!H189:AR189,2)*'ButsMPG + Var'!$K$24+COUNTIF(BDD!H189:AR189,1)*'ButsMPG + Var'!$K$23,0)))</f>
        <v>0</v>
      </c>
      <c r="H186" s="25">
        <f t="shared" si="3"/>
        <v>0</v>
      </c>
      <c r="I186" s="25">
        <f>BDD!G189</f>
        <v>0</v>
      </c>
      <c r="J186" s="25">
        <f>SUMPRODUCT(BDD!H189:AS189,'ButsMPG + Var'!$B$46:$AM$46)</f>
        <v>0</v>
      </c>
      <c r="K186" s="25" t="e">
        <f>10*('ButsMPG + Var'!$H$37*J186/MAX(J:J)+'ButsMPG + Var'!$G$37*H186/MAX(H:H))</f>
        <v>#DIV/0!</v>
      </c>
      <c r="L186" s="1">
        <f>IF(ISNA(VLOOKUP(B186,PrixMini!$B$3:$E$573,4,FALSE)),1,VLOOKUP(B186,PrixMini!$B$3:$E$573,4,FALSE))</f>
        <v>1</v>
      </c>
      <c r="M186" s="25" t="e">
        <f>IF(ROUND(CalculCotation!$D$3*EXP(CalculCotation!$C$3*K186)-CalculCotation!$D$3+1,0)&gt;L186,ROUND(CalculCotation!$D$3*EXP(CalculCotation!$C$3*K186)-CalculCotation!$D$3+1,0),L186)</f>
        <v>#DIV/0!</v>
      </c>
    </row>
    <row r="187" spans="2:13" x14ac:dyDescent="0.3">
      <c r="B187" s="1">
        <f>BDD!C190</f>
        <v>0</v>
      </c>
      <c r="C187" s="1">
        <f>BDD!B190</f>
        <v>0</v>
      </c>
      <c r="D187" s="1">
        <f>BDD!A190</f>
        <v>0</v>
      </c>
      <c r="E187" s="1">
        <f>BDD!D190</f>
        <v>0</v>
      </c>
      <c r="F187" s="1">
        <f>BDD!F190</f>
        <v>0</v>
      </c>
      <c r="G187" s="25">
        <f>'ButsMPG + Var'!$I$39*IF(C187="A",COUNTIF(BDD!H190:AR190,10)*'ButsMPG + Var'!$K$12+COUNTIF(BDD!H190:AR190,9)*'ButsMPG + Var'!$K$11+COUNTIF(BDD!H190:AR190,8)*'ButsMPG + Var'!$K$10+COUNTIF(BDD!H190:AR190,7)*'ButsMPG + Var'!$K$9+COUNTIF(BDD!H190:AR190,6)*'ButsMPG + Var'!$K$8+COUNTIF(BDD!H190:AR190,5)*'ButsMPG + Var'!$K$7+COUNTIF(BDD!H190:AR190,4)*'ButsMPG + Var'!$K$6+COUNTIF(BDD!H190:AR190,3)*'ButsMPG + Var'!$K$5+COUNTIF(BDD!H190:AR190,2)*'ButsMPG + Var'!$K$4+COUNTIF(BDD!H190:AR190,1)*'ButsMPG + Var'!$K$3,IF(C187="M",COUNTIF(BDD!H190:AR190,10)*'ButsMPG + Var'!$K$22+COUNTIF(BDD!H190:AR190,9)*'ButsMPG + Var'!$K$21+COUNTIF(BDD!H190:AR190,8)*'ButsMPG + Var'!$K$20+COUNTIF(BDD!H190:AR190,7)*'ButsMPG + Var'!$K$19+COUNTIF(BDD!H190:AR190,6)*'ButsMPG + Var'!$K$18+COUNTIF(BDD!H190:AR190,5)*'ButsMPG + Var'!$K$17+COUNTIF(BDD!H190:AR190,4)*'ButsMPG + Var'!$K$16+COUNTIF(BDD!H190:AR190,3)*'ButsMPG + Var'!$K$15+COUNTIF(BDD!H190:AR190,2)*'ButsMPG + Var'!$K$14+COUNTIF(BDD!H190:AR190,1)*'ButsMPG + Var'!$K$13,IF(C187="D",COUNTIF(BDD!H190:AR190,10)*'ButsMPG + Var'!$K$32+COUNTIF(BDD!H190:AR190,9)*'ButsMPG + Var'!$K$31+COUNTIF(BDD!H190:AR190,8)*'ButsMPG + Var'!$K$30+COUNTIF(BDD!H190:AR190,7)*'ButsMPG + Var'!$K$29+COUNTIF(BDD!H190:AR190,6)*'ButsMPG + Var'!$K$28+COUNTIF(BDD!H190:AR190,5)*'ButsMPG + Var'!$K$27+COUNTIF(BDD!H190:AR190,4)*'ButsMPG + Var'!$K$26+COUNTIF(BDD!H190:AR190,3)*'ButsMPG + Var'!$K$25+COUNTIF(BDD!H190:AR190,2)*'ButsMPG + Var'!$K$24+COUNTIF(BDD!H190:AR190,1)*'ButsMPG + Var'!$K$23,0)))</f>
        <v>0</v>
      </c>
      <c r="H187" s="25">
        <f t="shared" si="3"/>
        <v>0</v>
      </c>
      <c r="I187" s="25">
        <f>BDD!G190</f>
        <v>0</v>
      </c>
      <c r="J187" s="25">
        <f>SUMPRODUCT(BDD!H190:AS190,'ButsMPG + Var'!$B$46:$AM$46)</f>
        <v>0</v>
      </c>
      <c r="K187" s="25" t="e">
        <f>10*('ButsMPG + Var'!$H$37*J187/MAX(J:J)+'ButsMPG + Var'!$G$37*H187/MAX(H:H))</f>
        <v>#DIV/0!</v>
      </c>
      <c r="L187" s="1">
        <f>IF(ISNA(VLOOKUP(B187,PrixMini!$B$3:$E$573,4,FALSE)),1,VLOOKUP(B187,PrixMini!$B$3:$E$573,4,FALSE))</f>
        <v>1</v>
      </c>
      <c r="M187" s="25" t="e">
        <f>IF(ROUND(CalculCotation!$D$3*EXP(CalculCotation!$C$3*K187)-CalculCotation!$D$3+1,0)&gt;L187,ROUND(CalculCotation!$D$3*EXP(CalculCotation!$C$3*K187)-CalculCotation!$D$3+1,0),L187)</f>
        <v>#DIV/0!</v>
      </c>
    </row>
    <row r="188" spans="2:13" x14ac:dyDescent="0.3">
      <c r="B188" s="1">
        <f>BDD!C191</f>
        <v>0</v>
      </c>
      <c r="C188" s="1">
        <f>BDD!B191</f>
        <v>0</v>
      </c>
      <c r="D188" s="1">
        <f>BDD!A191</f>
        <v>0</v>
      </c>
      <c r="E188" s="1">
        <f>BDD!D191</f>
        <v>0</v>
      </c>
      <c r="F188" s="1">
        <f>BDD!F191</f>
        <v>0</v>
      </c>
      <c r="G188" s="25">
        <f>'ButsMPG + Var'!$I$39*IF(C188="A",COUNTIF(BDD!H191:AR191,10)*'ButsMPG + Var'!$K$12+COUNTIF(BDD!H191:AR191,9)*'ButsMPG + Var'!$K$11+COUNTIF(BDD!H191:AR191,8)*'ButsMPG + Var'!$K$10+COUNTIF(BDD!H191:AR191,7)*'ButsMPG + Var'!$K$9+COUNTIF(BDD!H191:AR191,6)*'ButsMPG + Var'!$K$8+COUNTIF(BDD!H191:AR191,5)*'ButsMPG + Var'!$K$7+COUNTIF(BDD!H191:AR191,4)*'ButsMPG + Var'!$K$6+COUNTIF(BDD!H191:AR191,3)*'ButsMPG + Var'!$K$5+COUNTIF(BDD!H191:AR191,2)*'ButsMPG + Var'!$K$4+COUNTIF(BDD!H191:AR191,1)*'ButsMPG + Var'!$K$3,IF(C188="M",COUNTIF(BDD!H191:AR191,10)*'ButsMPG + Var'!$K$22+COUNTIF(BDD!H191:AR191,9)*'ButsMPG + Var'!$K$21+COUNTIF(BDD!H191:AR191,8)*'ButsMPG + Var'!$K$20+COUNTIF(BDD!H191:AR191,7)*'ButsMPG + Var'!$K$19+COUNTIF(BDD!H191:AR191,6)*'ButsMPG + Var'!$K$18+COUNTIF(BDD!H191:AR191,5)*'ButsMPG + Var'!$K$17+COUNTIF(BDD!H191:AR191,4)*'ButsMPG + Var'!$K$16+COUNTIF(BDD!H191:AR191,3)*'ButsMPG + Var'!$K$15+COUNTIF(BDD!H191:AR191,2)*'ButsMPG + Var'!$K$14+COUNTIF(BDD!H191:AR191,1)*'ButsMPG + Var'!$K$13,IF(C188="D",COUNTIF(BDD!H191:AR191,10)*'ButsMPG + Var'!$K$32+COUNTIF(BDD!H191:AR191,9)*'ButsMPG + Var'!$K$31+COUNTIF(BDD!H191:AR191,8)*'ButsMPG + Var'!$K$30+COUNTIF(BDD!H191:AR191,7)*'ButsMPG + Var'!$K$29+COUNTIF(BDD!H191:AR191,6)*'ButsMPG + Var'!$K$28+COUNTIF(BDD!H191:AR191,5)*'ButsMPG + Var'!$K$27+COUNTIF(BDD!H191:AR191,4)*'ButsMPG + Var'!$K$26+COUNTIF(BDD!H191:AR191,3)*'ButsMPG + Var'!$K$25+COUNTIF(BDD!H191:AR191,2)*'ButsMPG + Var'!$K$24+COUNTIF(BDD!H191:AR191,1)*'ButsMPG + Var'!$K$23,0)))</f>
        <v>0</v>
      </c>
      <c r="H188" s="25">
        <f t="shared" si="3"/>
        <v>0</v>
      </c>
      <c r="I188" s="25">
        <f>BDD!G191</f>
        <v>0</v>
      </c>
      <c r="J188" s="25">
        <f>SUMPRODUCT(BDD!H191:AS191,'ButsMPG + Var'!$B$46:$AM$46)</f>
        <v>0</v>
      </c>
      <c r="K188" s="25" t="e">
        <f>10*('ButsMPG + Var'!$H$37*J188/MAX(J:J)+'ButsMPG + Var'!$G$37*H188/MAX(H:H))</f>
        <v>#DIV/0!</v>
      </c>
      <c r="L188" s="1">
        <f>IF(ISNA(VLOOKUP(B188,PrixMini!$B$3:$E$573,4,FALSE)),1,VLOOKUP(B188,PrixMini!$B$3:$E$573,4,FALSE))</f>
        <v>1</v>
      </c>
      <c r="M188" s="25" t="e">
        <f>IF(ROUND(CalculCotation!$D$3*EXP(CalculCotation!$C$3*K188)-CalculCotation!$D$3+1,0)&gt;L188,ROUND(CalculCotation!$D$3*EXP(CalculCotation!$C$3*K188)-CalculCotation!$D$3+1,0),L188)</f>
        <v>#DIV/0!</v>
      </c>
    </row>
    <row r="189" spans="2:13" x14ac:dyDescent="0.3">
      <c r="B189" s="1">
        <f>BDD!C192</f>
        <v>0</v>
      </c>
      <c r="C189" s="1">
        <f>BDD!B192</f>
        <v>0</v>
      </c>
      <c r="D189" s="1">
        <f>BDD!A192</f>
        <v>0</v>
      </c>
      <c r="E189" s="1">
        <f>BDD!D192</f>
        <v>0</v>
      </c>
      <c r="F189" s="1">
        <f>BDD!F192</f>
        <v>0</v>
      </c>
      <c r="G189" s="25">
        <f>'ButsMPG + Var'!$I$39*IF(C189="A",COUNTIF(BDD!H192:AR192,10)*'ButsMPG + Var'!$K$12+COUNTIF(BDD!H192:AR192,9)*'ButsMPG + Var'!$K$11+COUNTIF(BDD!H192:AR192,8)*'ButsMPG + Var'!$K$10+COUNTIF(BDD!H192:AR192,7)*'ButsMPG + Var'!$K$9+COUNTIF(BDD!H192:AR192,6)*'ButsMPG + Var'!$K$8+COUNTIF(BDD!H192:AR192,5)*'ButsMPG + Var'!$K$7+COUNTIF(BDD!H192:AR192,4)*'ButsMPG + Var'!$K$6+COUNTIF(BDD!H192:AR192,3)*'ButsMPG + Var'!$K$5+COUNTIF(BDD!H192:AR192,2)*'ButsMPG + Var'!$K$4+COUNTIF(BDD!H192:AR192,1)*'ButsMPG + Var'!$K$3,IF(C189="M",COUNTIF(BDD!H192:AR192,10)*'ButsMPG + Var'!$K$22+COUNTIF(BDD!H192:AR192,9)*'ButsMPG + Var'!$K$21+COUNTIF(BDD!H192:AR192,8)*'ButsMPG + Var'!$K$20+COUNTIF(BDD!H192:AR192,7)*'ButsMPG + Var'!$K$19+COUNTIF(BDD!H192:AR192,6)*'ButsMPG + Var'!$K$18+COUNTIF(BDD!H192:AR192,5)*'ButsMPG + Var'!$K$17+COUNTIF(BDD!H192:AR192,4)*'ButsMPG + Var'!$K$16+COUNTIF(BDD!H192:AR192,3)*'ButsMPG + Var'!$K$15+COUNTIF(BDD!H192:AR192,2)*'ButsMPG + Var'!$K$14+COUNTIF(BDD!H192:AR192,1)*'ButsMPG + Var'!$K$13,IF(C189="D",COUNTIF(BDD!H192:AR192,10)*'ButsMPG + Var'!$K$32+COUNTIF(BDD!H192:AR192,9)*'ButsMPG + Var'!$K$31+COUNTIF(BDD!H192:AR192,8)*'ButsMPG + Var'!$K$30+COUNTIF(BDD!H192:AR192,7)*'ButsMPG + Var'!$K$29+COUNTIF(BDD!H192:AR192,6)*'ButsMPG + Var'!$K$28+COUNTIF(BDD!H192:AR192,5)*'ButsMPG + Var'!$K$27+COUNTIF(BDD!H192:AR192,4)*'ButsMPG + Var'!$K$26+COUNTIF(BDD!H192:AR192,3)*'ButsMPG + Var'!$K$25+COUNTIF(BDD!H192:AR192,2)*'ButsMPG + Var'!$K$24+COUNTIF(BDD!H192:AR192,1)*'ButsMPG + Var'!$K$23,0)))</f>
        <v>0</v>
      </c>
      <c r="H189" s="25">
        <f t="shared" si="3"/>
        <v>0</v>
      </c>
      <c r="I189" s="25">
        <f>BDD!G192</f>
        <v>0</v>
      </c>
      <c r="J189" s="25">
        <f>SUMPRODUCT(BDD!H192:AS192,'ButsMPG + Var'!$B$46:$AM$46)</f>
        <v>0</v>
      </c>
      <c r="K189" s="25" t="e">
        <f>10*('ButsMPG + Var'!$H$37*J189/MAX(J:J)+'ButsMPG + Var'!$G$37*H189/MAX(H:H))</f>
        <v>#DIV/0!</v>
      </c>
      <c r="L189" s="1">
        <f>IF(ISNA(VLOOKUP(B189,PrixMini!$B$3:$E$573,4,FALSE)),1,VLOOKUP(B189,PrixMini!$B$3:$E$573,4,FALSE))</f>
        <v>1</v>
      </c>
      <c r="M189" s="25" t="e">
        <f>IF(ROUND(CalculCotation!$D$3*EXP(CalculCotation!$C$3*K189)-CalculCotation!$D$3+1,0)&gt;L189,ROUND(CalculCotation!$D$3*EXP(CalculCotation!$C$3*K189)-CalculCotation!$D$3+1,0),L189)</f>
        <v>#DIV/0!</v>
      </c>
    </row>
    <row r="190" spans="2:13" x14ac:dyDescent="0.3">
      <c r="B190" s="1">
        <f>BDD!C193</f>
        <v>0</v>
      </c>
      <c r="C190" s="1">
        <f>BDD!B193</f>
        <v>0</v>
      </c>
      <c r="D190" s="1">
        <f>BDD!A193</f>
        <v>0</v>
      </c>
      <c r="E190" s="1">
        <f>BDD!D193</f>
        <v>0</v>
      </c>
      <c r="F190" s="1">
        <f>BDD!F193</f>
        <v>0</v>
      </c>
      <c r="G190" s="25">
        <f>'ButsMPG + Var'!$I$39*IF(C190="A",COUNTIF(BDD!H193:AR193,10)*'ButsMPG + Var'!$K$12+COUNTIF(BDD!H193:AR193,9)*'ButsMPG + Var'!$K$11+COUNTIF(BDD!H193:AR193,8)*'ButsMPG + Var'!$K$10+COUNTIF(BDD!H193:AR193,7)*'ButsMPG + Var'!$K$9+COUNTIF(BDD!H193:AR193,6)*'ButsMPG + Var'!$K$8+COUNTIF(BDD!H193:AR193,5)*'ButsMPG + Var'!$K$7+COUNTIF(BDD!H193:AR193,4)*'ButsMPG + Var'!$K$6+COUNTIF(BDD!H193:AR193,3)*'ButsMPG + Var'!$K$5+COUNTIF(BDD!H193:AR193,2)*'ButsMPG + Var'!$K$4+COUNTIF(BDD!H193:AR193,1)*'ButsMPG + Var'!$K$3,IF(C190="M",COUNTIF(BDD!H193:AR193,10)*'ButsMPG + Var'!$K$22+COUNTIF(BDD!H193:AR193,9)*'ButsMPG + Var'!$K$21+COUNTIF(BDD!H193:AR193,8)*'ButsMPG + Var'!$K$20+COUNTIF(BDD!H193:AR193,7)*'ButsMPG + Var'!$K$19+COUNTIF(BDD!H193:AR193,6)*'ButsMPG + Var'!$K$18+COUNTIF(BDD!H193:AR193,5)*'ButsMPG + Var'!$K$17+COUNTIF(BDD!H193:AR193,4)*'ButsMPG + Var'!$K$16+COUNTIF(BDD!H193:AR193,3)*'ButsMPG + Var'!$K$15+COUNTIF(BDD!H193:AR193,2)*'ButsMPG + Var'!$K$14+COUNTIF(BDD!H193:AR193,1)*'ButsMPG + Var'!$K$13,IF(C190="D",COUNTIF(BDD!H193:AR193,10)*'ButsMPG + Var'!$K$32+COUNTIF(BDD!H193:AR193,9)*'ButsMPG + Var'!$K$31+COUNTIF(BDD!H193:AR193,8)*'ButsMPG + Var'!$K$30+COUNTIF(BDD!H193:AR193,7)*'ButsMPG + Var'!$K$29+COUNTIF(BDD!H193:AR193,6)*'ButsMPG + Var'!$K$28+COUNTIF(BDD!H193:AR193,5)*'ButsMPG + Var'!$K$27+COUNTIF(BDD!H193:AR193,4)*'ButsMPG + Var'!$K$26+COUNTIF(BDD!H193:AR193,3)*'ButsMPG + Var'!$K$25+COUNTIF(BDD!H193:AR193,2)*'ButsMPG + Var'!$K$24+COUNTIF(BDD!H193:AR193,1)*'ButsMPG + Var'!$K$23,0)))</f>
        <v>0</v>
      </c>
      <c r="H190" s="25">
        <f t="shared" si="3"/>
        <v>0</v>
      </c>
      <c r="I190" s="25">
        <f>BDD!G193</f>
        <v>0</v>
      </c>
      <c r="J190" s="25">
        <f>SUMPRODUCT(BDD!H193:AS193,'ButsMPG + Var'!$B$46:$AM$46)</f>
        <v>0</v>
      </c>
      <c r="K190" s="25" t="e">
        <f>10*('ButsMPG + Var'!$H$37*J190/MAX(J:J)+'ButsMPG + Var'!$G$37*H190/MAX(H:H))</f>
        <v>#DIV/0!</v>
      </c>
      <c r="L190" s="1">
        <f>IF(ISNA(VLOOKUP(B190,PrixMini!$B$3:$E$573,4,FALSE)),1,VLOOKUP(B190,PrixMini!$B$3:$E$573,4,FALSE))</f>
        <v>1</v>
      </c>
      <c r="M190" s="25" t="e">
        <f>IF(ROUND(CalculCotation!$D$3*EXP(CalculCotation!$C$3*K190)-CalculCotation!$D$3+1,0)&gt;L190,ROUND(CalculCotation!$D$3*EXP(CalculCotation!$C$3*K190)-CalculCotation!$D$3+1,0),L190)</f>
        <v>#DIV/0!</v>
      </c>
    </row>
    <row r="191" spans="2:13" x14ac:dyDescent="0.3">
      <c r="B191" s="1">
        <f>BDD!C194</f>
        <v>0</v>
      </c>
      <c r="C191" s="1">
        <f>BDD!B194</f>
        <v>0</v>
      </c>
      <c r="D191" s="1">
        <f>BDD!A194</f>
        <v>0</v>
      </c>
      <c r="E191" s="1">
        <f>BDD!D194</f>
        <v>0</v>
      </c>
      <c r="F191" s="1">
        <f>BDD!F194</f>
        <v>0</v>
      </c>
      <c r="G191" s="25">
        <f>'ButsMPG + Var'!$I$39*IF(C191="A",COUNTIF(BDD!H194:AR194,10)*'ButsMPG + Var'!$K$12+COUNTIF(BDD!H194:AR194,9)*'ButsMPG + Var'!$K$11+COUNTIF(BDD!H194:AR194,8)*'ButsMPG + Var'!$K$10+COUNTIF(BDD!H194:AR194,7)*'ButsMPG + Var'!$K$9+COUNTIF(BDD!H194:AR194,6)*'ButsMPG + Var'!$K$8+COUNTIF(BDD!H194:AR194,5)*'ButsMPG + Var'!$K$7+COUNTIF(BDD!H194:AR194,4)*'ButsMPG + Var'!$K$6+COUNTIF(BDD!H194:AR194,3)*'ButsMPG + Var'!$K$5+COUNTIF(BDD!H194:AR194,2)*'ButsMPG + Var'!$K$4+COUNTIF(BDD!H194:AR194,1)*'ButsMPG + Var'!$K$3,IF(C191="M",COUNTIF(BDD!H194:AR194,10)*'ButsMPG + Var'!$K$22+COUNTIF(BDD!H194:AR194,9)*'ButsMPG + Var'!$K$21+COUNTIF(BDD!H194:AR194,8)*'ButsMPG + Var'!$K$20+COUNTIF(BDD!H194:AR194,7)*'ButsMPG + Var'!$K$19+COUNTIF(BDD!H194:AR194,6)*'ButsMPG + Var'!$K$18+COUNTIF(BDD!H194:AR194,5)*'ButsMPG + Var'!$K$17+COUNTIF(BDD!H194:AR194,4)*'ButsMPG + Var'!$K$16+COUNTIF(BDD!H194:AR194,3)*'ButsMPG + Var'!$K$15+COUNTIF(BDD!H194:AR194,2)*'ButsMPG + Var'!$K$14+COUNTIF(BDD!H194:AR194,1)*'ButsMPG + Var'!$K$13,IF(C191="D",COUNTIF(BDD!H194:AR194,10)*'ButsMPG + Var'!$K$32+COUNTIF(BDD!H194:AR194,9)*'ButsMPG + Var'!$K$31+COUNTIF(BDD!H194:AR194,8)*'ButsMPG + Var'!$K$30+COUNTIF(BDD!H194:AR194,7)*'ButsMPG + Var'!$K$29+COUNTIF(BDD!H194:AR194,6)*'ButsMPG + Var'!$K$28+COUNTIF(BDD!H194:AR194,5)*'ButsMPG + Var'!$K$27+COUNTIF(BDD!H194:AR194,4)*'ButsMPG + Var'!$K$26+COUNTIF(BDD!H194:AR194,3)*'ButsMPG + Var'!$K$25+COUNTIF(BDD!H194:AR194,2)*'ButsMPG + Var'!$K$24+COUNTIF(BDD!H194:AR194,1)*'ButsMPG + Var'!$K$23,0)))</f>
        <v>0</v>
      </c>
      <c r="H191" s="25">
        <f t="shared" si="3"/>
        <v>0</v>
      </c>
      <c r="I191" s="25">
        <f>BDD!G194</f>
        <v>0</v>
      </c>
      <c r="J191" s="25">
        <f>SUMPRODUCT(BDD!H194:AS194,'ButsMPG + Var'!$B$46:$AM$46)</f>
        <v>0</v>
      </c>
      <c r="K191" s="25" t="e">
        <f>10*('ButsMPG + Var'!$H$37*J191/MAX(J:J)+'ButsMPG + Var'!$G$37*H191/MAX(H:H))</f>
        <v>#DIV/0!</v>
      </c>
      <c r="L191" s="1">
        <f>IF(ISNA(VLOOKUP(B191,PrixMini!$B$3:$E$573,4,FALSE)),1,VLOOKUP(B191,PrixMini!$B$3:$E$573,4,FALSE))</f>
        <v>1</v>
      </c>
      <c r="M191" s="25" t="e">
        <f>IF(ROUND(CalculCotation!$D$3*EXP(CalculCotation!$C$3*K191)-CalculCotation!$D$3+1,0)&gt;L191,ROUND(CalculCotation!$D$3*EXP(CalculCotation!$C$3*K191)-CalculCotation!$D$3+1,0),L191)</f>
        <v>#DIV/0!</v>
      </c>
    </row>
    <row r="192" spans="2:13" x14ac:dyDescent="0.3">
      <c r="B192" s="1">
        <f>BDD!C195</f>
        <v>0</v>
      </c>
      <c r="C192" s="1">
        <f>BDD!B195</f>
        <v>0</v>
      </c>
      <c r="D192" s="1">
        <f>BDD!A195</f>
        <v>0</v>
      </c>
      <c r="E192" s="1">
        <f>BDD!D195</f>
        <v>0</v>
      </c>
      <c r="F192" s="1">
        <f>BDD!F195</f>
        <v>0</v>
      </c>
      <c r="G192" s="25">
        <f>'ButsMPG + Var'!$I$39*IF(C192="A",COUNTIF(BDD!H195:AR195,10)*'ButsMPG + Var'!$K$12+COUNTIF(BDD!H195:AR195,9)*'ButsMPG + Var'!$K$11+COUNTIF(BDD!H195:AR195,8)*'ButsMPG + Var'!$K$10+COUNTIF(BDD!H195:AR195,7)*'ButsMPG + Var'!$K$9+COUNTIF(BDD!H195:AR195,6)*'ButsMPG + Var'!$K$8+COUNTIF(BDD!H195:AR195,5)*'ButsMPG + Var'!$K$7+COUNTIF(BDD!H195:AR195,4)*'ButsMPG + Var'!$K$6+COUNTIF(BDD!H195:AR195,3)*'ButsMPG + Var'!$K$5+COUNTIF(BDD!H195:AR195,2)*'ButsMPG + Var'!$K$4+COUNTIF(BDD!H195:AR195,1)*'ButsMPG + Var'!$K$3,IF(C192="M",COUNTIF(BDD!H195:AR195,10)*'ButsMPG + Var'!$K$22+COUNTIF(BDD!H195:AR195,9)*'ButsMPG + Var'!$K$21+COUNTIF(BDD!H195:AR195,8)*'ButsMPG + Var'!$K$20+COUNTIF(BDD!H195:AR195,7)*'ButsMPG + Var'!$K$19+COUNTIF(BDD!H195:AR195,6)*'ButsMPG + Var'!$K$18+COUNTIF(BDD!H195:AR195,5)*'ButsMPG + Var'!$K$17+COUNTIF(BDD!H195:AR195,4)*'ButsMPG + Var'!$K$16+COUNTIF(BDD!H195:AR195,3)*'ButsMPG + Var'!$K$15+COUNTIF(BDD!H195:AR195,2)*'ButsMPG + Var'!$K$14+COUNTIF(BDD!H195:AR195,1)*'ButsMPG + Var'!$K$13,IF(C192="D",COUNTIF(BDD!H195:AR195,10)*'ButsMPG + Var'!$K$32+COUNTIF(BDD!H195:AR195,9)*'ButsMPG + Var'!$K$31+COUNTIF(BDD!H195:AR195,8)*'ButsMPG + Var'!$K$30+COUNTIF(BDD!H195:AR195,7)*'ButsMPG + Var'!$K$29+COUNTIF(BDD!H195:AR195,6)*'ButsMPG + Var'!$K$28+COUNTIF(BDD!H195:AR195,5)*'ButsMPG + Var'!$K$27+COUNTIF(BDD!H195:AR195,4)*'ButsMPG + Var'!$K$26+COUNTIF(BDD!H195:AR195,3)*'ButsMPG + Var'!$K$25+COUNTIF(BDD!H195:AR195,2)*'ButsMPG + Var'!$K$24+COUNTIF(BDD!H195:AR195,1)*'ButsMPG + Var'!$K$23,0)))</f>
        <v>0</v>
      </c>
      <c r="H192" s="25">
        <f t="shared" si="3"/>
        <v>0</v>
      </c>
      <c r="I192" s="25">
        <f>BDD!G195</f>
        <v>0</v>
      </c>
      <c r="J192" s="25">
        <f>SUMPRODUCT(BDD!H195:AS195,'ButsMPG + Var'!$B$46:$AM$46)</f>
        <v>0</v>
      </c>
      <c r="K192" s="25" t="e">
        <f>10*('ButsMPG + Var'!$H$37*J192/MAX(J:J)+'ButsMPG + Var'!$G$37*H192/MAX(H:H))</f>
        <v>#DIV/0!</v>
      </c>
      <c r="L192" s="1">
        <f>IF(ISNA(VLOOKUP(B192,PrixMini!$B$3:$E$573,4,FALSE)),1,VLOOKUP(B192,PrixMini!$B$3:$E$573,4,FALSE))</f>
        <v>1</v>
      </c>
      <c r="M192" s="25" t="e">
        <f>IF(ROUND(CalculCotation!$D$3*EXP(CalculCotation!$C$3*K192)-CalculCotation!$D$3+1,0)&gt;L192,ROUND(CalculCotation!$D$3*EXP(CalculCotation!$C$3*K192)-CalculCotation!$D$3+1,0),L192)</f>
        <v>#DIV/0!</v>
      </c>
    </row>
    <row r="193" spans="2:13" x14ac:dyDescent="0.3">
      <c r="B193" s="1">
        <f>BDD!C196</f>
        <v>0</v>
      </c>
      <c r="C193" s="1">
        <f>BDD!B196</f>
        <v>0</v>
      </c>
      <c r="D193" s="1">
        <f>BDD!A196</f>
        <v>0</v>
      </c>
      <c r="E193" s="1">
        <f>BDD!D196</f>
        <v>0</v>
      </c>
      <c r="F193" s="1">
        <f>BDD!F196</f>
        <v>0</v>
      </c>
      <c r="G193" s="25">
        <f>'ButsMPG + Var'!$I$39*IF(C193="A",COUNTIF(BDD!H196:AR196,10)*'ButsMPG + Var'!$K$12+COUNTIF(BDD!H196:AR196,9)*'ButsMPG + Var'!$K$11+COUNTIF(BDD!H196:AR196,8)*'ButsMPG + Var'!$K$10+COUNTIF(BDD!H196:AR196,7)*'ButsMPG + Var'!$K$9+COUNTIF(BDD!H196:AR196,6)*'ButsMPG + Var'!$K$8+COUNTIF(BDD!H196:AR196,5)*'ButsMPG + Var'!$K$7+COUNTIF(BDD!H196:AR196,4)*'ButsMPG + Var'!$K$6+COUNTIF(BDD!H196:AR196,3)*'ButsMPG + Var'!$K$5+COUNTIF(BDD!H196:AR196,2)*'ButsMPG + Var'!$K$4+COUNTIF(BDD!H196:AR196,1)*'ButsMPG + Var'!$K$3,IF(C193="M",COUNTIF(BDD!H196:AR196,10)*'ButsMPG + Var'!$K$22+COUNTIF(BDD!H196:AR196,9)*'ButsMPG + Var'!$K$21+COUNTIF(BDD!H196:AR196,8)*'ButsMPG + Var'!$K$20+COUNTIF(BDD!H196:AR196,7)*'ButsMPG + Var'!$K$19+COUNTIF(BDD!H196:AR196,6)*'ButsMPG + Var'!$K$18+COUNTIF(BDD!H196:AR196,5)*'ButsMPG + Var'!$K$17+COUNTIF(BDD!H196:AR196,4)*'ButsMPG + Var'!$K$16+COUNTIF(BDD!H196:AR196,3)*'ButsMPG + Var'!$K$15+COUNTIF(BDD!H196:AR196,2)*'ButsMPG + Var'!$K$14+COUNTIF(BDD!H196:AR196,1)*'ButsMPG + Var'!$K$13,IF(C193="D",COUNTIF(BDD!H196:AR196,10)*'ButsMPG + Var'!$K$32+COUNTIF(BDD!H196:AR196,9)*'ButsMPG + Var'!$K$31+COUNTIF(BDD!H196:AR196,8)*'ButsMPG + Var'!$K$30+COUNTIF(BDD!H196:AR196,7)*'ButsMPG + Var'!$K$29+COUNTIF(BDD!H196:AR196,6)*'ButsMPG + Var'!$K$28+COUNTIF(BDD!H196:AR196,5)*'ButsMPG + Var'!$K$27+COUNTIF(BDD!H196:AR196,4)*'ButsMPG + Var'!$K$26+COUNTIF(BDD!H196:AR196,3)*'ButsMPG + Var'!$K$25+COUNTIF(BDD!H196:AR196,2)*'ButsMPG + Var'!$K$24+COUNTIF(BDD!H196:AR196,1)*'ButsMPG + Var'!$K$23,0)))</f>
        <v>0</v>
      </c>
      <c r="H193" s="25">
        <f t="shared" si="3"/>
        <v>0</v>
      </c>
      <c r="I193" s="25">
        <f>BDD!G196</f>
        <v>0</v>
      </c>
      <c r="J193" s="25">
        <f>SUMPRODUCT(BDD!H196:AS196,'ButsMPG + Var'!$B$46:$AM$46)</f>
        <v>0</v>
      </c>
      <c r="K193" s="25" t="e">
        <f>10*('ButsMPG + Var'!$H$37*J193/MAX(J:J)+'ButsMPG + Var'!$G$37*H193/MAX(H:H))</f>
        <v>#DIV/0!</v>
      </c>
      <c r="L193" s="1">
        <f>IF(ISNA(VLOOKUP(B193,PrixMini!$B$3:$E$573,4,FALSE)),1,VLOOKUP(B193,PrixMini!$B$3:$E$573,4,FALSE))</f>
        <v>1</v>
      </c>
      <c r="M193" s="25" t="e">
        <f>IF(ROUND(CalculCotation!$D$3*EXP(CalculCotation!$C$3*K193)-CalculCotation!$D$3+1,0)&gt;L193,ROUND(CalculCotation!$D$3*EXP(CalculCotation!$C$3*K193)-CalculCotation!$D$3+1,0),L193)</f>
        <v>#DIV/0!</v>
      </c>
    </row>
    <row r="194" spans="2:13" x14ac:dyDescent="0.3">
      <c r="B194" s="1">
        <f>BDD!C197</f>
        <v>0</v>
      </c>
      <c r="C194" s="1">
        <f>BDD!B197</f>
        <v>0</v>
      </c>
      <c r="D194" s="1">
        <f>BDD!A197</f>
        <v>0</v>
      </c>
      <c r="E194" s="1">
        <f>BDD!D197</f>
        <v>0</v>
      </c>
      <c r="F194" s="1">
        <f>BDD!F197</f>
        <v>0</v>
      </c>
      <c r="G194" s="25">
        <f>'ButsMPG + Var'!$I$39*IF(C194="A",COUNTIF(BDD!H197:AR197,10)*'ButsMPG + Var'!$K$12+COUNTIF(BDD!H197:AR197,9)*'ButsMPG + Var'!$K$11+COUNTIF(BDD!H197:AR197,8)*'ButsMPG + Var'!$K$10+COUNTIF(BDD!H197:AR197,7)*'ButsMPG + Var'!$K$9+COUNTIF(BDD!H197:AR197,6)*'ButsMPG + Var'!$K$8+COUNTIF(BDD!H197:AR197,5)*'ButsMPG + Var'!$K$7+COUNTIF(BDD!H197:AR197,4)*'ButsMPG + Var'!$K$6+COUNTIF(BDD!H197:AR197,3)*'ButsMPG + Var'!$K$5+COUNTIF(BDD!H197:AR197,2)*'ButsMPG + Var'!$K$4+COUNTIF(BDD!H197:AR197,1)*'ButsMPG + Var'!$K$3,IF(C194="M",COUNTIF(BDD!H197:AR197,10)*'ButsMPG + Var'!$K$22+COUNTIF(BDD!H197:AR197,9)*'ButsMPG + Var'!$K$21+COUNTIF(BDD!H197:AR197,8)*'ButsMPG + Var'!$K$20+COUNTIF(BDD!H197:AR197,7)*'ButsMPG + Var'!$K$19+COUNTIF(BDD!H197:AR197,6)*'ButsMPG + Var'!$K$18+COUNTIF(BDD!H197:AR197,5)*'ButsMPG + Var'!$K$17+COUNTIF(BDD!H197:AR197,4)*'ButsMPG + Var'!$K$16+COUNTIF(BDD!H197:AR197,3)*'ButsMPG + Var'!$K$15+COUNTIF(BDD!H197:AR197,2)*'ButsMPG + Var'!$K$14+COUNTIF(BDD!H197:AR197,1)*'ButsMPG + Var'!$K$13,IF(C194="D",COUNTIF(BDD!H197:AR197,10)*'ButsMPG + Var'!$K$32+COUNTIF(BDD!H197:AR197,9)*'ButsMPG + Var'!$K$31+COUNTIF(BDD!H197:AR197,8)*'ButsMPG + Var'!$K$30+COUNTIF(BDD!H197:AR197,7)*'ButsMPG + Var'!$K$29+COUNTIF(BDD!H197:AR197,6)*'ButsMPG + Var'!$K$28+COUNTIF(BDD!H197:AR197,5)*'ButsMPG + Var'!$K$27+COUNTIF(BDD!H197:AR197,4)*'ButsMPG + Var'!$K$26+COUNTIF(BDD!H197:AR197,3)*'ButsMPG + Var'!$K$25+COUNTIF(BDD!H197:AR197,2)*'ButsMPG + Var'!$K$24+COUNTIF(BDD!H197:AR197,1)*'ButsMPG + Var'!$K$23,0)))</f>
        <v>0</v>
      </c>
      <c r="H194" s="25">
        <f t="shared" si="3"/>
        <v>0</v>
      </c>
      <c r="I194" s="25">
        <f>BDD!G197</f>
        <v>0</v>
      </c>
      <c r="J194" s="25">
        <f>SUMPRODUCT(BDD!H197:AS197,'ButsMPG + Var'!$B$46:$AM$46)</f>
        <v>0</v>
      </c>
      <c r="K194" s="25" t="e">
        <f>10*('ButsMPG + Var'!$H$37*J194/MAX(J:J)+'ButsMPG + Var'!$G$37*H194/MAX(H:H))</f>
        <v>#DIV/0!</v>
      </c>
      <c r="L194" s="1">
        <f>IF(ISNA(VLOOKUP(B194,PrixMini!$B$3:$E$573,4,FALSE)),1,VLOOKUP(B194,PrixMini!$B$3:$E$573,4,FALSE))</f>
        <v>1</v>
      </c>
      <c r="M194" s="25" t="e">
        <f>IF(ROUND(CalculCotation!$D$3*EXP(CalculCotation!$C$3*K194)-CalculCotation!$D$3+1,0)&gt;L194,ROUND(CalculCotation!$D$3*EXP(CalculCotation!$C$3*K194)-CalculCotation!$D$3+1,0),L194)</f>
        <v>#DIV/0!</v>
      </c>
    </row>
    <row r="195" spans="2:13" x14ac:dyDescent="0.3">
      <c r="B195" s="1">
        <f>BDD!C198</f>
        <v>0</v>
      </c>
      <c r="C195" s="1">
        <f>BDD!B198</f>
        <v>0</v>
      </c>
      <c r="D195" s="1">
        <f>BDD!A198</f>
        <v>0</v>
      </c>
      <c r="E195" s="1">
        <f>BDD!D198</f>
        <v>0</v>
      </c>
      <c r="F195" s="1">
        <f>BDD!F198</f>
        <v>0</v>
      </c>
      <c r="G195" s="25">
        <f>'ButsMPG + Var'!$I$39*IF(C195="A",COUNTIF(BDD!H198:AR198,10)*'ButsMPG + Var'!$K$12+COUNTIF(BDD!H198:AR198,9)*'ButsMPG + Var'!$K$11+COUNTIF(BDD!H198:AR198,8)*'ButsMPG + Var'!$K$10+COUNTIF(BDD!H198:AR198,7)*'ButsMPG + Var'!$K$9+COUNTIF(BDD!H198:AR198,6)*'ButsMPG + Var'!$K$8+COUNTIF(BDD!H198:AR198,5)*'ButsMPG + Var'!$K$7+COUNTIF(BDD!H198:AR198,4)*'ButsMPG + Var'!$K$6+COUNTIF(BDD!H198:AR198,3)*'ButsMPG + Var'!$K$5+COUNTIF(BDD!H198:AR198,2)*'ButsMPG + Var'!$K$4+COUNTIF(BDD!H198:AR198,1)*'ButsMPG + Var'!$K$3,IF(C195="M",COUNTIF(BDD!H198:AR198,10)*'ButsMPG + Var'!$K$22+COUNTIF(BDD!H198:AR198,9)*'ButsMPG + Var'!$K$21+COUNTIF(BDD!H198:AR198,8)*'ButsMPG + Var'!$K$20+COUNTIF(BDD!H198:AR198,7)*'ButsMPG + Var'!$K$19+COUNTIF(BDD!H198:AR198,6)*'ButsMPG + Var'!$K$18+COUNTIF(BDD!H198:AR198,5)*'ButsMPG + Var'!$K$17+COUNTIF(BDD!H198:AR198,4)*'ButsMPG + Var'!$K$16+COUNTIF(BDD!H198:AR198,3)*'ButsMPG + Var'!$K$15+COUNTIF(BDD!H198:AR198,2)*'ButsMPG + Var'!$K$14+COUNTIF(BDD!H198:AR198,1)*'ButsMPG + Var'!$K$13,IF(C195="D",COUNTIF(BDD!H198:AR198,10)*'ButsMPG + Var'!$K$32+COUNTIF(BDD!H198:AR198,9)*'ButsMPG + Var'!$K$31+COUNTIF(BDD!H198:AR198,8)*'ButsMPG + Var'!$K$30+COUNTIF(BDD!H198:AR198,7)*'ButsMPG + Var'!$K$29+COUNTIF(BDD!H198:AR198,6)*'ButsMPG + Var'!$K$28+COUNTIF(BDD!H198:AR198,5)*'ButsMPG + Var'!$K$27+COUNTIF(BDD!H198:AR198,4)*'ButsMPG + Var'!$K$26+COUNTIF(BDD!H198:AR198,3)*'ButsMPG + Var'!$K$25+COUNTIF(BDD!H198:AR198,2)*'ButsMPG + Var'!$K$24+COUNTIF(BDD!H198:AR198,1)*'ButsMPG + Var'!$K$23,0)))</f>
        <v>0</v>
      </c>
      <c r="H195" s="25">
        <f t="shared" si="3"/>
        <v>0</v>
      </c>
      <c r="I195" s="25">
        <f>BDD!G198</f>
        <v>0</v>
      </c>
      <c r="J195" s="25">
        <f>SUMPRODUCT(BDD!H198:AS198,'ButsMPG + Var'!$B$46:$AM$46)</f>
        <v>0</v>
      </c>
      <c r="K195" s="25" t="e">
        <f>10*('ButsMPG + Var'!$H$37*J195/MAX(J:J)+'ButsMPG + Var'!$G$37*H195/MAX(H:H))</f>
        <v>#DIV/0!</v>
      </c>
      <c r="L195" s="1">
        <f>IF(ISNA(VLOOKUP(B195,PrixMini!$B$3:$E$573,4,FALSE)),1,VLOOKUP(B195,PrixMini!$B$3:$E$573,4,FALSE))</f>
        <v>1</v>
      </c>
      <c r="M195" s="25" t="e">
        <f>IF(ROUND(CalculCotation!$D$3*EXP(CalculCotation!$C$3*K195)-CalculCotation!$D$3+1,0)&gt;L195,ROUND(CalculCotation!$D$3*EXP(CalculCotation!$C$3*K195)-CalculCotation!$D$3+1,0),L195)</f>
        <v>#DIV/0!</v>
      </c>
    </row>
    <row r="196" spans="2:13" x14ac:dyDescent="0.3">
      <c r="B196" s="1">
        <f>BDD!C199</f>
        <v>0</v>
      </c>
      <c r="C196" s="1">
        <f>BDD!B199</f>
        <v>0</v>
      </c>
      <c r="D196" s="1">
        <f>BDD!A199</f>
        <v>0</v>
      </c>
      <c r="E196" s="1">
        <f>BDD!D199</f>
        <v>0</v>
      </c>
      <c r="F196" s="1">
        <f>BDD!F199</f>
        <v>0</v>
      </c>
      <c r="G196" s="25">
        <f>'ButsMPG + Var'!$I$39*IF(C196="A",COUNTIF(BDD!H199:AR199,10)*'ButsMPG + Var'!$K$12+COUNTIF(BDD!H199:AR199,9)*'ButsMPG + Var'!$K$11+COUNTIF(BDD!H199:AR199,8)*'ButsMPG + Var'!$K$10+COUNTIF(BDD!H199:AR199,7)*'ButsMPG + Var'!$K$9+COUNTIF(BDD!H199:AR199,6)*'ButsMPG + Var'!$K$8+COUNTIF(BDD!H199:AR199,5)*'ButsMPG + Var'!$K$7+COUNTIF(BDD!H199:AR199,4)*'ButsMPG + Var'!$K$6+COUNTIF(BDD!H199:AR199,3)*'ButsMPG + Var'!$K$5+COUNTIF(BDD!H199:AR199,2)*'ButsMPG + Var'!$K$4+COUNTIF(BDD!H199:AR199,1)*'ButsMPG + Var'!$K$3,IF(C196="M",COUNTIF(BDD!H199:AR199,10)*'ButsMPG + Var'!$K$22+COUNTIF(BDD!H199:AR199,9)*'ButsMPG + Var'!$K$21+COUNTIF(BDD!H199:AR199,8)*'ButsMPG + Var'!$K$20+COUNTIF(BDD!H199:AR199,7)*'ButsMPG + Var'!$K$19+COUNTIF(BDD!H199:AR199,6)*'ButsMPG + Var'!$K$18+COUNTIF(BDD!H199:AR199,5)*'ButsMPG + Var'!$K$17+COUNTIF(BDD!H199:AR199,4)*'ButsMPG + Var'!$K$16+COUNTIF(BDD!H199:AR199,3)*'ButsMPG + Var'!$K$15+COUNTIF(BDD!H199:AR199,2)*'ButsMPG + Var'!$K$14+COUNTIF(BDD!H199:AR199,1)*'ButsMPG + Var'!$K$13,IF(C196="D",COUNTIF(BDD!H199:AR199,10)*'ButsMPG + Var'!$K$32+COUNTIF(BDD!H199:AR199,9)*'ButsMPG + Var'!$K$31+COUNTIF(BDD!H199:AR199,8)*'ButsMPG + Var'!$K$30+COUNTIF(BDD!H199:AR199,7)*'ButsMPG + Var'!$K$29+COUNTIF(BDD!H199:AR199,6)*'ButsMPG + Var'!$K$28+COUNTIF(BDD!H199:AR199,5)*'ButsMPG + Var'!$K$27+COUNTIF(BDD!H199:AR199,4)*'ButsMPG + Var'!$K$26+COUNTIF(BDD!H199:AR199,3)*'ButsMPG + Var'!$K$25+COUNTIF(BDD!H199:AR199,2)*'ButsMPG + Var'!$K$24+COUNTIF(BDD!H199:AR199,1)*'ButsMPG + Var'!$K$23,0)))</f>
        <v>0</v>
      </c>
      <c r="H196" s="25">
        <f t="shared" ref="H196:H259" si="4">SUM(F196:G196)</f>
        <v>0</v>
      </c>
      <c r="I196" s="25">
        <f>BDD!G199</f>
        <v>0</v>
      </c>
      <c r="J196" s="25">
        <f>SUMPRODUCT(BDD!H199:AS199,'ButsMPG + Var'!$B$46:$AM$46)</f>
        <v>0</v>
      </c>
      <c r="K196" s="25" t="e">
        <f>10*('ButsMPG + Var'!$H$37*J196/MAX(J:J)+'ButsMPG + Var'!$G$37*H196/MAX(H:H))</f>
        <v>#DIV/0!</v>
      </c>
      <c r="L196" s="1">
        <f>IF(ISNA(VLOOKUP(B196,PrixMini!$B$3:$E$573,4,FALSE)),1,VLOOKUP(B196,PrixMini!$B$3:$E$573,4,FALSE))</f>
        <v>1</v>
      </c>
      <c r="M196" s="25" t="e">
        <f>IF(ROUND(CalculCotation!$D$3*EXP(CalculCotation!$C$3*K196)-CalculCotation!$D$3+1,0)&gt;L196,ROUND(CalculCotation!$D$3*EXP(CalculCotation!$C$3*K196)-CalculCotation!$D$3+1,0),L196)</f>
        <v>#DIV/0!</v>
      </c>
    </row>
    <row r="197" spans="2:13" x14ac:dyDescent="0.3">
      <c r="B197" s="1">
        <f>BDD!C200</f>
        <v>0</v>
      </c>
      <c r="C197" s="1">
        <f>BDD!B200</f>
        <v>0</v>
      </c>
      <c r="D197" s="1">
        <f>BDD!A200</f>
        <v>0</v>
      </c>
      <c r="E197" s="1">
        <f>BDD!D200</f>
        <v>0</v>
      </c>
      <c r="F197" s="1">
        <f>BDD!F200</f>
        <v>0</v>
      </c>
      <c r="G197" s="25">
        <f>'ButsMPG + Var'!$I$39*IF(C197="A",COUNTIF(BDD!H200:AR200,10)*'ButsMPG + Var'!$K$12+COUNTIF(BDD!H200:AR200,9)*'ButsMPG + Var'!$K$11+COUNTIF(BDD!H200:AR200,8)*'ButsMPG + Var'!$K$10+COUNTIF(BDD!H200:AR200,7)*'ButsMPG + Var'!$K$9+COUNTIF(BDD!H200:AR200,6)*'ButsMPG + Var'!$K$8+COUNTIF(BDD!H200:AR200,5)*'ButsMPG + Var'!$K$7+COUNTIF(BDD!H200:AR200,4)*'ButsMPG + Var'!$K$6+COUNTIF(BDD!H200:AR200,3)*'ButsMPG + Var'!$K$5+COUNTIF(BDD!H200:AR200,2)*'ButsMPG + Var'!$K$4+COUNTIF(BDD!H200:AR200,1)*'ButsMPG + Var'!$K$3,IF(C197="M",COUNTIF(BDD!H200:AR200,10)*'ButsMPG + Var'!$K$22+COUNTIF(BDD!H200:AR200,9)*'ButsMPG + Var'!$K$21+COUNTIF(BDD!H200:AR200,8)*'ButsMPG + Var'!$K$20+COUNTIF(BDD!H200:AR200,7)*'ButsMPG + Var'!$K$19+COUNTIF(BDD!H200:AR200,6)*'ButsMPG + Var'!$K$18+COUNTIF(BDD!H200:AR200,5)*'ButsMPG + Var'!$K$17+COUNTIF(BDD!H200:AR200,4)*'ButsMPG + Var'!$K$16+COUNTIF(BDD!H200:AR200,3)*'ButsMPG + Var'!$K$15+COUNTIF(BDD!H200:AR200,2)*'ButsMPG + Var'!$K$14+COUNTIF(BDD!H200:AR200,1)*'ButsMPG + Var'!$K$13,IF(C197="D",COUNTIF(BDD!H200:AR200,10)*'ButsMPG + Var'!$K$32+COUNTIF(BDD!H200:AR200,9)*'ButsMPG + Var'!$K$31+COUNTIF(BDD!H200:AR200,8)*'ButsMPG + Var'!$K$30+COUNTIF(BDD!H200:AR200,7)*'ButsMPG + Var'!$K$29+COUNTIF(BDD!H200:AR200,6)*'ButsMPG + Var'!$K$28+COUNTIF(BDD!H200:AR200,5)*'ButsMPG + Var'!$K$27+COUNTIF(BDD!H200:AR200,4)*'ButsMPG + Var'!$K$26+COUNTIF(BDD!H200:AR200,3)*'ButsMPG + Var'!$K$25+COUNTIF(BDD!H200:AR200,2)*'ButsMPG + Var'!$K$24+COUNTIF(BDD!H200:AR200,1)*'ButsMPG + Var'!$K$23,0)))</f>
        <v>0</v>
      </c>
      <c r="H197" s="25">
        <f t="shared" si="4"/>
        <v>0</v>
      </c>
      <c r="I197" s="25">
        <f>BDD!G200</f>
        <v>0</v>
      </c>
      <c r="J197" s="25">
        <f>SUMPRODUCT(BDD!H200:AS200,'ButsMPG + Var'!$B$46:$AM$46)</f>
        <v>0</v>
      </c>
      <c r="K197" s="25" t="e">
        <f>10*('ButsMPG + Var'!$H$37*J197/MAX(J:J)+'ButsMPG + Var'!$G$37*H197/MAX(H:H))</f>
        <v>#DIV/0!</v>
      </c>
      <c r="L197" s="1">
        <f>IF(ISNA(VLOOKUP(B197,PrixMini!$B$3:$E$573,4,FALSE)),1,VLOOKUP(B197,PrixMini!$B$3:$E$573,4,FALSE))</f>
        <v>1</v>
      </c>
      <c r="M197" s="25" t="e">
        <f>IF(ROUND(CalculCotation!$D$3*EXP(CalculCotation!$C$3*K197)-CalculCotation!$D$3+1,0)&gt;L197,ROUND(CalculCotation!$D$3*EXP(CalculCotation!$C$3*K197)-CalculCotation!$D$3+1,0),L197)</f>
        <v>#DIV/0!</v>
      </c>
    </row>
    <row r="198" spans="2:13" x14ac:dyDescent="0.3">
      <c r="B198" s="1">
        <f>BDD!C201</f>
        <v>0</v>
      </c>
      <c r="C198" s="1">
        <f>BDD!B201</f>
        <v>0</v>
      </c>
      <c r="D198" s="1">
        <f>BDD!A201</f>
        <v>0</v>
      </c>
      <c r="E198" s="1">
        <f>BDD!D201</f>
        <v>0</v>
      </c>
      <c r="F198" s="1">
        <f>BDD!F201</f>
        <v>0</v>
      </c>
      <c r="G198" s="25">
        <f>'ButsMPG + Var'!$I$39*IF(C198="A",COUNTIF(BDD!H201:AR201,10)*'ButsMPG + Var'!$K$12+COUNTIF(BDD!H201:AR201,9)*'ButsMPG + Var'!$K$11+COUNTIF(BDD!H201:AR201,8)*'ButsMPG + Var'!$K$10+COUNTIF(BDD!H201:AR201,7)*'ButsMPG + Var'!$K$9+COUNTIF(BDD!H201:AR201,6)*'ButsMPG + Var'!$K$8+COUNTIF(BDD!H201:AR201,5)*'ButsMPG + Var'!$K$7+COUNTIF(BDD!H201:AR201,4)*'ButsMPG + Var'!$K$6+COUNTIF(BDD!H201:AR201,3)*'ButsMPG + Var'!$K$5+COUNTIF(BDD!H201:AR201,2)*'ButsMPG + Var'!$K$4+COUNTIF(BDD!H201:AR201,1)*'ButsMPG + Var'!$K$3,IF(C198="M",COUNTIF(BDD!H201:AR201,10)*'ButsMPG + Var'!$K$22+COUNTIF(BDD!H201:AR201,9)*'ButsMPG + Var'!$K$21+COUNTIF(BDD!H201:AR201,8)*'ButsMPG + Var'!$K$20+COUNTIF(BDD!H201:AR201,7)*'ButsMPG + Var'!$K$19+COUNTIF(BDD!H201:AR201,6)*'ButsMPG + Var'!$K$18+COUNTIF(BDD!H201:AR201,5)*'ButsMPG + Var'!$K$17+COUNTIF(BDD!H201:AR201,4)*'ButsMPG + Var'!$K$16+COUNTIF(BDD!H201:AR201,3)*'ButsMPG + Var'!$K$15+COUNTIF(BDD!H201:AR201,2)*'ButsMPG + Var'!$K$14+COUNTIF(BDD!H201:AR201,1)*'ButsMPG + Var'!$K$13,IF(C198="D",COUNTIF(BDD!H201:AR201,10)*'ButsMPG + Var'!$K$32+COUNTIF(BDD!H201:AR201,9)*'ButsMPG + Var'!$K$31+COUNTIF(BDD!H201:AR201,8)*'ButsMPG + Var'!$K$30+COUNTIF(BDD!H201:AR201,7)*'ButsMPG + Var'!$K$29+COUNTIF(BDD!H201:AR201,6)*'ButsMPG + Var'!$K$28+COUNTIF(BDD!H201:AR201,5)*'ButsMPG + Var'!$K$27+COUNTIF(BDD!H201:AR201,4)*'ButsMPG + Var'!$K$26+COUNTIF(BDD!H201:AR201,3)*'ButsMPG + Var'!$K$25+COUNTIF(BDD!H201:AR201,2)*'ButsMPG + Var'!$K$24+COUNTIF(BDD!H201:AR201,1)*'ButsMPG + Var'!$K$23,0)))</f>
        <v>0</v>
      </c>
      <c r="H198" s="25">
        <f t="shared" si="4"/>
        <v>0</v>
      </c>
      <c r="I198" s="25">
        <f>BDD!G201</f>
        <v>0</v>
      </c>
      <c r="J198" s="25">
        <f>SUMPRODUCT(BDD!H201:AS201,'ButsMPG + Var'!$B$46:$AM$46)</f>
        <v>0</v>
      </c>
      <c r="K198" s="25" t="e">
        <f>10*('ButsMPG + Var'!$H$37*J198/MAX(J:J)+'ButsMPG + Var'!$G$37*H198/MAX(H:H))</f>
        <v>#DIV/0!</v>
      </c>
      <c r="L198" s="1">
        <f>IF(ISNA(VLOOKUP(B198,PrixMini!$B$3:$E$573,4,FALSE)),1,VLOOKUP(B198,PrixMini!$B$3:$E$573,4,FALSE))</f>
        <v>1</v>
      </c>
      <c r="M198" s="25" t="e">
        <f>IF(ROUND(CalculCotation!$D$3*EXP(CalculCotation!$C$3*K198)-CalculCotation!$D$3+1,0)&gt;L198,ROUND(CalculCotation!$D$3*EXP(CalculCotation!$C$3*K198)-CalculCotation!$D$3+1,0),L198)</f>
        <v>#DIV/0!</v>
      </c>
    </row>
    <row r="199" spans="2:13" x14ac:dyDescent="0.3">
      <c r="B199" s="1">
        <f>BDD!C202</f>
        <v>0</v>
      </c>
      <c r="C199" s="1">
        <f>BDD!B202</f>
        <v>0</v>
      </c>
      <c r="D199" s="1">
        <f>BDD!A202</f>
        <v>0</v>
      </c>
      <c r="E199" s="1">
        <f>BDD!D202</f>
        <v>0</v>
      </c>
      <c r="F199" s="1">
        <f>BDD!F202</f>
        <v>0</v>
      </c>
      <c r="G199" s="25">
        <f>'ButsMPG + Var'!$I$39*IF(C199="A",COUNTIF(BDD!H202:AR202,10)*'ButsMPG + Var'!$K$12+COUNTIF(BDD!H202:AR202,9)*'ButsMPG + Var'!$K$11+COUNTIF(BDD!H202:AR202,8)*'ButsMPG + Var'!$K$10+COUNTIF(BDD!H202:AR202,7)*'ButsMPG + Var'!$K$9+COUNTIF(BDD!H202:AR202,6)*'ButsMPG + Var'!$K$8+COUNTIF(BDD!H202:AR202,5)*'ButsMPG + Var'!$K$7+COUNTIF(BDD!H202:AR202,4)*'ButsMPG + Var'!$K$6+COUNTIF(BDD!H202:AR202,3)*'ButsMPG + Var'!$K$5+COUNTIF(BDD!H202:AR202,2)*'ButsMPG + Var'!$K$4+COUNTIF(BDD!H202:AR202,1)*'ButsMPG + Var'!$K$3,IF(C199="M",COUNTIF(BDD!H202:AR202,10)*'ButsMPG + Var'!$K$22+COUNTIF(BDD!H202:AR202,9)*'ButsMPG + Var'!$K$21+COUNTIF(BDD!H202:AR202,8)*'ButsMPG + Var'!$K$20+COUNTIF(BDD!H202:AR202,7)*'ButsMPG + Var'!$K$19+COUNTIF(BDD!H202:AR202,6)*'ButsMPG + Var'!$K$18+COUNTIF(BDD!H202:AR202,5)*'ButsMPG + Var'!$K$17+COUNTIF(BDD!H202:AR202,4)*'ButsMPG + Var'!$K$16+COUNTIF(BDD!H202:AR202,3)*'ButsMPG + Var'!$K$15+COUNTIF(BDD!H202:AR202,2)*'ButsMPG + Var'!$K$14+COUNTIF(BDD!H202:AR202,1)*'ButsMPG + Var'!$K$13,IF(C199="D",COUNTIF(BDD!H202:AR202,10)*'ButsMPG + Var'!$K$32+COUNTIF(BDD!H202:AR202,9)*'ButsMPG + Var'!$K$31+COUNTIF(BDD!H202:AR202,8)*'ButsMPG + Var'!$K$30+COUNTIF(BDD!H202:AR202,7)*'ButsMPG + Var'!$K$29+COUNTIF(BDD!H202:AR202,6)*'ButsMPG + Var'!$K$28+COUNTIF(BDD!H202:AR202,5)*'ButsMPG + Var'!$K$27+COUNTIF(BDD!H202:AR202,4)*'ButsMPG + Var'!$K$26+COUNTIF(BDD!H202:AR202,3)*'ButsMPG + Var'!$K$25+COUNTIF(BDD!H202:AR202,2)*'ButsMPG + Var'!$K$24+COUNTIF(BDD!H202:AR202,1)*'ButsMPG + Var'!$K$23,0)))</f>
        <v>0</v>
      </c>
      <c r="H199" s="25">
        <f t="shared" si="4"/>
        <v>0</v>
      </c>
      <c r="I199" s="25">
        <f>BDD!G202</f>
        <v>0</v>
      </c>
      <c r="J199" s="25">
        <f>SUMPRODUCT(BDD!H202:AS202,'ButsMPG + Var'!$B$46:$AM$46)</f>
        <v>0</v>
      </c>
      <c r="K199" s="25" t="e">
        <f>10*('ButsMPG + Var'!$H$37*J199/MAX(J:J)+'ButsMPG + Var'!$G$37*H199/MAX(H:H))</f>
        <v>#DIV/0!</v>
      </c>
      <c r="L199" s="1">
        <f>IF(ISNA(VLOOKUP(B199,PrixMini!$B$3:$E$573,4,FALSE)),1,VLOOKUP(B199,PrixMini!$B$3:$E$573,4,FALSE))</f>
        <v>1</v>
      </c>
      <c r="M199" s="25" t="e">
        <f>IF(ROUND(CalculCotation!$D$3*EXP(CalculCotation!$C$3*K199)-CalculCotation!$D$3+1,0)&gt;L199,ROUND(CalculCotation!$D$3*EXP(CalculCotation!$C$3*K199)-CalculCotation!$D$3+1,0),L199)</f>
        <v>#DIV/0!</v>
      </c>
    </row>
    <row r="200" spans="2:13" x14ac:dyDescent="0.3">
      <c r="B200" s="1">
        <f>BDD!C203</f>
        <v>0</v>
      </c>
      <c r="C200" s="1">
        <f>BDD!B203</f>
        <v>0</v>
      </c>
      <c r="D200" s="1">
        <f>BDD!A203</f>
        <v>0</v>
      </c>
      <c r="E200" s="1">
        <f>BDD!D203</f>
        <v>0</v>
      </c>
      <c r="F200" s="1">
        <f>BDD!F203</f>
        <v>0</v>
      </c>
      <c r="G200" s="25">
        <f>'ButsMPG + Var'!$I$39*IF(C200="A",COUNTIF(BDD!H203:AR203,10)*'ButsMPG + Var'!$K$12+COUNTIF(BDD!H203:AR203,9)*'ButsMPG + Var'!$K$11+COUNTIF(BDD!H203:AR203,8)*'ButsMPG + Var'!$K$10+COUNTIF(BDD!H203:AR203,7)*'ButsMPG + Var'!$K$9+COUNTIF(BDD!H203:AR203,6)*'ButsMPG + Var'!$K$8+COUNTIF(BDD!H203:AR203,5)*'ButsMPG + Var'!$K$7+COUNTIF(BDD!H203:AR203,4)*'ButsMPG + Var'!$K$6+COUNTIF(BDD!H203:AR203,3)*'ButsMPG + Var'!$K$5+COUNTIF(BDD!H203:AR203,2)*'ButsMPG + Var'!$K$4+COUNTIF(BDD!H203:AR203,1)*'ButsMPG + Var'!$K$3,IF(C200="M",COUNTIF(BDD!H203:AR203,10)*'ButsMPG + Var'!$K$22+COUNTIF(BDD!H203:AR203,9)*'ButsMPG + Var'!$K$21+COUNTIF(BDD!H203:AR203,8)*'ButsMPG + Var'!$K$20+COUNTIF(BDD!H203:AR203,7)*'ButsMPG + Var'!$K$19+COUNTIF(BDD!H203:AR203,6)*'ButsMPG + Var'!$K$18+COUNTIF(BDD!H203:AR203,5)*'ButsMPG + Var'!$K$17+COUNTIF(BDD!H203:AR203,4)*'ButsMPG + Var'!$K$16+COUNTIF(BDD!H203:AR203,3)*'ButsMPG + Var'!$K$15+COUNTIF(BDD!H203:AR203,2)*'ButsMPG + Var'!$K$14+COUNTIF(BDD!H203:AR203,1)*'ButsMPG + Var'!$K$13,IF(C200="D",COUNTIF(BDD!H203:AR203,10)*'ButsMPG + Var'!$K$32+COUNTIF(BDD!H203:AR203,9)*'ButsMPG + Var'!$K$31+COUNTIF(BDD!H203:AR203,8)*'ButsMPG + Var'!$K$30+COUNTIF(BDD!H203:AR203,7)*'ButsMPG + Var'!$K$29+COUNTIF(BDD!H203:AR203,6)*'ButsMPG + Var'!$K$28+COUNTIF(BDD!H203:AR203,5)*'ButsMPG + Var'!$K$27+COUNTIF(BDD!H203:AR203,4)*'ButsMPG + Var'!$K$26+COUNTIF(BDD!H203:AR203,3)*'ButsMPG + Var'!$K$25+COUNTIF(BDD!H203:AR203,2)*'ButsMPG + Var'!$K$24+COUNTIF(BDD!H203:AR203,1)*'ButsMPG + Var'!$K$23,0)))</f>
        <v>0</v>
      </c>
      <c r="H200" s="25">
        <f t="shared" si="4"/>
        <v>0</v>
      </c>
      <c r="I200" s="25">
        <f>BDD!G203</f>
        <v>0</v>
      </c>
      <c r="J200" s="25">
        <f>SUMPRODUCT(BDD!H203:AS203,'ButsMPG + Var'!$B$46:$AM$46)</f>
        <v>0</v>
      </c>
      <c r="K200" s="25" t="e">
        <f>10*('ButsMPG + Var'!$H$37*J200/MAX(J:J)+'ButsMPG + Var'!$G$37*H200/MAX(H:H))</f>
        <v>#DIV/0!</v>
      </c>
      <c r="L200" s="1">
        <f>IF(ISNA(VLOOKUP(B200,PrixMini!$B$3:$E$573,4,FALSE)),1,VLOOKUP(B200,PrixMini!$B$3:$E$573,4,FALSE))</f>
        <v>1</v>
      </c>
      <c r="M200" s="25" t="e">
        <f>IF(ROUND(CalculCotation!$D$3*EXP(CalculCotation!$C$3*K200)-CalculCotation!$D$3+1,0)&gt;L200,ROUND(CalculCotation!$D$3*EXP(CalculCotation!$C$3*K200)-CalculCotation!$D$3+1,0),L200)</f>
        <v>#DIV/0!</v>
      </c>
    </row>
    <row r="201" spans="2:13" x14ac:dyDescent="0.3">
      <c r="B201" s="1">
        <f>BDD!C204</f>
        <v>0</v>
      </c>
      <c r="C201" s="1">
        <f>BDD!B204</f>
        <v>0</v>
      </c>
      <c r="D201" s="1">
        <f>BDD!A204</f>
        <v>0</v>
      </c>
      <c r="E201" s="1">
        <f>BDD!D204</f>
        <v>0</v>
      </c>
      <c r="F201" s="1">
        <f>BDD!F204</f>
        <v>0</v>
      </c>
      <c r="G201" s="25">
        <f>'ButsMPG + Var'!$I$39*IF(C201="A",COUNTIF(BDD!H204:AR204,10)*'ButsMPG + Var'!$K$12+COUNTIF(BDD!H204:AR204,9)*'ButsMPG + Var'!$K$11+COUNTIF(BDD!H204:AR204,8)*'ButsMPG + Var'!$K$10+COUNTIF(BDD!H204:AR204,7)*'ButsMPG + Var'!$K$9+COUNTIF(BDD!H204:AR204,6)*'ButsMPG + Var'!$K$8+COUNTIF(BDD!H204:AR204,5)*'ButsMPG + Var'!$K$7+COUNTIF(BDD!H204:AR204,4)*'ButsMPG + Var'!$K$6+COUNTIF(BDD!H204:AR204,3)*'ButsMPG + Var'!$K$5+COUNTIF(BDD!H204:AR204,2)*'ButsMPG + Var'!$K$4+COUNTIF(BDD!H204:AR204,1)*'ButsMPG + Var'!$K$3,IF(C201="M",COUNTIF(BDD!H204:AR204,10)*'ButsMPG + Var'!$K$22+COUNTIF(BDD!H204:AR204,9)*'ButsMPG + Var'!$K$21+COUNTIF(BDD!H204:AR204,8)*'ButsMPG + Var'!$K$20+COUNTIF(BDD!H204:AR204,7)*'ButsMPG + Var'!$K$19+COUNTIF(BDD!H204:AR204,6)*'ButsMPG + Var'!$K$18+COUNTIF(BDD!H204:AR204,5)*'ButsMPG + Var'!$K$17+COUNTIF(BDD!H204:AR204,4)*'ButsMPG + Var'!$K$16+COUNTIF(BDD!H204:AR204,3)*'ButsMPG + Var'!$K$15+COUNTIF(BDD!H204:AR204,2)*'ButsMPG + Var'!$K$14+COUNTIF(BDD!H204:AR204,1)*'ButsMPG + Var'!$K$13,IF(C201="D",COUNTIF(BDD!H204:AR204,10)*'ButsMPG + Var'!$K$32+COUNTIF(BDD!H204:AR204,9)*'ButsMPG + Var'!$K$31+COUNTIF(BDD!H204:AR204,8)*'ButsMPG + Var'!$K$30+COUNTIF(BDD!H204:AR204,7)*'ButsMPG + Var'!$K$29+COUNTIF(BDD!H204:AR204,6)*'ButsMPG + Var'!$K$28+COUNTIF(BDD!H204:AR204,5)*'ButsMPG + Var'!$K$27+COUNTIF(BDD!H204:AR204,4)*'ButsMPG + Var'!$K$26+COUNTIF(BDD!H204:AR204,3)*'ButsMPG + Var'!$K$25+COUNTIF(BDD!H204:AR204,2)*'ButsMPG + Var'!$K$24+COUNTIF(BDD!H204:AR204,1)*'ButsMPG + Var'!$K$23,0)))</f>
        <v>0</v>
      </c>
      <c r="H201" s="25">
        <f t="shared" si="4"/>
        <v>0</v>
      </c>
      <c r="I201" s="25">
        <f>BDD!G204</f>
        <v>0</v>
      </c>
      <c r="J201" s="25">
        <f>SUMPRODUCT(BDD!H204:AS204,'ButsMPG + Var'!$B$46:$AM$46)</f>
        <v>0</v>
      </c>
      <c r="K201" s="25" t="e">
        <f>10*('ButsMPG + Var'!$H$37*J201/MAX(J:J)+'ButsMPG + Var'!$G$37*H201/MAX(H:H))</f>
        <v>#DIV/0!</v>
      </c>
      <c r="L201" s="1">
        <f>IF(ISNA(VLOOKUP(B201,PrixMini!$B$3:$E$573,4,FALSE)),1,VLOOKUP(B201,PrixMini!$B$3:$E$573,4,FALSE))</f>
        <v>1</v>
      </c>
      <c r="M201" s="25" t="e">
        <f>IF(ROUND(CalculCotation!$D$3*EXP(CalculCotation!$C$3*K201)-CalculCotation!$D$3+1,0)&gt;L201,ROUND(CalculCotation!$D$3*EXP(CalculCotation!$C$3*K201)-CalculCotation!$D$3+1,0),L201)</f>
        <v>#DIV/0!</v>
      </c>
    </row>
    <row r="202" spans="2:13" x14ac:dyDescent="0.3">
      <c r="B202" s="1">
        <f>BDD!C205</f>
        <v>0</v>
      </c>
      <c r="C202" s="1">
        <f>BDD!B205</f>
        <v>0</v>
      </c>
      <c r="D202" s="1">
        <f>BDD!A205</f>
        <v>0</v>
      </c>
      <c r="E202" s="1">
        <f>BDD!D205</f>
        <v>0</v>
      </c>
      <c r="F202" s="1">
        <f>BDD!F205</f>
        <v>0</v>
      </c>
      <c r="G202" s="25">
        <f>'ButsMPG + Var'!$I$39*IF(C202="A",COUNTIF(BDD!H205:AR205,10)*'ButsMPG + Var'!$K$12+COUNTIF(BDD!H205:AR205,9)*'ButsMPG + Var'!$K$11+COUNTIF(BDD!H205:AR205,8)*'ButsMPG + Var'!$K$10+COUNTIF(BDD!H205:AR205,7)*'ButsMPG + Var'!$K$9+COUNTIF(BDD!H205:AR205,6)*'ButsMPG + Var'!$K$8+COUNTIF(BDD!H205:AR205,5)*'ButsMPG + Var'!$K$7+COUNTIF(BDD!H205:AR205,4)*'ButsMPG + Var'!$K$6+COUNTIF(BDD!H205:AR205,3)*'ButsMPG + Var'!$K$5+COUNTIF(BDD!H205:AR205,2)*'ButsMPG + Var'!$K$4+COUNTIF(BDD!H205:AR205,1)*'ButsMPG + Var'!$K$3,IF(C202="M",COUNTIF(BDD!H205:AR205,10)*'ButsMPG + Var'!$K$22+COUNTIF(BDD!H205:AR205,9)*'ButsMPG + Var'!$K$21+COUNTIF(BDD!H205:AR205,8)*'ButsMPG + Var'!$K$20+COUNTIF(BDD!H205:AR205,7)*'ButsMPG + Var'!$K$19+COUNTIF(BDD!H205:AR205,6)*'ButsMPG + Var'!$K$18+COUNTIF(BDD!H205:AR205,5)*'ButsMPG + Var'!$K$17+COUNTIF(BDD!H205:AR205,4)*'ButsMPG + Var'!$K$16+COUNTIF(BDD!H205:AR205,3)*'ButsMPG + Var'!$K$15+COUNTIF(BDD!H205:AR205,2)*'ButsMPG + Var'!$K$14+COUNTIF(BDD!H205:AR205,1)*'ButsMPG + Var'!$K$13,IF(C202="D",COUNTIF(BDD!H205:AR205,10)*'ButsMPG + Var'!$K$32+COUNTIF(BDD!H205:AR205,9)*'ButsMPG + Var'!$K$31+COUNTIF(BDD!H205:AR205,8)*'ButsMPG + Var'!$K$30+COUNTIF(BDD!H205:AR205,7)*'ButsMPG + Var'!$K$29+COUNTIF(BDD!H205:AR205,6)*'ButsMPG + Var'!$K$28+COUNTIF(BDD!H205:AR205,5)*'ButsMPG + Var'!$K$27+COUNTIF(BDD!H205:AR205,4)*'ButsMPG + Var'!$K$26+COUNTIF(BDD!H205:AR205,3)*'ButsMPG + Var'!$K$25+COUNTIF(BDD!H205:AR205,2)*'ButsMPG + Var'!$K$24+COUNTIF(BDD!H205:AR205,1)*'ButsMPG + Var'!$K$23,0)))</f>
        <v>0</v>
      </c>
      <c r="H202" s="25">
        <f t="shared" si="4"/>
        <v>0</v>
      </c>
      <c r="I202" s="25">
        <f>BDD!G205</f>
        <v>0</v>
      </c>
      <c r="J202" s="25">
        <f>SUMPRODUCT(BDD!H205:AS205,'ButsMPG + Var'!$B$46:$AM$46)</f>
        <v>0</v>
      </c>
      <c r="K202" s="25" t="e">
        <f>10*('ButsMPG + Var'!$H$37*J202/MAX(J:J)+'ButsMPG + Var'!$G$37*H202/MAX(H:H))</f>
        <v>#DIV/0!</v>
      </c>
      <c r="L202" s="1">
        <f>IF(ISNA(VLOOKUP(B202,PrixMini!$B$3:$E$573,4,FALSE)),1,VLOOKUP(B202,PrixMini!$B$3:$E$573,4,FALSE))</f>
        <v>1</v>
      </c>
      <c r="M202" s="25" t="e">
        <f>IF(ROUND(CalculCotation!$D$3*EXP(CalculCotation!$C$3*K202)-CalculCotation!$D$3+1,0)&gt;L202,ROUND(CalculCotation!$D$3*EXP(CalculCotation!$C$3*K202)-CalculCotation!$D$3+1,0),L202)</f>
        <v>#DIV/0!</v>
      </c>
    </row>
    <row r="203" spans="2:13" x14ac:dyDescent="0.3">
      <c r="B203" s="1">
        <f>BDD!C206</f>
        <v>0</v>
      </c>
      <c r="C203" s="1">
        <f>BDD!B206</f>
        <v>0</v>
      </c>
      <c r="D203" s="1">
        <f>BDD!A206</f>
        <v>0</v>
      </c>
      <c r="E203" s="1">
        <f>BDD!D206</f>
        <v>0</v>
      </c>
      <c r="F203" s="1">
        <f>BDD!F206</f>
        <v>0</v>
      </c>
      <c r="G203" s="25">
        <f>'ButsMPG + Var'!$I$39*IF(C203="A",COUNTIF(BDD!H206:AR206,10)*'ButsMPG + Var'!$K$12+COUNTIF(BDD!H206:AR206,9)*'ButsMPG + Var'!$K$11+COUNTIF(BDD!H206:AR206,8)*'ButsMPG + Var'!$K$10+COUNTIF(BDD!H206:AR206,7)*'ButsMPG + Var'!$K$9+COUNTIF(BDD!H206:AR206,6)*'ButsMPG + Var'!$K$8+COUNTIF(BDD!H206:AR206,5)*'ButsMPG + Var'!$K$7+COUNTIF(BDD!H206:AR206,4)*'ButsMPG + Var'!$K$6+COUNTIF(BDD!H206:AR206,3)*'ButsMPG + Var'!$K$5+COUNTIF(BDD!H206:AR206,2)*'ButsMPG + Var'!$K$4+COUNTIF(BDD!H206:AR206,1)*'ButsMPG + Var'!$K$3,IF(C203="M",COUNTIF(BDD!H206:AR206,10)*'ButsMPG + Var'!$K$22+COUNTIF(BDD!H206:AR206,9)*'ButsMPG + Var'!$K$21+COUNTIF(BDD!H206:AR206,8)*'ButsMPG + Var'!$K$20+COUNTIF(BDD!H206:AR206,7)*'ButsMPG + Var'!$K$19+COUNTIF(BDD!H206:AR206,6)*'ButsMPG + Var'!$K$18+COUNTIF(BDD!H206:AR206,5)*'ButsMPG + Var'!$K$17+COUNTIF(BDD!H206:AR206,4)*'ButsMPG + Var'!$K$16+COUNTIF(BDD!H206:AR206,3)*'ButsMPG + Var'!$K$15+COUNTIF(BDD!H206:AR206,2)*'ButsMPG + Var'!$K$14+COUNTIF(BDD!H206:AR206,1)*'ButsMPG + Var'!$K$13,IF(C203="D",COUNTIF(BDD!H206:AR206,10)*'ButsMPG + Var'!$K$32+COUNTIF(BDD!H206:AR206,9)*'ButsMPG + Var'!$K$31+COUNTIF(BDD!H206:AR206,8)*'ButsMPG + Var'!$K$30+COUNTIF(BDD!H206:AR206,7)*'ButsMPG + Var'!$K$29+COUNTIF(BDD!H206:AR206,6)*'ButsMPG + Var'!$K$28+COUNTIF(BDD!H206:AR206,5)*'ButsMPG + Var'!$K$27+COUNTIF(BDD!H206:AR206,4)*'ButsMPG + Var'!$K$26+COUNTIF(BDD!H206:AR206,3)*'ButsMPG + Var'!$K$25+COUNTIF(BDD!H206:AR206,2)*'ButsMPG + Var'!$K$24+COUNTIF(BDD!H206:AR206,1)*'ButsMPG + Var'!$K$23,0)))</f>
        <v>0</v>
      </c>
      <c r="H203" s="25">
        <f t="shared" si="4"/>
        <v>0</v>
      </c>
      <c r="I203" s="25">
        <f>BDD!G206</f>
        <v>0</v>
      </c>
      <c r="J203" s="25">
        <f>SUMPRODUCT(BDD!H206:AS206,'ButsMPG + Var'!$B$46:$AM$46)</f>
        <v>0</v>
      </c>
      <c r="K203" s="25" t="e">
        <f>10*('ButsMPG + Var'!$H$37*J203/MAX(J:J)+'ButsMPG + Var'!$G$37*H203/MAX(H:H))</f>
        <v>#DIV/0!</v>
      </c>
      <c r="L203" s="1">
        <f>IF(ISNA(VLOOKUP(B203,PrixMini!$B$3:$E$573,4,FALSE)),1,VLOOKUP(B203,PrixMini!$B$3:$E$573,4,FALSE))</f>
        <v>1</v>
      </c>
      <c r="M203" s="25" t="e">
        <f>IF(ROUND(CalculCotation!$D$3*EXP(CalculCotation!$C$3*K203)-CalculCotation!$D$3+1,0)&gt;L203,ROUND(CalculCotation!$D$3*EXP(CalculCotation!$C$3*K203)-CalculCotation!$D$3+1,0),L203)</f>
        <v>#DIV/0!</v>
      </c>
    </row>
    <row r="204" spans="2:13" x14ac:dyDescent="0.3">
      <c r="B204" s="1">
        <f>BDD!C207</f>
        <v>0</v>
      </c>
      <c r="C204" s="1">
        <f>BDD!B207</f>
        <v>0</v>
      </c>
      <c r="D204" s="1">
        <f>BDD!A207</f>
        <v>0</v>
      </c>
      <c r="E204" s="1">
        <f>BDD!D207</f>
        <v>0</v>
      </c>
      <c r="F204" s="1">
        <f>BDD!F207</f>
        <v>0</v>
      </c>
      <c r="G204" s="25">
        <f>'ButsMPG + Var'!$I$39*IF(C204="A",COUNTIF(BDD!H207:AR207,10)*'ButsMPG + Var'!$K$12+COUNTIF(BDD!H207:AR207,9)*'ButsMPG + Var'!$K$11+COUNTIF(BDD!H207:AR207,8)*'ButsMPG + Var'!$K$10+COUNTIF(BDD!H207:AR207,7)*'ButsMPG + Var'!$K$9+COUNTIF(BDD!H207:AR207,6)*'ButsMPG + Var'!$K$8+COUNTIF(BDD!H207:AR207,5)*'ButsMPG + Var'!$K$7+COUNTIF(BDD!H207:AR207,4)*'ButsMPG + Var'!$K$6+COUNTIF(BDD!H207:AR207,3)*'ButsMPG + Var'!$K$5+COUNTIF(BDD!H207:AR207,2)*'ButsMPG + Var'!$K$4+COUNTIF(BDD!H207:AR207,1)*'ButsMPG + Var'!$K$3,IF(C204="M",COUNTIF(BDD!H207:AR207,10)*'ButsMPG + Var'!$K$22+COUNTIF(BDD!H207:AR207,9)*'ButsMPG + Var'!$K$21+COUNTIF(BDD!H207:AR207,8)*'ButsMPG + Var'!$K$20+COUNTIF(BDD!H207:AR207,7)*'ButsMPG + Var'!$K$19+COUNTIF(BDD!H207:AR207,6)*'ButsMPG + Var'!$K$18+COUNTIF(BDD!H207:AR207,5)*'ButsMPG + Var'!$K$17+COUNTIF(BDD!H207:AR207,4)*'ButsMPG + Var'!$K$16+COUNTIF(BDD!H207:AR207,3)*'ButsMPG + Var'!$K$15+COUNTIF(BDD!H207:AR207,2)*'ButsMPG + Var'!$K$14+COUNTIF(BDD!H207:AR207,1)*'ButsMPG + Var'!$K$13,IF(C204="D",COUNTIF(BDD!H207:AR207,10)*'ButsMPG + Var'!$K$32+COUNTIF(BDD!H207:AR207,9)*'ButsMPG + Var'!$K$31+COUNTIF(BDD!H207:AR207,8)*'ButsMPG + Var'!$K$30+COUNTIF(BDD!H207:AR207,7)*'ButsMPG + Var'!$K$29+COUNTIF(BDD!H207:AR207,6)*'ButsMPG + Var'!$K$28+COUNTIF(BDD!H207:AR207,5)*'ButsMPG + Var'!$K$27+COUNTIF(BDD!H207:AR207,4)*'ButsMPG + Var'!$K$26+COUNTIF(BDD!H207:AR207,3)*'ButsMPG + Var'!$K$25+COUNTIF(BDD!H207:AR207,2)*'ButsMPG + Var'!$K$24+COUNTIF(BDD!H207:AR207,1)*'ButsMPG + Var'!$K$23,0)))</f>
        <v>0</v>
      </c>
      <c r="H204" s="25">
        <f t="shared" si="4"/>
        <v>0</v>
      </c>
      <c r="I204" s="25">
        <f>BDD!G207</f>
        <v>0</v>
      </c>
      <c r="J204" s="25">
        <f>SUMPRODUCT(BDD!H207:AS207,'ButsMPG + Var'!$B$46:$AM$46)</f>
        <v>0</v>
      </c>
      <c r="K204" s="25" t="e">
        <f>10*('ButsMPG + Var'!$H$37*J204/MAX(J:J)+'ButsMPG + Var'!$G$37*H204/MAX(H:H))</f>
        <v>#DIV/0!</v>
      </c>
      <c r="L204" s="1">
        <f>IF(ISNA(VLOOKUP(B204,PrixMini!$B$3:$E$573,4,FALSE)),1,VLOOKUP(B204,PrixMini!$B$3:$E$573,4,FALSE))</f>
        <v>1</v>
      </c>
      <c r="M204" s="25" t="e">
        <f>IF(ROUND(CalculCotation!$D$3*EXP(CalculCotation!$C$3*K204)-CalculCotation!$D$3+1,0)&gt;L204,ROUND(CalculCotation!$D$3*EXP(CalculCotation!$C$3*K204)-CalculCotation!$D$3+1,0),L204)</f>
        <v>#DIV/0!</v>
      </c>
    </row>
    <row r="205" spans="2:13" x14ac:dyDescent="0.3">
      <c r="B205" s="1">
        <f>BDD!C208</f>
        <v>0</v>
      </c>
      <c r="C205" s="1">
        <f>BDD!B208</f>
        <v>0</v>
      </c>
      <c r="D205" s="1">
        <f>BDD!A208</f>
        <v>0</v>
      </c>
      <c r="E205" s="1">
        <f>BDD!D208</f>
        <v>0</v>
      </c>
      <c r="F205" s="1">
        <f>BDD!F208</f>
        <v>0</v>
      </c>
      <c r="G205" s="25">
        <f>'ButsMPG + Var'!$I$39*IF(C205="A",COUNTIF(BDD!H208:AR208,10)*'ButsMPG + Var'!$K$12+COUNTIF(BDD!H208:AR208,9)*'ButsMPG + Var'!$K$11+COUNTIF(BDD!H208:AR208,8)*'ButsMPG + Var'!$K$10+COUNTIF(BDD!H208:AR208,7)*'ButsMPG + Var'!$K$9+COUNTIF(BDD!H208:AR208,6)*'ButsMPG + Var'!$K$8+COUNTIF(BDD!H208:AR208,5)*'ButsMPG + Var'!$K$7+COUNTIF(BDD!H208:AR208,4)*'ButsMPG + Var'!$K$6+COUNTIF(BDD!H208:AR208,3)*'ButsMPG + Var'!$K$5+COUNTIF(BDD!H208:AR208,2)*'ButsMPG + Var'!$K$4+COUNTIF(BDD!H208:AR208,1)*'ButsMPG + Var'!$K$3,IF(C205="M",COUNTIF(BDD!H208:AR208,10)*'ButsMPG + Var'!$K$22+COUNTIF(BDD!H208:AR208,9)*'ButsMPG + Var'!$K$21+COUNTIF(BDD!H208:AR208,8)*'ButsMPG + Var'!$K$20+COUNTIF(BDD!H208:AR208,7)*'ButsMPG + Var'!$K$19+COUNTIF(BDD!H208:AR208,6)*'ButsMPG + Var'!$K$18+COUNTIF(BDD!H208:AR208,5)*'ButsMPG + Var'!$K$17+COUNTIF(BDD!H208:AR208,4)*'ButsMPG + Var'!$K$16+COUNTIF(BDD!H208:AR208,3)*'ButsMPG + Var'!$K$15+COUNTIF(BDD!H208:AR208,2)*'ButsMPG + Var'!$K$14+COUNTIF(BDD!H208:AR208,1)*'ButsMPG + Var'!$K$13,IF(C205="D",COUNTIF(BDD!H208:AR208,10)*'ButsMPG + Var'!$K$32+COUNTIF(BDD!H208:AR208,9)*'ButsMPG + Var'!$K$31+COUNTIF(BDD!H208:AR208,8)*'ButsMPG + Var'!$K$30+COUNTIF(BDD!H208:AR208,7)*'ButsMPG + Var'!$K$29+COUNTIF(BDD!H208:AR208,6)*'ButsMPG + Var'!$K$28+COUNTIF(BDD!H208:AR208,5)*'ButsMPG + Var'!$K$27+COUNTIF(BDD!H208:AR208,4)*'ButsMPG + Var'!$K$26+COUNTIF(BDD!H208:AR208,3)*'ButsMPG + Var'!$K$25+COUNTIF(BDD!H208:AR208,2)*'ButsMPG + Var'!$K$24+COUNTIF(BDD!H208:AR208,1)*'ButsMPG + Var'!$K$23,0)))</f>
        <v>0</v>
      </c>
      <c r="H205" s="25">
        <f t="shared" si="4"/>
        <v>0</v>
      </c>
      <c r="I205" s="25">
        <f>BDD!G208</f>
        <v>0</v>
      </c>
      <c r="J205" s="25">
        <f>SUMPRODUCT(BDD!H208:AS208,'ButsMPG + Var'!$B$46:$AM$46)</f>
        <v>0</v>
      </c>
      <c r="K205" s="25" t="e">
        <f>10*('ButsMPG + Var'!$H$37*J205/MAX(J:J)+'ButsMPG + Var'!$G$37*H205/MAX(H:H))</f>
        <v>#DIV/0!</v>
      </c>
      <c r="L205" s="1">
        <f>IF(ISNA(VLOOKUP(B205,PrixMini!$B$3:$E$573,4,FALSE)),1,VLOOKUP(B205,PrixMini!$B$3:$E$573,4,FALSE))</f>
        <v>1</v>
      </c>
      <c r="M205" s="25" t="e">
        <f>IF(ROUND(CalculCotation!$D$3*EXP(CalculCotation!$C$3*K205)-CalculCotation!$D$3+1,0)&gt;L205,ROUND(CalculCotation!$D$3*EXP(CalculCotation!$C$3*K205)-CalculCotation!$D$3+1,0),L205)</f>
        <v>#DIV/0!</v>
      </c>
    </row>
    <row r="206" spans="2:13" x14ac:dyDescent="0.3">
      <c r="B206" s="1">
        <f>BDD!C209</f>
        <v>0</v>
      </c>
      <c r="C206" s="1">
        <f>BDD!B209</f>
        <v>0</v>
      </c>
      <c r="D206" s="1">
        <f>BDD!A209</f>
        <v>0</v>
      </c>
      <c r="E206" s="1">
        <f>BDD!D209</f>
        <v>0</v>
      </c>
      <c r="F206" s="1">
        <f>BDD!F209</f>
        <v>0</v>
      </c>
      <c r="G206" s="25">
        <f>'ButsMPG + Var'!$I$39*IF(C206="A",COUNTIF(BDD!H209:AR209,10)*'ButsMPG + Var'!$K$12+COUNTIF(BDD!H209:AR209,9)*'ButsMPG + Var'!$K$11+COUNTIF(BDD!H209:AR209,8)*'ButsMPG + Var'!$K$10+COUNTIF(BDD!H209:AR209,7)*'ButsMPG + Var'!$K$9+COUNTIF(BDD!H209:AR209,6)*'ButsMPG + Var'!$K$8+COUNTIF(BDD!H209:AR209,5)*'ButsMPG + Var'!$K$7+COUNTIF(BDD!H209:AR209,4)*'ButsMPG + Var'!$K$6+COUNTIF(BDD!H209:AR209,3)*'ButsMPG + Var'!$K$5+COUNTIF(BDD!H209:AR209,2)*'ButsMPG + Var'!$K$4+COUNTIF(BDD!H209:AR209,1)*'ButsMPG + Var'!$K$3,IF(C206="M",COUNTIF(BDD!H209:AR209,10)*'ButsMPG + Var'!$K$22+COUNTIF(BDD!H209:AR209,9)*'ButsMPG + Var'!$K$21+COUNTIF(BDD!H209:AR209,8)*'ButsMPG + Var'!$K$20+COUNTIF(BDD!H209:AR209,7)*'ButsMPG + Var'!$K$19+COUNTIF(BDD!H209:AR209,6)*'ButsMPG + Var'!$K$18+COUNTIF(BDD!H209:AR209,5)*'ButsMPG + Var'!$K$17+COUNTIF(BDD!H209:AR209,4)*'ButsMPG + Var'!$K$16+COUNTIF(BDD!H209:AR209,3)*'ButsMPG + Var'!$K$15+COUNTIF(BDD!H209:AR209,2)*'ButsMPG + Var'!$K$14+COUNTIF(BDD!H209:AR209,1)*'ButsMPG + Var'!$K$13,IF(C206="D",COUNTIF(BDD!H209:AR209,10)*'ButsMPG + Var'!$K$32+COUNTIF(BDD!H209:AR209,9)*'ButsMPG + Var'!$K$31+COUNTIF(BDD!H209:AR209,8)*'ButsMPG + Var'!$K$30+COUNTIF(BDD!H209:AR209,7)*'ButsMPG + Var'!$K$29+COUNTIF(BDD!H209:AR209,6)*'ButsMPG + Var'!$K$28+COUNTIF(BDD!H209:AR209,5)*'ButsMPG + Var'!$K$27+COUNTIF(BDD!H209:AR209,4)*'ButsMPG + Var'!$K$26+COUNTIF(BDD!H209:AR209,3)*'ButsMPG + Var'!$K$25+COUNTIF(BDD!H209:AR209,2)*'ButsMPG + Var'!$K$24+COUNTIF(BDD!H209:AR209,1)*'ButsMPG + Var'!$K$23,0)))</f>
        <v>0</v>
      </c>
      <c r="H206" s="25">
        <f t="shared" si="4"/>
        <v>0</v>
      </c>
      <c r="I206" s="25">
        <f>BDD!G209</f>
        <v>0</v>
      </c>
      <c r="J206" s="25">
        <f>SUMPRODUCT(BDD!H209:AS209,'ButsMPG + Var'!$B$46:$AM$46)</f>
        <v>0</v>
      </c>
      <c r="K206" s="25" t="e">
        <f>10*('ButsMPG + Var'!$H$37*J206/MAX(J:J)+'ButsMPG + Var'!$G$37*H206/MAX(H:H))</f>
        <v>#DIV/0!</v>
      </c>
      <c r="L206" s="1">
        <f>IF(ISNA(VLOOKUP(B206,PrixMini!$B$3:$E$573,4,FALSE)),1,VLOOKUP(B206,PrixMini!$B$3:$E$573,4,FALSE))</f>
        <v>1</v>
      </c>
      <c r="M206" s="25" t="e">
        <f>IF(ROUND(CalculCotation!$D$3*EXP(CalculCotation!$C$3*K206)-CalculCotation!$D$3+1,0)&gt;L206,ROUND(CalculCotation!$D$3*EXP(CalculCotation!$C$3*K206)-CalculCotation!$D$3+1,0),L206)</f>
        <v>#DIV/0!</v>
      </c>
    </row>
    <row r="207" spans="2:13" x14ac:dyDescent="0.3">
      <c r="B207" s="1">
        <f>BDD!C210</f>
        <v>0</v>
      </c>
      <c r="C207" s="1">
        <f>BDD!B210</f>
        <v>0</v>
      </c>
      <c r="D207" s="1">
        <f>BDD!A210</f>
        <v>0</v>
      </c>
      <c r="E207" s="1">
        <f>BDD!D210</f>
        <v>0</v>
      </c>
      <c r="F207" s="1">
        <f>BDD!F210</f>
        <v>0</v>
      </c>
      <c r="G207" s="25">
        <f>'ButsMPG + Var'!$I$39*IF(C207="A",COUNTIF(BDD!H210:AR210,10)*'ButsMPG + Var'!$K$12+COUNTIF(BDD!H210:AR210,9)*'ButsMPG + Var'!$K$11+COUNTIF(BDD!H210:AR210,8)*'ButsMPG + Var'!$K$10+COUNTIF(BDD!H210:AR210,7)*'ButsMPG + Var'!$K$9+COUNTIF(BDD!H210:AR210,6)*'ButsMPG + Var'!$K$8+COUNTIF(BDD!H210:AR210,5)*'ButsMPG + Var'!$K$7+COUNTIF(BDD!H210:AR210,4)*'ButsMPG + Var'!$K$6+COUNTIF(BDD!H210:AR210,3)*'ButsMPG + Var'!$K$5+COUNTIF(BDD!H210:AR210,2)*'ButsMPG + Var'!$K$4+COUNTIF(BDD!H210:AR210,1)*'ButsMPG + Var'!$K$3,IF(C207="M",COUNTIF(BDD!H210:AR210,10)*'ButsMPG + Var'!$K$22+COUNTIF(BDD!H210:AR210,9)*'ButsMPG + Var'!$K$21+COUNTIF(BDD!H210:AR210,8)*'ButsMPG + Var'!$K$20+COUNTIF(BDD!H210:AR210,7)*'ButsMPG + Var'!$K$19+COUNTIF(BDD!H210:AR210,6)*'ButsMPG + Var'!$K$18+COUNTIF(BDD!H210:AR210,5)*'ButsMPG + Var'!$K$17+COUNTIF(BDD!H210:AR210,4)*'ButsMPG + Var'!$K$16+COUNTIF(BDD!H210:AR210,3)*'ButsMPG + Var'!$K$15+COUNTIF(BDD!H210:AR210,2)*'ButsMPG + Var'!$K$14+COUNTIF(BDD!H210:AR210,1)*'ButsMPG + Var'!$K$13,IF(C207="D",COUNTIF(BDD!H210:AR210,10)*'ButsMPG + Var'!$K$32+COUNTIF(BDD!H210:AR210,9)*'ButsMPG + Var'!$K$31+COUNTIF(BDD!H210:AR210,8)*'ButsMPG + Var'!$K$30+COUNTIF(BDD!H210:AR210,7)*'ButsMPG + Var'!$K$29+COUNTIF(BDD!H210:AR210,6)*'ButsMPG + Var'!$K$28+COUNTIF(BDD!H210:AR210,5)*'ButsMPG + Var'!$K$27+COUNTIF(BDD!H210:AR210,4)*'ButsMPG + Var'!$K$26+COUNTIF(BDD!H210:AR210,3)*'ButsMPG + Var'!$K$25+COUNTIF(BDD!H210:AR210,2)*'ButsMPG + Var'!$K$24+COUNTIF(BDD!H210:AR210,1)*'ButsMPG + Var'!$K$23,0)))</f>
        <v>0</v>
      </c>
      <c r="H207" s="25">
        <f t="shared" si="4"/>
        <v>0</v>
      </c>
      <c r="I207" s="25">
        <f>BDD!G210</f>
        <v>0</v>
      </c>
      <c r="J207" s="25">
        <f>SUMPRODUCT(BDD!H210:AS210,'ButsMPG + Var'!$B$46:$AM$46)</f>
        <v>0</v>
      </c>
      <c r="K207" s="25" t="e">
        <f>10*('ButsMPG + Var'!$H$37*J207/MAX(J:J)+'ButsMPG + Var'!$G$37*H207/MAX(H:H))</f>
        <v>#DIV/0!</v>
      </c>
      <c r="L207" s="1">
        <f>IF(ISNA(VLOOKUP(B207,PrixMini!$B$3:$E$573,4,FALSE)),1,VLOOKUP(B207,PrixMini!$B$3:$E$573,4,FALSE))</f>
        <v>1</v>
      </c>
      <c r="M207" s="25" t="e">
        <f>IF(ROUND(CalculCotation!$D$3*EXP(CalculCotation!$C$3*K207)-CalculCotation!$D$3+1,0)&gt;L207,ROUND(CalculCotation!$D$3*EXP(CalculCotation!$C$3*K207)-CalculCotation!$D$3+1,0),L207)</f>
        <v>#DIV/0!</v>
      </c>
    </row>
    <row r="208" spans="2:13" x14ac:dyDescent="0.3">
      <c r="B208" s="1">
        <f>BDD!C211</f>
        <v>0</v>
      </c>
      <c r="C208" s="1">
        <f>BDD!B211</f>
        <v>0</v>
      </c>
      <c r="D208" s="1">
        <f>BDD!A211</f>
        <v>0</v>
      </c>
      <c r="E208" s="1">
        <f>BDD!D211</f>
        <v>0</v>
      </c>
      <c r="F208" s="1">
        <f>BDD!F211</f>
        <v>0</v>
      </c>
      <c r="G208" s="25">
        <f>'ButsMPG + Var'!$I$39*IF(C208="A",COUNTIF(BDD!H211:AR211,10)*'ButsMPG + Var'!$K$12+COUNTIF(BDD!H211:AR211,9)*'ButsMPG + Var'!$K$11+COUNTIF(BDD!H211:AR211,8)*'ButsMPG + Var'!$K$10+COUNTIF(BDD!H211:AR211,7)*'ButsMPG + Var'!$K$9+COUNTIF(BDD!H211:AR211,6)*'ButsMPG + Var'!$K$8+COUNTIF(BDD!H211:AR211,5)*'ButsMPG + Var'!$K$7+COUNTIF(BDD!H211:AR211,4)*'ButsMPG + Var'!$K$6+COUNTIF(BDD!H211:AR211,3)*'ButsMPG + Var'!$K$5+COUNTIF(BDD!H211:AR211,2)*'ButsMPG + Var'!$K$4+COUNTIF(BDD!H211:AR211,1)*'ButsMPG + Var'!$K$3,IF(C208="M",COUNTIF(BDD!H211:AR211,10)*'ButsMPG + Var'!$K$22+COUNTIF(BDD!H211:AR211,9)*'ButsMPG + Var'!$K$21+COUNTIF(BDD!H211:AR211,8)*'ButsMPG + Var'!$K$20+COUNTIF(BDD!H211:AR211,7)*'ButsMPG + Var'!$K$19+COUNTIF(BDD!H211:AR211,6)*'ButsMPG + Var'!$K$18+COUNTIF(BDD!H211:AR211,5)*'ButsMPG + Var'!$K$17+COUNTIF(BDD!H211:AR211,4)*'ButsMPG + Var'!$K$16+COUNTIF(BDD!H211:AR211,3)*'ButsMPG + Var'!$K$15+COUNTIF(BDD!H211:AR211,2)*'ButsMPG + Var'!$K$14+COUNTIF(BDD!H211:AR211,1)*'ButsMPG + Var'!$K$13,IF(C208="D",COUNTIF(BDD!H211:AR211,10)*'ButsMPG + Var'!$K$32+COUNTIF(BDD!H211:AR211,9)*'ButsMPG + Var'!$K$31+COUNTIF(BDD!H211:AR211,8)*'ButsMPG + Var'!$K$30+COUNTIF(BDD!H211:AR211,7)*'ButsMPG + Var'!$K$29+COUNTIF(BDD!H211:AR211,6)*'ButsMPG + Var'!$K$28+COUNTIF(BDD!H211:AR211,5)*'ButsMPG + Var'!$K$27+COUNTIF(BDD!H211:AR211,4)*'ButsMPG + Var'!$K$26+COUNTIF(BDD!H211:AR211,3)*'ButsMPG + Var'!$K$25+COUNTIF(BDD!H211:AR211,2)*'ButsMPG + Var'!$K$24+COUNTIF(BDD!H211:AR211,1)*'ButsMPG + Var'!$K$23,0)))</f>
        <v>0</v>
      </c>
      <c r="H208" s="25">
        <f t="shared" si="4"/>
        <v>0</v>
      </c>
      <c r="I208" s="25">
        <f>BDD!G211</f>
        <v>0</v>
      </c>
      <c r="J208" s="25">
        <f>SUMPRODUCT(BDD!H211:AS211,'ButsMPG + Var'!$B$46:$AM$46)</f>
        <v>0</v>
      </c>
      <c r="K208" s="25" t="e">
        <f>10*('ButsMPG + Var'!$H$37*J208/MAX(J:J)+'ButsMPG + Var'!$G$37*H208/MAX(H:H))</f>
        <v>#DIV/0!</v>
      </c>
      <c r="L208" s="1">
        <f>IF(ISNA(VLOOKUP(B208,PrixMini!$B$3:$E$573,4,FALSE)),1,VLOOKUP(B208,PrixMini!$B$3:$E$573,4,FALSE))</f>
        <v>1</v>
      </c>
      <c r="M208" s="25" t="e">
        <f>IF(ROUND(CalculCotation!$D$3*EXP(CalculCotation!$C$3*K208)-CalculCotation!$D$3+1,0)&gt;L208,ROUND(CalculCotation!$D$3*EXP(CalculCotation!$C$3*K208)-CalculCotation!$D$3+1,0),L208)</f>
        <v>#DIV/0!</v>
      </c>
    </row>
    <row r="209" spans="2:13" x14ac:dyDescent="0.3">
      <c r="B209" s="1">
        <f>BDD!C212</f>
        <v>0</v>
      </c>
      <c r="C209" s="1">
        <f>BDD!B212</f>
        <v>0</v>
      </c>
      <c r="D209" s="1">
        <f>BDD!A212</f>
        <v>0</v>
      </c>
      <c r="E209" s="1">
        <f>BDD!D212</f>
        <v>0</v>
      </c>
      <c r="F209" s="1">
        <f>BDD!F212</f>
        <v>0</v>
      </c>
      <c r="G209" s="25">
        <f>'ButsMPG + Var'!$I$39*IF(C209="A",COUNTIF(BDD!H212:AR212,10)*'ButsMPG + Var'!$K$12+COUNTIF(BDD!H212:AR212,9)*'ButsMPG + Var'!$K$11+COUNTIF(BDD!H212:AR212,8)*'ButsMPG + Var'!$K$10+COUNTIF(BDD!H212:AR212,7)*'ButsMPG + Var'!$K$9+COUNTIF(BDD!H212:AR212,6)*'ButsMPG + Var'!$K$8+COUNTIF(BDD!H212:AR212,5)*'ButsMPG + Var'!$K$7+COUNTIF(BDD!H212:AR212,4)*'ButsMPG + Var'!$K$6+COUNTIF(BDD!H212:AR212,3)*'ButsMPG + Var'!$K$5+COUNTIF(BDD!H212:AR212,2)*'ButsMPG + Var'!$K$4+COUNTIF(BDD!H212:AR212,1)*'ButsMPG + Var'!$K$3,IF(C209="M",COUNTIF(BDD!H212:AR212,10)*'ButsMPG + Var'!$K$22+COUNTIF(BDD!H212:AR212,9)*'ButsMPG + Var'!$K$21+COUNTIF(BDD!H212:AR212,8)*'ButsMPG + Var'!$K$20+COUNTIF(BDD!H212:AR212,7)*'ButsMPG + Var'!$K$19+COUNTIF(BDD!H212:AR212,6)*'ButsMPG + Var'!$K$18+COUNTIF(BDD!H212:AR212,5)*'ButsMPG + Var'!$K$17+COUNTIF(BDD!H212:AR212,4)*'ButsMPG + Var'!$K$16+COUNTIF(BDD!H212:AR212,3)*'ButsMPG + Var'!$K$15+COUNTIF(BDD!H212:AR212,2)*'ButsMPG + Var'!$K$14+COUNTIF(BDD!H212:AR212,1)*'ButsMPG + Var'!$K$13,IF(C209="D",COUNTIF(BDD!H212:AR212,10)*'ButsMPG + Var'!$K$32+COUNTIF(BDD!H212:AR212,9)*'ButsMPG + Var'!$K$31+COUNTIF(BDD!H212:AR212,8)*'ButsMPG + Var'!$K$30+COUNTIF(BDD!H212:AR212,7)*'ButsMPG + Var'!$K$29+COUNTIF(BDD!H212:AR212,6)*'ButsMPG + Var'!$K$28+COUNTIF(BDD!H212:AR212,5)*'ButsMPG + Var'!$K$27+COUNTIF(BDD!H212:AR212,4)*'ButsMPG + Var'!$K$26+COUNTIF(BDD!H212:AR212,3)*'ButsMPG + Var'!$K$25+COUNTIF(BDD!H212:AR212,2)*'ButsMPG + Var'!$K$24+COUNTIF(BDD!H212:AR212,1)*'ButsMPG + Var'!$K$23,0)))</f>
        <v>0</v>
      </c>
      <c r="H209" s="25">
        <f t="shared" si="4"/>
        <v>0</v>
      </c>
      <c r="I209" s="25">
        <f>BDD!G212</f>
        <v>0</v>
      </c>
      <c r="J209" s="25">
        <f>SUMPRODUCT(BDD!H212:AS212,'ButsMPG + Var'!$B$46:$AM$46)</f>
        <v>0</v>
      </c>
      <c r="K209" s="25" t="e">
        <f>10*('ButsMPG + Var'!$H$37*J209/MAX(J:J)+'ButsMPG + Var'!$G$37*H209/MAX(H:H))</f>
        <v>#DIV/0!</v>
      </c>
      <c r="L209" s="1">
        <f>IF(ISNA(VLOOKUP(B209,PrixMini!$B$3:$E$573,4,FALSE)),1,VLOOKUP(B209,PrixMini!$B$3:$E$573,4,FALSE))</f>
        <v>1</v>
      </c>
      <c r="M209" s="25" t="e">
        <f>IF(ROUND(CalculCotation!$D$3*EXP(CalculCotation!$C$3*K209)-CalculCotation!$D$3+1,0)&gt;L209,ROUND(CalculCotation!$D$3*EXP(CalculCotation!$C$3*K209)-CalculCotation!$D$3+1,0),L209)</f>
        <v>#DIV/0!</v>
      </c>
    </row>
    <row r="210" spans="2:13" x14ac:dyDescent="0.3">
      <c r="B210" s="1">
        <f>BDD!C213</f>
        <v>0</v>
      </c>
      <c r="C210" s="1">
        <f>BDD!B213</f>
        <v>0</v>
      </c>
      <c r="D210" s="1">
        <f>BDD!A213</f>
        <v>0</v>
      </c>
      <c r="E210" s="1">
        <f>BDD!D213</f>
        <v>0</v>
      </c>
      <c r="F210" s="1">
        <f>BDD!F213</f>
        <v>0</v>
      </c>
      <c r="G210" s="25">
        <f>'ButsMPG + Var'!$I$39*IF(C210="A",COUNTIF(BDD!H213:AR213,10)*'ButsMPG + Var'!$K$12+COUNTIF(BDD!H213:AR213,9)*'ButsMPG + Var'!$K$11+COUNTIF(BDD!H213:AR213,8)*'ButsMPG + Var'!$K$10+COUNTIF(BDD!H213:AR213,7)*'ButsMPG + Var'!$K$9+COUNTIF(BDD!H213:AR213,6)*'ButsMPG + Var'!$K$8+COUNTIF(BDD!H213:AR213,5)*'ButsMPG + Var'!$K$7+COUNTIF(BDD!H213:AR213,4)*'ButsMPG + Var'!$K$6+COUNTIF(BDD!H213:AR213,3)*'ButsMPG + Var'!$K$5+COUNTIF(BDD!H213:AR213,2)*'ButsMPG + Var'!$K$4+COUNTIF(BDD!H213:AR213,1)*'ButsMPG + Var'!$K$3,IF(C210="M",COUNTIF(BDD!H213:AR213,10)*'ButsMPG + Var'!$K$22+COUNTIF(BDD!H213:AR213,9)*'ButsMPG + Var'!$K$21+COUNTIF(BDD!H213:AR213,8)*'ButsMPG + Var'!$K$20+COUNTIF(BDD!H213:AR213,7)*'ButsMPG + Var'!$K$19+COUNTIF(BDD!H213:AR213,6)*'ButsMPG + Var'!$K$18+COUNTIF(BDD!H213:AR213,5)*'ButsMPG + Var'!$K$17+COUNTIF(BDD!H213:AR213,4)*'ButsMPG + Var'!$K$16+COUNTIF(BDD!H213:AR213,3)*'ButsMPG + Var'!$K$15+COUNTIF(BDD!H213:AR213,2)*'ButsMPG + Var'!$K$14+COUNTIF(BDD!H213:AR213,1)*'ButsMPG + Var'!$K$13,IF(C210="D",COUNTIF(BDD!H213:AR213,10)*'ButsMPG + Var'!$K$32+COUNTIF(BDD!H213:AR213,9)*'ButsMPG + Var'!$K$31+COUNTIF(BDD!H213:AR213,8)*'ButsMPG + Var'!$K$30+COUNTIF(BDD!H213:AR213,7)*'ButsMPG + Var'!$K$29+COUNTIF(BDD!H213:AR213,6)*'ButsMPG + Var'!$K$28+COUNTIF(BDD!H213:AR213,5)*'ButsMPG + Var'!$K$27+COUNTIF(BDD!H213:AR213,4)*'ButsMPG + Var'!$K$26+COUNTIF(BDD!H213:AR213,3)*'ButsMPG + Var'!$K$25+COUNTIF(BDD!H213:AR213,2)*'ButsMPG + Var'!$K$24+COUNTIF(BDD!H213:AR213,1)*'ButsMPG + Var'!$K$23,0)))</f>
        <v>0</v>
      </c>
      <c r="H210" s="25">
        <f t="shared" si="4"/>
        <v>0</v>
      </c>
      <c r="I210" s="25">
        <f>BDD!G213</f>
        <v>0</v>
      </c>
      <c r="J210" s="25">
        <f>SUMPRODUCT(BDD!H213:AS213,'ButsMPG + Var'!$B$46:$AM$46)</f>
        <v>0</v>
      </c>
      <c r="K210" s="25" t="e">
        <f>10*('ButsMPG + Var'!$H$37*J210/MAX(J:J)+'ButsMPG + Var'!$G$37*H210/MAX(H:H))</f>
        <v>#DIV/0!</v>
      </c>
      <c r="L210" s="1">
        <f>IF(ISNA(VLOOKUP(B210,PrixMini!$B$3:$E$573,4,FALSE)),1,VLOOKUP(B210,PrixMini!$B$3:$E$573,4,FALSE))</f>
        <v>1</v>
      </c>
      <c r="M210" s="25" t="e">
        <f>IF(ROUND(CalculCotation!$D$3*EXP(CalculCotation!$C$3*K210)-CalculCotation!$D$3+1,0)&gt;L210,ROUND(CalculCotation!$D$3*EXP(CalculCotation!$C$3*K210)-CalculCotation!$D$3+1,0),L210)</f>
        <v>#DIV/0!</v>
      </c>
    </row>
    <row r="211" spans="2:13" x14ac:dyDescent="0.3">
      <c r="B211" s="1">
        <f>BDD!C214</f>
        <v>0</v>
      </c>
      <c r="C211" s="1">
        <f>BDD!B214</f>
        <v>0</v>
      </c>
      <c r="D211" s="1">
        <f>BDD!A214</f>
        <v>0</v>
      </c>
      <c r="E211" s="1">
        <f>BDD!D214</f>
        <v>0</v>
      </c>
      <c r="F211" s="1">
        <f>BDD!F214</f>
        <v>0</v>
      </c>
      <c r="G211" s="25">
        <f>'ButsMPG + Var'!$I$39*IF(C211="A",COUNTIF(BDD!H214:AR214,10)*'ButsMPG + Var'!$K$12+COUNTIF(BDD!H214:AR214,9)*'ButsMPG + Var'!$K$11+COUNTIF(BDD!H214:AR214,8)*'ButsMPG + Var'!$K$10+COUNTIF(BDD!H214:AR214,7)*'ButsMPG + Var'!$K$9+COUNTIF(BDD!H214:AR214,6)*'ButsMPG + Var'!$K$8+COUNTIF(BDD!H214:AR214,5)*'ButsMPG + Var'!$K$7+COUNTIF(BDD!H214:AR214,4)*'ButsMPG + Var'!$K$6+COUNTIF(BDD!H214:AR214,3)*'ButsMPG + Var'!$K$5+COUNTIF(BDD!H214:AR214,2)*'ButsMPG + Var'!$K$4+COUNTIF(BDD!H214:AR214,1)*'ButsMPG + Var'!$K$3,IF(C211="M",COUNTIF(BDD!H214:AR214,10)*'ButsMPG + Var'!$K$22+COUNTIF(BDD!H214:AR214,9)*'ButsMPG + Var'!$K$21+COUNTIF(BDD!H214:AR214,8)*'ButsMPG + Var'!$K$20+COUNTIF(BDD!H214:AR214,7)*'ButsMPG + Var'!$K$19+COUNTIF(BDD!H214:AR214,6)*'ButsMPG + Var'!$K$18+COUNTIF(BDD!H214:AR214,5)*'ButsMPG + Var'!$K$17+COUNTIF(BDD!H214:AR214,4)*'ButsMPG + Var'!$K$16+COUNTIF(BDD!H214:AR214,3)*'ButsMPG + Var'!$K$15+COUNTIF(BDD!H214:AR214,2)*'ButsMPG + Var'!$K$14+COUNTIF(BDD!H214:AR214,1)*'ButsMPG + Var'!$K$13,IF(C211="D",COUNTIF(BDD!H214:AR214,10)*'ButsMPG + Var'!$K$32+COUNTIF(BDD!H214:AR214,9)*'ButsMPG + Var'!$K$31+COUNTIF(BDD!H214:AR214,8)*'ButsMPG + Var'!$K$30+COUNTIF(BDD!H214:AR214,7)*'ButsMPG + Var'!$K$29+COUNTIF(BDD!H214:AR214,6)*'ButsMPG + Var'!$K$28+COUNTIF(BDD!H214:AR214,5)*'ButsMPG + Var'!$K$27+COUNTIF(BDD!H214:AR214,4)*'ButsMPG + Var'!$K$26+COUNTIF(BDD!H214:AR214,3)*'ButsMPG + Var'!$K$25+COUNTIF(BDD!H214:AR214,2)*'ButsMPG + Var'!$K$24+COUNTIF(BDD!H214:AR214,1)*'ButsMPG + Var'!$K$23,0)))</f>
        <v>0</v>
      </c>
      <c r="H211" s="25">
        <f t="shared" si="4"/>
        <v>0</v>
      </c>
      <c r="I211" s="25">
        <f>BDD!G214</f>
        <v>0</v>
      </c>
      <c r="J211" s="25">
        <f>SUMPRODUCT(BDD!H214:AS214,'ButsMPG + Var'!$B$46:$AM$46)</f>
        <v>0</v>
      </c>
      <c r="K211" s="25" t="e">
        <f>10*('ButsMPG + Var'!$H$37*J211/MAX(J:J)+'ButsMPG + Var'!$G$37*H211/MAX(H:H))</f>
        <v>#DIV/0!</v>
      </c>
      <c r="L211" s="1">
        <f>IF(ISNA(VLOOKUP(B211,PrixMini!$B$3:$E$573,4,FALSE)),1,VLOOKUP(B211,PrixMini!$B$3:$E$573,4,FALSE))</f>
        <v>1</v>
      </c>
      <c r="M211" s="25" t="e">
        <f>IF(ROUND(CalculCotation!$D$3*EXP(CalculCotation!$C$3*K211)-CalculCotation!$D$3+1,0)&gt;L211,ROUND(CalculCotation!$D$3*EXP(CalculCotation!$C$3*K211)-CalculCotation!$D$3+1,0),L211)</f>
        <v>#DIV/0!</v>
      </c>
    </row>
    <row r="212" spans="2:13" x14ac:dyDescent="0.3">
      <c r="B212" s="1">
        <f>BDD!C215</f>
        <v>0</v>
      </c>
      <c r="C212" s="1">
        <f>BDD!B215</f>
        <v>0</v>
      </c>
      <c r="D212" s="1">
        <f>BDD!A215</f>
        <v>0</v>
      </c>
      <c r="E212" s="1">
        <f>BDD!D215</f>
        <v>0</v>
      </c>
      <c r="F212" s="1">
        <f>BDD!F215</f>
        <v>0</v>
      </c>
      <c r="G212" s="25">
        <f>'ButsMPG + Var'!$I$39*IF(C212="A",COUNTIF(BDD!H215:AR215,10)*'ButsMPG + Var'!$K$12+COUNTIF(BDD!H215:AR215,9)*'ButsMPG + Var'!$K$11+COUNTIF(BDD!H215:AR215,8)*'ButsMPG + Var'!$K$10+COUNTIF(BDD!H215:AR215,7)*'ButsMPG + Var'!$K$9+COUNTIF(BDD!H215:AR215,6)*'ButsMPG + Var'!$K$8+COUNTIF(BDD!H215:AR215,5)*'ButsMPG + Var'!$K$7+COUNTIF(BDD!H215:AR215,4)*'ButsMPG + Var'!$K$6+COUNTIF(BDD!H215:AR215,3)*'ButsMPG + Var'!$K$5+COUNTIF(BDD!H215:AR215,2)*'ButsMPG + Var'!$K$4+COUNTIF(BDD!H215:AR215,1)*'ButsMPG + Var'!$K$3,IF(C212="M",COUNTIF(BDD!H215:AR215,10)*'ButsMPG + Var'!$K$22+COUNTIF(BDD!H215:AR215,9)*'ButsMPG + Var'!$K$21+COUNTIF(BDD!H215:AR215,8)*'ButsMPG + Var'!$K$20+COUNTIF(BDD!H215:AR215,7)*'ButsMPG + Var'!$K$19+COUNTIF(BDD!H215:AR215,6)*'ButsMPG + Var'!$K$18+COUNTIF(BDD!H215:AR215,5)*'ButsMPG + Var'!$K$17+COUNTIF(BDD!H215:AR215,4)*'ButsMPG + Var'!$K$16+COUNTIF(BDD!H215:AR215,3)*'ButsMPG + Var'!$K$15+COUNTIF(BDD!H215:AR215,2)*'ButsMPG + Var'!$K$14+COUNTIF(BDD!H215:AR215,1)*'ButsMPG + Var'!$K$13,IF(C212="D",COUNTIF(BDD!H215:AR215,10)*'ButsMPG + Var'!$K$32+COUNTIF(BDD!H215:AR215,9)*'ButsMPG + Var'!$K$31+COUNTIF(BDD!H215:AR215,8)*'ButsMPG + Var'!$K$30+COUNTIF(BDD!H215:AR215,7)*'ButsMPG + Var'!$K$29+COUNTIF(BDD!H215:AR215,6)*'ButsMPG + Var'!$K$28+COUNTIF(BDD!H215:AR215,5)*'ButsMPG + Var'!$K$27+COUNTIF(BDD!H215:AR215,4)*'ButsMPG + Var'!$K$26+COUNTIF(BDD!H215:AR215,3)*'ButsMPG + Var'!$K$25+COUNTIF(BDD!H215:AR215,2)*'ButsMPG + Var'!$K$24+COUNTIF(BDD!H215:AR215,1)*'ButsMPG + Var'!$K$23,0)))</f>
        <v>0</v>
      </c>
      <c r="H212" s="25">
        <f t="shared" si="4"/>
        <v>0</v>
      </c>
      <c r="I212" s="25">
        <f>BDD!G215</f>
        <v>0</v>
      </c>
      <c r="J212" s="25">
        <f>SUMPRODUCT(BDD!H215:AS215,'ButsMPG + Var'!$B$46:$AM$46)</f>
        <v>0</v>
      </c>
      <c r="K212" s="25" t="e">
        <f>10*('ButsMPG + Var'!$H$37*J212/MAX(J:J)+'ButsMPG + Var'!$G$37*H212/MAX(H:H))</f>
        <v>#DIV/0!</v>
      </c>
      <c r="L212" s="1">
        <f>IF(ISNA(VLOOKUP(B212,PrixMini!$B$3:$E$573,4,FALSE)),1,VLOOKUP(B212,PrixMini!$B$3:$E$573,4,FALSE))</f>
        <v>1</v>
      </c>
      <c r="M212" s="25" t="e">
        <f>IF(ROUND(CalculCotation!$D$3*EXP(CalculCotation!$C$3*K212)-CalculCotation!$D$3+1,0)&gt;L212,ROUND(CalculCotation!$D$3*EXP(CalculCotation!$C$3*K212)-CalculCotation!$D$3+1,0),L212)</f>
        <v>#DIV/0!</v>
      </c>
    </row>
    <row r="213" spans="2:13" x14ac:dyDescent="0.3">
      <c r="B213" s="1">
        <f>BDD!C216</f>
        <v>0</v>
      </c>
      <c r="C213" s="1">
        <f>BDD!B216</f>
        <v>0</v>
      </c>
      <c r="D213" s="1">
        <f>BDD!A216</f>
        <v>0</v>
      </c>
      <c r="E213" s="1">
        <f>BDD!D216</f>
        <v>0</v>
      </c>
      <c r="F213" s="1">
        <f>BDD!F216</f>
        <v>0</v>
      </c>
      <c r="G213" s="25">
        <f>'ButsMPG + Var'!$I$39*IF(C213="A",COUNTIF(BDD!H216:AR216,10)*'ButsMPG + Var'!$K$12+COUNTIF(BDD!H216:AR216,9)*'ButsMPG + Var'!$K$11+COUNTIF(BDD!H216:AR216,8)*'ButsMPG + Var'!$K$10+COUNTIF(BDD!H216:AR216,7)*'ButsMPG + Var'!$K$9+COUNTIF(BDD!H216:AR216,6)*'ButsMPG + Var'!$K$8+COUNTIF(BDD!H216:AR216,5)*'ButsMPG + Var'!$K$7+COUNTIF(BDD!H216:AR216,4)*'ButsMPG + Var'!$K$6+COUNTIF(BDD!H216:AR216,3)*'ButsMPG + Var'!$K$5+COUNTIF(BDD!H216:AR216,2)*'ButsMPG + Var'!$K$4+COUNTIF(BDD!H216:AR216,1)*'ButsMPG + Var'!$K$3,IF(C213="M",COUNTIF(BDD!H216:AR216,10)*'ButsMPG + Var'!$K$22+COUNTIF(BDD!H216:AR216,9)*'ButsMPG + Var'!$K$21+COUNTIF(BDD!H216:AR216,8)*'ButsMPG + Var'!$K$20+COUNTIF(BDD!H216:AR216,7)*'ButsMPG + Var'!$K$19+COUNTIF(BDD!H216:AR216,6)*'ButsMPG + Var'!$K$18+COUNTIF(BDD!H216:AR216,5)*'ButsMPG + Var'!$K$17+COUNTIF(BDD!H216:AR216,4)*'ButsMPG + Var'!$K$16+COUNTIF(BDD!H216:AR216,3)*'ButsMPG + Var'!$K$15+COUNTIF(BDD!H216:AR216,2)*'ButsMPG + Var'!$K$14+COUNTIF(BDD!H216:AR216,1)*'ButsMPG + Var'!$K$13,IF(C213="D",COUNTIF(BDD!H216:AR216,10)*'ButsMPG + Var'!$K$32+COUNTIF(BDD!H216:AR216,9)*'ButsMPG + Var'!$K$31+COUNTIF(BDD!H216:AR216,8)*'ButsMPG + Var'!$K$30+COUNTIF(BDD!H216:AR216,7)*'ButsMPG + Var'!$K$29+COUNTIF(BDD!H216:AR216,6)*'ButsMPG + Var'!$K$28+COUNTIF(BDD!H216:AR216,5)*'ButsMPG + Var'!$K$27+COUNTIF(BDD!H216:AR216,4)*'ButsMPG + Var'!$K$26+COUNTIF(BDD!H216:AR216,3)*'ButsMPG + Var'!$K$25+COUNTIF(BDD!H216:AR216,2)*'ButsMPG + Var'!$K$24+COUNTIF(BDD!H216:AR216,1)*'ButsMPG + Var'!$K$23,0)))</f>
        <v>0</v>
      </c>
      <c r="H213" s="25">
        <f t="shared" si="4"/>
        <v>0</v>
      </c>
      <c r="I213" s="25">
        <f>BDD!G216</f>
        <v>0</v>
      </c>
      <c r="J213" s="25">
        <f>SUMPRODUCT(BDD!H216:AS216,'ButsMPG + Var'!$B$46:$AM$46)</f>
        <v>0</v>
      </c>
      <c r="K213" s="25" t="e">
        <f>10*('ButsMPG + Var'!$H$37*J213/MAX(J:J)+'ButsMPG + Var'!$G$37*H213/MAX(H:H))</f>
        <v>#DIV/0!</v>
      </c>
      <c r="L213" s="1">
        <f>IF(ISNA(VLOOKUP(B213,PrixMini!$B$3:$E$573,4,FALSE)),1,VLOOKUP(B213,PrixMini!$B$3:$E$573,4,FALSE))</f>
        <v>1</v>
      </c>
      <c r="M213" s="25" t="e">
        <f>IF(ROUND(CalculCotation!$D$3*EXP(CalculCotation!$C$3*K213)-CalculCotation!$D$3+1,0)&gt;L213,ROUND(CalculCotation!$D$3*EXP(CalculCotation!$C$3*K213)-CalculCotation!$D$3+1,0),L213)</f>
        <v>#DIV/0!</v>
      </c>
    </row>
    <row r="214" spans="2:13" x14ac:dyDescent="0.3">
      <c r="B214" s="1">
        <f>BDD!C217</f>
        <v>0</v>
      </c>
      <c r="C214" s="1">
        <f>BDD!B217</f>
        <v>0</v>
      </c>
      <c r="D214" s="1">
        <f>BDD!A217</f>
        <v>0</v>
      </c>
      <c r="E214" s="1">
        <f>BDD!D217</f>
        <v>0</v>
      </c>
      <c r="F214" s="1">
        <f>BDD!F217</f>
        <v>0</v>
      </c>
      <c r="G214" s="25">
        <f>'ButsMPG + Var'!$I$39*IF(C214="A",COUNTIF(BDD!H217:AR217,10)*'ButsMPG + Var'!$K$12+COUNTIF(BDD!H217:AR217,9)*'ButsMPG + Var'!$K$11+COUNTIF(BDD!H217:AR217,8)*'ButsMPG + Var'!$K$10+COUNTIF(BDD!H217:AR217,7)*'ButsMPG + Var'!$K$9+COUNTIF(BDD!H217:AR217,6)*'ButsMPG + Var'!$K$8+COUNTIF(BDD!H217:AR217,5)*'ButsMPG + Var'!$K$7+COUNTIF(BDD!H217:AR217,4)*'ButsMPG + Var'!$K$6+COUNTIF(BDD!H217:AR217,3)*'ButsMPG + Var'!$K$5+COUNTIF(BDD!H217:AR217,2)*'ButsMPG + Var'!$K$4+COUNTIF(BDD!H217:AR217,1)*'ButsMPG + Var'!$K$3,IF(C214="M",COUNTIF(BDD!H217:AR217,10)*'ButsMPG + Var'!$K$22+COUNTIF(BDD!H217:AR217,9)*'ButsMPG + Var'!$K$21+COUNTIF(BDD!H217:AR217,8)*'ButsMPG + Var'!$K$20+COUNTIF(BDD!H217:AR217,7)*'ButsMPG + Var'!$K$19+COUNTIF(BDD!H217:AR217,6)*'ButsMPG + Var'!$K$18+COUNTIF(BDD!H217:AR217,5)*'ButsMPG + Var'!$K$17+COUNTIF(BDD!H217:AR217,4)*'ButsMPG + Var'!$K$16+COUNTIF(BDD!H217:AR217,3)*'ButsMPG + Var'!$K$15+COUNTIF(BDD!H217:AR217,2)*'ButsMPG + Var'!$K$14+COUNTIF(BDD!H217:AR217,1)*'ButsMPG + Var'!$K$13,IF(C214="D",COUNTIF(BDD!H217:AR217,10)*'ButsMPG + Var'!$K$32+COUNTIF(BDD!H217:AR217,9)*'ButsMPG + Var'!$K$31+COUNTIF(BDD!H217:AR217,8)*'ButsMPG + Var'!$K$30+COUNTIF(BDD!H217:AR217,7)*'ButsMPG + Var'!$K$29+COUNTIF(BDD!H217:AR217,6)*'ButsMPG + Var'!$K$28+COUNTIF(BDD!H217:AR217,5)*'ButsMPG + Var'!$K$27+COUNTIF(BDD!H217:AR217,4)*'ButsMPG + Var'!$K$26+COUNTIF(BDD!H217:AR217,3)*'ButsMPG + Var'!$K$25+COUNTIF(BDD!H217:AR217,2)*'ButsMPG + Var'!$K$24+COUNTIF(BDD!H217:AR217,1)*'ButsMPG + Var'!$K$23,0)))</f>
        <v>0</v>
      </c>
      <c r="H214" s="25">
        <f t="shared" si="4"/>
        <v>0</v>
      </c>
      <c r="I214" s="25">
        <f>BDD!G217</f>
        <v>0</v>
      </c>
      <c r="J214" s="25">
        <f>SUMPRODUCT(BDD!H217:AS217,'ButsMPG + Var'!$B$46:$AM$46)</f>
        <v>0</v>
      </c>
      <c r="K214" s="25" t="e">
        <f>10*('ButsMPG + Var'!$H$37*J214/MAX(J:J)+'ButsMPG + Var'!$G$37*H214/MAX(H:H))</f>
        <v>#DIV/0!</v>
      </c>
      <c r="L214" s="1">
        <f>IF(ISNA(VLOOKUP(B214,PrixMini!$B$3:$E$573,4,FALSE)),1,VLOOKUP(B214,PrixMini!$B$3:$E$573,4,FALSE))</f>
        <v>1</v>
      </c>
      <c r="M214" s="25" t="e">
        <f>IF(ROUND(CalculCotation!$D$3*EXP(CalculCotation!$C$3*K214)-CalculCotation!$D$3+1,0)&gt;L214,ROUND(CalculCotation!$D$3*EXP(CalculCotation!$C$3*K214)-CalculCotation!$D$3+1,0),L214)</f>
        <v>#DIV/0!</v>
      </c>
    </row>
    <row r="215" spans="2:13" x14ac:dyDescent="0.3">
      <c r="B215" s="1">
        <f>BDD!C218</f>
        <v>0</v>
      </c>
      <c r="C215" s="1">
        <f>BDD!B218</f>
        <v>0</v>
      </c>
      <c r="D215" s="1">
        <f>BDD!A218</f>
        <v>0</v>
      </c>
      <c r="E215" s="1">
        <f>BDD!D218</f>
        <v>0</v>
      </c>
      <c r="F215" s="1">
        <f>BDD!F218</f>
        <v>0</v>
      </c>
      <c r="G215" s="25">
        <f>'ButsMPG + Var'!$I$39*IF(C215="A",COUNTIF(BDD!H218:AR218,10)*'ButsMPG + Var'!$K$12+COUNTIF(BDD!H218:AR218,9)*'ButsMPG + Var'!$K$11+COUNTIF(BDD!H218:AR218,8)*'ButsMPG + Var'!$K$10+COUNTIF(BDD!H218:AR218,7)*'ButsMPG + Var'!$K$9+COUNTIF(BDD!H218:AR218,6)*'ButsMPG + Var'!$K$8+COUNTIF(BDD!H218:AR218,5)*'ButsMPG + Var'!$K$7+COUNTIF(BDD!H218:AR218,4)*'ButsMPG + Var'!$K$6+COUNTIF(BDD!H218:AR218,3)*'ButsMPG + Var'!$K$5+COUNTIF(BDD!H218:AR218,2)*'ButsMPG + Var'!$K$4+COUNTIF(BDD!H218:AR218,1)*'ButsMPG + Var'!$K$3,IF(C215="M",COUNTIF(BDD!H218:AR218,10)*'ButsMPG + Var'!$K$22+COUNTIF(BDD!H218:AR218,9)*'ButsMPG + Var'!$K$21+COUNTIF(BDD!H218:AR218,8)*'ButsMPG + Var'!$K$20+COUNTIF(BDD!H218:AR218,7)*'ButsMPG + Var'!$K$19+COUNTIF(BDD!H218:AR218,6)*'ButsMPG + Var'!$K$18+COUNTIF(BDD!H218:AR218,5)*'ButsMPG + Var'!$K$17+COUNTIF(BDD!H218:AR218,4)*'ButsMPG + Var'!$K$16+COUNTIF(BDD!H218:AR218,3)*'ButsMPG + Var'!$K$15+COUNTIF(BDD!H218:AR218,2)*'ButsMPG + Var'!$K$14+COUNTIF(BDD!H218:AR218,1)*'ButsMPG + Var'!$K$13,IF(C215="D",COUNTIF(BDD!H218:AR218,10)*'ButsMPG + Var'!$K$32+COUNTIF(BDD!H218:AR218,9)*'ButsMPG + Var'!$K$31+COUNTIF(BDD!H218:AR218,8)*'ButsMPG + Var'!$K$30+COUNTIF(BDD!H218:AR218,7)*'ButsMPG + Var'!$K$29+COUNTIF(BDD!H218:AR218,6)*'ButsMPG + Var'!$K$28+COUNTIF(BDD!H218:AR218,5)*'ButsMPG + Var'!$K$27+COUNTIF(BDD!H218:AR218,4)*'ButsMPG + Var'!$K$26+COUNTIF(BDD!H218:AR218,3)*'ButsMPG + Var'!$K$25+COUNTIF(BDD!H218:AR218,2)*'ButsMPG + Var'!$K$24+COUNTIF(BDD!H218:AR218,1)*'ButsMPG + Var'!$K$23,0)))</f>
        <v>0</v>
      </c>
      <c r="H215" s="25">
        <f t="shared" si="4"/>
        <v>0</v>
      </c>
      <c r="I215" s="25">
        <f>BDD!G218</f>
        <v>0</v>
      </c>
      <c r="J215" s="25">
        <f>SUMPRODUCT(BDD!H218:AS218,'ButsMPG + Var'!$B$46:$AM$46)</f>
        <v>0</v>
      </c>
      <c r="K215" s="25" t="e">
        <f>10*('ButsMPG + Var'!$H$37*J215/MAX(J:J)+'ButsMPG + Var'!$G$37*H215/MAX(H:H))</f>
        <v>#DIV/0!</v>
      </c>
      <c r="L215" s="1">
        <f>IF(ISNA(VLOOKUP(B215,PrixMini!$B$3:$E$573,4,FALSE)),1,VLOOKUP(B215,PrixMini!$B$3:$E$573,4,FALSE))</f>
        <v>1</v>
      </c>
      <c r="M215" s="25" t="e">
        <f>IF(ROUND(CalculCotation!$D$3*EXP(CalculCotation!$C$3*K215)-CalculCotation!$D$3+1,0)&gt;L215,ROUND(CalculCotation!$D$3*EXP(CalculCotation!$C$3*K215)-CalculCotation!$D$3+1,0),L215)</f>
        <v>#DIV/0!</v>
      </c>
    </row>
    <row r="216" spans="2:13" x14ac:dyDescent="0.3">
      <c r="B216" s="1">
        <f>BDD!C219</f>
        <v>0</v>
      </c>
      <c r="C216" s="1">
        <f>BDD!B219</f>
        <v>0</v>
      </c>
      <c r="D216" s="1">
        <f>BDD!A219</f>
        <v>0</v>
      </c>
      <c r="E216" s="1">
        <f>BDD!D219</f>
        <v>0</v>
      </c>
      <c r="F216" s="1">
        <f>BDD!F219</f>
        <v>0</v>
      </c>
      <c r="G216" s="25">
        <f>'ButsMPG + Var'!$I$39*IF(C216="A",COUNTIF(BDD!H219:AR219,10)*'ButsMPG + Var'!$K$12+COUNTIF(BDD!H219:AR219,9)*'ButsMPG + Var'!$K$11+COUNTIF(BDD!H219:AR219,8)*'ButsMPG + Var'!$K$10+COUNTIF(BDD!H219:AR219,7)*'ButsMPG + Var'!$K$9+COUNTIF(BDD!H219:AR219,6)*'ButsMPG + Var'!$K$8+COUNTIF(BDD!H219:AR219,5)*'ButsMPG + Var'!$K$7+COUNTIF(BDD!H219:AR219,4)*'ButsMPG + Var'!$K$6+COUNTIF(BDD!H219:AR219,3)*'ButsMPG + Var'!$K$5+COUNTIF(BDD!H219:AR219,2)*'ButsMPG + Var'!$K$4+COUNTIF(BDD!H219:AR219,1)*'ButsMPG + Var'!$K$3,IF(C216="M",COUNTIF(BDD!H219:AR219,10)*'ButsMPG + Var'!$K$22+COUNTIF(BDD!H219:AR219,9)*'ButsMPG + Var'!$K$21+COUNTIF(BDD!H219:AR219,8)*'ButsMPG + Var'!$K$20+COUNTIF(BDD!H219:AR219,7)*'ButsMPG + Var'!$K$19+COUNTIF(BDD!H219:AR219,6)*'ButsMPG + Var'!$K$18+COUNTIF(BDD!H219:AR219,5)*'ButsMPG + Var'!$K$17+COUNTIF(BDD!H219:AR219,4)*'ButsMPG + Var'!$K$16+COUNTIF(BDD!H219:AR219,3)*'ButsMPG + Var'!$K$15+COUNTIF(BDD!H219:AR219,2)*'ButsMPG + Var'!$K$14+COUNTIF(BDD!H219:AR219,1)*'ButsMPG + Var'!$K$13,IF(C216="D",COUNTIF(BDD!H219:AR219,10)*'ButsMPG + Var'!$K$32+COUNTIF(BDD!H219:AR219,9)*'ButsMPG + Var'!$K$31+COUNTIF(BDD!H219:AR219,8)*'ButsMPG + Var'!$K$30+COUNTIF(BDD!H219:AR219,7)*'ButsMPG + Var'!$K$29+COUNTIF(BDD!H219:AR219,6)*'ButsMPG + Var'!$K$28+COUNTIF(BDD!H219:AR219,5)*'ButsMPG + Var'!$K$27+COUNTIF(BDD!H219:AR219,4)*'ButsMPG + Var'!$K$26+COUNTIF(BDD!H219:AR219,3)*'ButsMPG + Var'!$K$25+COUNTIF(BDD!H219:AR219,2)*'ButsMPG + Var'!$K$24+COUNTIF(BDD!H219:AR219,1)*'ButsMPG + Var'!$K$23,0)))</f>
        <v>0</v>
      </c>
      <c r="H216" s="25">
        <f t="shared" si="4"/>
        <v>0</v>
      </c>
      <c r="I216" s="25">
        <f>BDD!G219</f>
        <v>0</v>
      </c>
      <c r="J216" s="25">
        <f>SUMPRODUCT(BDD!H219:AS219,'ButsMPG + Var'!$B$46:$AM$46)</f>
        <v>0</v>
      </c>
      <c r="K216" s="25" t="e">
        <f>10*('ButsMPG + Var'!$H$37*J216/MAX(J:J)+'ButsMPG + Var'!$G$37*H216/MAX(H:H))</f>
        <v>#DIV/0!</v>
      </c>
      <c r="L216" s="1">
        <f>IF(ISNA(VLOOKUP(B216,PrixMini!$B$3:$E$573,4,FALSE)),1,VLOOKUP(B216,PrixMini!$B$3:$E$573,4,FALSE))</f>
        <v>1</v>
      </c>
      <c r="M216" s="25" t="e">
        <f>IF(ROUND(CalculCotation!$D$3*EXP(CalculCotation!$C$3*K216)-CalculCotation!$D$3+1,0)&gt;L216,ROUND(CalculCotation!$D$3*EXP(CalculCotation!$C$3*K216)-CalculCotation!$D$3+1,0),L216)</f>
        <v>#DIV/0!</v>
      </c>
    </row>
    <row r="217" spans="2:13" x14ac:dyDescent="0.3">
      <c r="B217" s="1">
        <f>BDD!C220</f>
        <v>0</v>
      </c>
      <c r="C217" s="1">
        <f>BDD!B220</f>
        <v>0</v>
      </c>
      <c r="D217" s="1">
        <f>BDD!A220</f>
        <v>0</v>
      </c>
      <c r="E217" s="1">
        <f>BDD!D220</f>
        <v>0</v>
      </c>
      <c r="F217" s="1">
        <f>BDD!F220</f>
        <v>0</v>
      </c>
      <c r="G217" s="25">
        <f>'ButsMPG + Var'!$I$39*IF(C217="A",COUNTIF(BDD!H220:AR220,10)*'ButsMPG + Var'!$K$12+COUNTIF(BDD!H220:AR220,9)*'ButsMPG + Var'!$K$11+COUNTIF(BDD!H220:AR220,8)*'ButsMPG + Var'!$K$10+COUNTIF(BDD!H220:AR220,7)*'ButsMPG + Var'!$K$9+COUNTIF(BDD!H220:AR220,6)*'ButsMPG + Var'!$K$8+COUNTIF(BDD!H220:AR220,5)*'ButsMPG + Var'!$K$7+COUNTIF(BDD!H220:AR220,4)*'ButsMPG + Var'!$K$6+COUNTIF(BDD!H220:AR220,3)*'ButsMPG + Var'!$K$5+COUNTIF(BDD!H220:AR220,2)*'ButsMPG + Var'!$K$4+COUNTIF(BDD!H220:AR220,1)*'ButsMPG + Var'!$K$3,IF(C217="M",COUNTIF(BDD!H220:AR220,10)*'ButsMPG + Var'!$K$22+COUNTIF(BDD!H220:AR220,9)*'ButsMPG + Var'!$K$21+COUNTIF(BDD!H220:AR220,8)*'ButsMPG + Var'!$K$20+COUNTIF(BDD!H220:AR220,7)*'ButsMPG + Var'!$K$19+COUNTIF(BDD!H220:AR220,6)*'ButsMPG + Var'!$K$18+COUNTIF(BDD!H220:AR220,5)*'ButsMPG + Var'!$K$17+COUNTIF(BDD!H220:AR220,4)*'ButsMPG + Var'!$K$16+COUNTIF(BDD!H220:AR220,3)*'ButsMPG + Var'!$K$15+COUNTIF(BDD!H220:AR220,2)*'ButsMPG + Var'!$K$14+COUNTIF(BDD!H220:AR220,1)*'ButsMPG + Var'!$K$13,IF(C217="D",COUNTIF(BDD!H220:AR220,10)*'ButsMPG + Var'!$K$32+COUNTIF(BDD!H220:AR220,9)*'ButsMPG + Var'!$K$31+COUNTIF(BDD!H220:AR220,8)*'ButsMPG + Var'!$K$30+COUNTIF(BDD!H220:AR220,7)*'ButsMPG + Var'!$K$29+COUNTIF(BDD!H220:AR220,6)*'ButsMPG + Var'!$K$28+COUNTIF(BDD!H220:AR220,5)*'ButsMPG + Var'!$K$27+COUNTIF(BDD!H220:AR220,4)*'ButsMPG + Var'!$K$26+COUNTIF(BDD!H220:AR220,3)*'ButsMPG + Var'!$K$25+COUNTIF(BDD!H220:AR220,2)*'ButsMPG + Var'!$K$24+COUNTIF(BDD!H220:AR220,1)*'ButsMPG + Var'!$K$23,0)))</f>
        <v>0</v>
      </c>
      <c r="H217" s="25">
        <f t="shared" si="4"/>
        <v>0</v>
      </c>
      <c r="I217" s="25">
        <f>BDD!G220</f>
        <v>0</v>
      </c>
      <c r="J217" s="25">
        <f>SUMPRODUCT(BDD!H220:AS220,'ButsMPG + Var'!$B$46:$AM$46)</f>
        <v>0</v>
      </c>
      <c r="K217" s="25" t="e">
        <f>10*('ButsMPG + Var'!$H$37*J217/MAX(J:J)+'ButsMPG + Var'!$G$37*H217/MAX(H:H))</f>
        <v>#DIV/0!</v>
      </c>
      <c r="L217" s="1">
        <f>IF(ISNA(VLOOKUP(B217,PrixMini!$B$3:$E$573,4,FALSE)),1,VLOOKUP(B217,PrixMini!$B$3:$E$573,4,FALSE))</f>
        <v>1</v>
      </c>
      <c r="M217" s="25" t="e">
        <f>IF(ROUND(CalculCotation!$D$3*EXP(CalculCotation!$C$3*K217)-CalculCotation!$D$3+1,0)&gt;L217,ROUND(CalculCotation!$D$3*EXP(CalculCotation!$C$3*K217)-CalculCotation!$D$3+1,0),L217)</f>
        <v>#DIV/0!</v>
      </c>
    </row>
    <row r="218" spans="2:13" x14ac:dyDescent="0.3">
      <c r="B218" s="1">
        <f>BDD!C221</f>
        <v>0</v>
      </c>
      <c r="C218" s="1">
        <f>BDD!B221</f>
        <v>0</v>
      </c>
      <c r="D218" s="1">
        <f>BDD!A221</f>
        <v>0</v>
      </c>
      <c r="E218" s="1">
        <f>BDD!D221</f>
        <v>0</v>
      </c>
      <c r="F218" s="1">
        <f>BDD!F221</f>
        <v>0</v>
      </c>
      <c r="G218" s="25">
        <f>'ButsMPG + Var'!$I$39*IF(C218="A",COUNTIF(BDD!H221:AR221,10)*'ButsMPG + Var'!$K$12+COUNTIF(BDD!H221:AR221,9)*'ButsMPG + Var'!$K$11+COUNTIF(BDD!H221:AR221,8)*'ButsMPG + Var'!$K$10+COUNTIF(BDD!H221:AR221,7)*'ButsMPG + Var'!$K$9+COUNTIF(BDD!H221:AR221,6)*'ButsMPG + Var'!$K$8+COUNTIF(BDD!H221:AR221,5)*'ButsMPG + Var'!$K$7+COUNTIF(BDD!H221:AR221,4)*'ButsMPG + Var'!$K$6+COUNTIF(BDD!H221:AR221,3)*'ButsMPG + Var'!$K$5+COUNTIF(BDD!H221:AR221,2)*'ButsMPG + Var'!$K$4+COUNTIF(BDD!H221:AR221,1)*'ButsMPG + Var'!$K$3,IF(C218="M",COUNTIF(BDD!H221:AR221,10)*'ButsMPG + Var'!$K$22+COUNTIF(BDD!H221:AR221,9)*'ButsMPG + Var'!$K$21+COUNTIF(BDD!H221:AR221,8)*'ButsMPG + Var'!$K$20+COUNTIF(BDD!H221:AR221,7)*'ButsMPG + Var'!$K$19+COUNTIF(BDD!H221:AR221,6)*'ButsMPG + Var'!$K$18+COUNTIF(BDD!H221:AR221,5)*'ButsMPG + Var'!$K$17+COUNTIF(BDD!H221:AR221,4)*'ButsMPG + Var'!$K$16+COUNTIF(BDD!H221:AR221,3)*'ButsMPG + Var'!$K$15+COUNTIF(BDD!H221:AR221,2)*'ButsMPG + Var'!$K$14+COUNTIF(BDD!H221:AR221,1)*'ButsMPG + Var'!$K$13,IF(C218="D",COUNTIF(BDD!H221:AR221,10)*'ButsMPG + Var'!$K$32+COUNTIF(BDD!H221:AR221,9)*'ButsMPG + Var'!$K$31+COUNTIF(BDD!H221:AR221,8)*'ButsMPG + Var'!$K$30+COUNTIF(BDD!H221:AR221,7)*'ButsMPG + Var'!$K$29+COUNTIF(BDD!H221:AR221,6)*'ButsMPG + Var'!$K$28+COUNTIF(BDD!H221:AR221,5)*'ButsMPG + Var'!$K$27+COUNTIF(BDD!H221:AR221,4)*'ButsMPG + Var'!$K$26+COUNTIF(BDD!H221:AR221,3)*'ButsMPG + Var'!$K$25+COUNTIF(BDD!H221:AR221,2)*'ButsMPG + Var'!$K$24+COUNTIF(BDD!H221:AR221,1)*'ButsMPG + Var'!$K$23,0)))</f>
        <v>0</v>
      </c>
      <c r="H218" s="25">
        <f t="shared" si="4"/>
        <v>0</v>
      </c>
      <c r="I218" s="25">
        <f>BDD!G221</f>
        <v>0</v>
      </c>
      <c r="J218" s="25">
        <f>SUMPRODUCT(BDD!H221:AS221,'ButsMPG + Var'!$B$46:$AM$46)</f>
        <v>0</v>
      </c>
      <c r="K218" s="25" t="e">
        <f>10*('ButsMPG + Var'!$H$37*J218/MAX(J:J)+'ButsMPG + Var'!$G$37*H218/MAX(H:H))</f>
        <v>#DIV/0!</v>
      </c>
      <c r="L218" s="1">
        <f>IF(ISNA(VLOOKUP(B218,PrixMini!$B$3:$E$573,4,FALSE)),1,VLOOKUP(B218,PrixMini!$B$3:$E$573,4,FALSE))</f>
        <v>1</v>
      </c>
      <c r="M218" s="25" t="e">
        <f>IF(ROUND(CalculCotation!$D$3*EXP(CalculCotation!$C$3*K218)-CalculCotation!$D$3+1,0)&gt;L218,ROUND(CalculCotation!$D$3*EXP(CalculCotation!$C$3*K218)-CalculCotation!$D$3+1,0),L218)</f>
        <v>#DIV/0!</v>
      </c>
    </row>
    <row r="219" spans="2:13" x14ac:dyDescent="0.3">
      <c r="B219" s="1">
        <f>BDD!C222</f>
        <v>0</v>
      </c>
      <c r="C219" s="1">
        <f>BDD!B222</f>
        <v>0</v>
      </c>
      <c r="D219" s="1">
        <f>BDD!A222</f>
        <v>0</v>
      </c>
      <c r="E219" s="1">
        <f>BDD!D222</f>
        <v>0</v>
      </c>
      <c r="F219" s="1">
        <f>BDD!F222</f>
        <v>0</v>
      </c>
      <c r="G219" s="25">
        <f>'ButsMPG + Var'!$I$39*IF(C219="A",COUNTIF(BDD!H222:AR222,10)*'ButsMPG + Var'!$K$12+COUNTIF(BDD!H222:AR222,9)*'ButsMPG + Var'!$K$11+COUNTIF(BDD!H222:AR222,8)*'ButsMPG + Var'!$K$10+COUNTIF(BDD!H222:AR222,7)*'ButsMPG + Var'!$K$9+COUNTIF(BDD!H222:AR222,6)*'ButsMPG + Var'!$K$8+COUNTIF(BDD!H222:AR222,5)*'ButsMPG + Var'!$K$7+COUNTIF(BDD!H222:AR222,4)*'ButsMPG + Var'!$K$6+COUNTIF(BDD!H222:AR222,3)*'ButsMPG + Var'!$K$5+COUNTIF(BDD!H222:AR222,2)*'ButsMPG + Var'!$K$4+COUNTIF(BDD!H222:AR222,1)*'ButsMPG + Var'!$K$3,IF(C219="M",COUNTIF(BDD!H222:AR222,10)*'ButsMPG + Var'!$K$22+COUNTIF(BDD!H222:AR222,9)*'ButsMPG + Var'!$K$21+COUNTIF(BDD!H222:AR222,8)*'ButsMPG + Var'!$K$20+COUNTIF(BDD!H222:AR222,7)*'ButsMPG + Var'!$K$19+COUNTIF(BDD!H222:AR222,6)*'ButsMPG + Var'!$K$18+COUNTIF(BDD!H222:AR222,5)*'ButsMPG + Var'!$K$17+COUNTIF(BDD!H222:AR222,4)*'ButsMPG + Var'!$K$16+COUNTIF(BDD!H222:AR222,3)*'ButsMPG + Var'!$K$15+COUNTIF(BDD!H222:AR222,2)*'ButsMPG + Var'!$K$14+COUNTIF(BDD!H222:AR222,1)*'ButsMPG + Var'!$K$13,IF(C219="D",COUNTIF(BDD!H222:AR222,10)*'ButsMPG + Var'!$K$32+COUNTIF(BDD!H222:AR222,9)*'ButsMPG + Var'!$K$31+COUNTIF(BDD!H222:AR222,8)*'ButsMPG + Var'!$K$30+COUNTIF(BDD!H222:AR222,7)*'ButsMPG + Var'!$K$29+COUNTIF(BDD!H222:AR222,6)*'ButsMPG + Var'!$K$28+COUNTIF(BDD!H222:AR222,5)*'ButsMPG + Var'!$K$27+COUNTIF(BDD!H222:AR222,4)*'ButsMPG + Var'!$K$26+COUNTIF(BDD!H222:AR222,3)*'ButsMPG + Var'!$K$25+COUNTIF(BDD!H222:AR222,2)*'ButsMPG + Var'!$K$24+COUNTIF(BDD!H222:AR222,1)*'ButsMPG + Var'!$K$23,0)))</f>
        <v>0</v>
      </c>
      <c r="H219" s="25">
        <f t="shared" si="4"/>
        <v>0</v>
      </c>
      <c r="I219" s="25">
        <f>BDD!G222</f>
        <v>0</v>
      </c>
      <c r="J219" s="25">
        <f>SUMPRODUCT(BDD!H222:AS222,'ButsMPG + Var'!$B$46:$AM$46)</f>
        <v>0</v>
      </c>
      <c r="K219" s="25" t="e">
        <f>10*('ButsMPG + Var'!$H$37*J219/MAX(J:J)+'ButsMPG + Var'!$G$37*H219/MAX(H:H))</f>
        <v>#DIV/0!</v>
      </c>
      <c r="L219" s="1">
        <f>IF(ISNA(VLOOKUP(B219,PrixMini!$B$3:$E$573,4,FALSE)),1,VLOOKUP(B219,PrixMini!$B$3:$E$573,4,FALSE))</f>
        <v>1</v>
      </c>
      <c r="M219" s="25" t="e">
        <f>IF(ROUND(CalculCotation!$D$3*EXP(CalculCotation!$C$3*K219)-CalculCotation!$D$3+1,0)&gt;L219,ROUND(CalculCotation!$D$3*EXP(CalculCotation!$C$3*K219)-CalculCotation!$D$3+1,0),L219)</f>
        <v>#DIV/0!</v>
      </c>
    </row>
    <row r="220" spans="2:13" x14ac:dyDescent="0.3">
      <c r="B220" s="1">
        <f>BDD!C223</f>
        <v>0</v>
      </c>
      <c r="C220" s="1">
        <f>BDD!B223</f>
        <v>0</v>
      </c>
      <c r="D220" s="1">
        <f>BDD!A223</f>
        <v>0</v>
      </c>
      <c r="E220" s="1">
        <f>BDD!D223</f>
        <v>0</v>
      </c>
      <c r="F220" s="1">
        <f>BDD!F223</f>
        <v>0</v>
      </c>
      <c r="G220" s="25">
        <f>'ButsMPG + Var'!$I$39*IF(C220="A",COUNTIF(BDD!H223:AR223,10)*'ButsMPG + Var'!$K$12+COUNTIF(BDD!H223:AR223,9)*'ButsMPG + Var'!$K$11+COUNTIF(BDD!H223:AR223,8)*'ButsMPG + Var'!$K$10+COUNTIF(BDD!H223:AR223,7)*'ButsMPG + Var'!$K$9+COUNTIF(BDD!H223:AR223,6)*'ButsMPG + Var'!$K$8+COUNTIF(BDD!H223:AR223,5)*'ButsMPG + Var'!$K$7+COUNTIF(BDD!H223:AR223,4)*'ButsMPG + Var'!$K$6+COUNTIF(BDD!H223:AR223,3)*'ButsMPG + Var'!$K$5+COUNTIF(BDD!H223:AR223,2)*'ButsMPG + Var'!$K$4+COUNTIF(BDD!H223:AR223,1)*'ButsMPG + Var'!$K$3,IF(C220="M",COUNTIF(BDD!H223:AR223,10)*'ButsMPG + Var'!$K$22+COUNTIF(BDD!H223:AR223,9)*'ButsMPG + Var'!$K$21+COUNTIF(BDD!H223:AR223,8)*'ButsMPG + Var'!$K$20+COUNTIF(BDD!H223:AR223,7)*'ButsMPG + Var'!$K$19+COUNTIF(BDD!H223:AR223,6)*'ButsMPG + Var'!$K$18+COUNTIF(BDD!H223:AR223,5)*'ButsMPG + Var'!$K$17+COUNTIF(BDD!H223:AR223,4)*'ButsMPG + Var'!$K$16+COUNTIF(BDD!H223:AR223,3)*'ButsMPG + Var'!$K$15+COUNTIF(BDD!H223:AR223,2)*'ButsMPG + Var'!$K$14+COUNTIF(BDD!H223:AR223,1)*'ButsMPG + Var'!$K$13,IF(C220="D",COUNTIF(BDD!H223:AR223,10)*'ButsMPG + Var'!$K$32+COUNTIF(BDD!H223:AR223,9)*'ButsMPG + Var'!$K$31+COUNTIF(BDD!H223:AR223,8)*'ButsMPG + Var'!$K$30+COUNTIF(BDD!H223:AR223,7)*'ButsMPG + Var'!$K$29+COUNTIF(BDD!H223:AR223,6)*'ButsMPG + Var'!$K$28+COUNTIF(BDD!H223:AR223,5)*'ButsMPG + Var'!$K$27+COUNTIF(BDD!H223:AR223,4)*'ButsMPG + Var'!$K$26+COUNTIF(BDD!H223:AR223,3)*'ButsMPG + Var'!$K$25+COUNTIF(BDD!H223:AR223,2)*'ButsMPG + Var'!$K$24+COUNTIF(BDD!H223:AR223,1)*'ButsMPG + Var'!$K$23,0)))</f>
        <v>0</v>
      </c>
      <c r="H220" s="25">
        <f t="shared" si="4"/>
        <v>0</v>
      </c>
      <c r="I220" s="25">
        <f>BDD!G223</f>
        <v>0</v>
      </c>
      <c r="J220" s="25">
        <f>SUMPRODUCT(BDD!H223:AS223,'ButsMPG + Var'!$B$46:$AM$46)</f>
        <v>0</v>
      </c>
      <c r="K220" s="25" t="e">
        <f>10*('ButsMPG + Var'!$H$37*J220/MAX(J:J)+'ButsMPG + Var'!$G$37*H220/MAX(H:H))</f>
        <v>#DIV/0!</v>
      </c>
      <c r="L220" s="1">
        <f>IF(ISNA(VLOOKUP(B220,PrixMini!$B$3:$E$573,4,FALSE)),1,VLOOKUP(B220,PrixMini!$B$3:$E$573,4,FALSE))</f>
        <v>1</v>
      </c>
      <c r="M220" s="25" t="e">
        <f>IF(ROUND(CalculCotation!$D$3*EXP(CalculCotation!$C$3*K220)-CalculCotation!$D$3+1,0)&gt;L220,ROUND(CalculCotation!$D$3*EXP(CalculCotation!$C$3*K220)-CalculCotation!$D$3+1,0),L220)</f>
        <v>#DIV/0!</v>
      </c>
    </row>
    <row r="221" spans="2:13" x14ac:dyDescent="0.3">
      <c r="B221" s="1">
        <f>BDD!C224</f>
        <v>0</v>
      </c>
      <c r="C221" s="1">
        <f>BDD!B224</f>
        <v>0</v>
      </c>
      <c r="D221" s="1">
        <f>BDD!A224</f>
        <v>0</v>
      </c>
      <c r="E221" s="1">
        <f>BDD!D224</f>
        <v>0</v>
      </c>
      <c r="F221" s="1">
        <f>BDD!F224</f>
        <v>0</v>
      </c>
      <c r="G221" s="25">
        <f>'ButsMPG + Var'!$I$39*IF(C221="A",COUNTIF(BDD!H224:AR224,10)*'ButsMPG + Var'!$K$12+COUNTIF(BDD!H224:AR224,9)*'ButsMPG + Var'!$K$11+COUNTIF(BDD!H224:AR224,8)*'ButsMPG + Var'!$K$10+COUNTIF(BDD!H224:AR224,7)*'ButsMPG + Var'!$K$9+COUNTIF(BDD!H224:AR224,6)*'ButsMPG + Var'!$K$8+COUNTIF(BDD!H224:AR224,5)*'ButsMPG + Var'!$K$7+COUNTIF(BDD!H224:AR224,4)*'ButsMPG + Var'!$K$6+COUNTIF(BDD!H224:AR224,3)*'ButsMPG + Var'!$K$5+COUNTIF(BDD!H224:AR224,2)*'ButsMPG + Var'!$K$4+COUNTIF(BDD!H224:AR224,1)*'ButsMPG + Var'!$K$3,IF(C221="M",COUNTIF(BDD!H224:AR224,10)*'ButsMPG + Var'!$K$22+COUNTIF(BDD!H224:AR224,9)*'ButsMPG + Var'!$K$21+COUNTIF(BDD!H224:AR224,8)*'ButsMPG + Var'!$K$20+COUNTIF(BDD!H224:AR224,7)*'ButsMPG + Var'!$K$19+COUNTIF(BDD!H224:AR224,6)*'ButsMPG + Var'!$K$18+COUNTIF(BDD!H224:AR224,5)*'ButsMPG + Var'!$K$17+COUNTIF(BDD!H224:AR224,4)*'ButsMPG + Var'!$K$16+COUNTIF(BDD!H224:AR224,3)*'ButsMPG + Var'!$K$15+COUNTIF(BDD!H224:AR224,2)*'ButsMPG + Var'!$K$14+COUNTIF(BDD!H224:AR224,1)*'ButsMPG + Var'!$K$13,IF(C221="D",COUNTIF(BDD!H224:AR224,10)*'ButsMPG + Var'!$K$32+COUNTIF(BDD!H224:AR224,9)*'ButsMPG + Var'!$K$31+COUNTIF(BDD!H224:AR224,8)*'ButsMPG + Var'!$K$30+COUNTIF(BDD!H224:AR224,7)*'ButsMPG + Var'!$K$29+COUNTIF(BDD!H224:AR224,6)*'ButsMPG + Var'!$K$28+COUNTIF(BDD!H224:AR224,5)*'ButsMPG + Var'!$K$27+COUNTIF(BDD!H224:AR224,4)*'ButsMPG + Var'!$K$26+COUNTIF(BDD!H224:AR224,3)*'ButsMPG + Var'!$K$25+COUNTIF(BDD!H224:AR224,2)*'ButsMPG + Var'!$K$24+COUNTIF(BDD!H224:AR224,1)*'ButsMPG + Var'!$K$23,0)))</f>
        <v>0</v>
      </c>
      <c r="H221" s="25">
        <f t="shared" si="4"/>
        <v>0</v>
      </c>
      <c r="I221" s="25">
        <f>BDD!G224</f>
        <v>0</v>
      </c>
      <c r="J221" s="25">
        <f>SUMPRODUCT(BDD!H224:AS224,'ButsMPG + Var'!$B$46:$AM$46)</f>
        <v>0</v>
      </c>
      <c r="K221" s="25" t="e">
        <f>10*('ButsMPG + Var'!$H$37*J221/MAX(J:J)+'ButsMPG + Var'!$G$37*H221/MAX(H:H))</f>
        <v>#DIV/0!</v>
      </c>
      <c r="L221" s="1">
        <f>IF(ISNA(VLOOKUP(B221,PrixMini!$B$3:$E$573,4,FALSE)),1,VLOOKUP(B221,PrixMini!$B$3:$E$573,4,FALSE))</f>
        <v>1</v>
      </c>
      <c r="M221" s="25" t="e">
        <f>IF(ROUND(CalculCotation!$D$3*EXP(CalculCotation!$C$3*K221)-CalculCotation!$D$3+1,0)&gt;L221,ROUND(CalculCotation!$D$3*EXP(CalculCotation!$C$3*K221)-CalculCotation!$D$3+1,0),L221)</f>
        <v>#DIV/0!</v>
      </c>
    </row>
    <row r="222" spans="2:13" x14ac:dyDescent="0.3">
      <c r="B222" s="1">
        <f>BDD!C225</f>
        <v>0</v>
      </c>
      <c r="C222" s="1">
        <f>BDD!B225</f>
        <v>0</v>
      </c>
      <c r="D222" s="1">
        <f>BDD!A225</f>
        <v>0</v>
      </c>
      <c r="E222" s="1">
        <f>BDD!D225</f>
        <v>0</v>
      </c>
      <c r="F222" s="1">
        <f>BDD!F225</f>
        <v>0</v>
      </c>
      <c r="G222" s="25">
        <f>'ButsMPG + Var'!$I$39*IF(C222="A",COUNTIF(BDD!H225:AR225,10)*'ButsMPG + Var'!$K$12+COUNTIF(BDD!H225:AR225,9)*'ButsMPG + Var'!$K$11+COUNTIF(BDD!H225:AR225,8)*'ButsMPG + Var'!$K$10+COUNTIF(BDD!H225:AR225,7)*'ButsMPG + Var'!$K$9+COUNTIF(BDD!H225:AR225,6)*'ButsMPG + Var'!$K$8+COUNTIF(BDD!H225:AR225,5)*'ButsMPG + Var'!$K$7+COUNTIF(BDD!H225:AR225,4)*'ButsMPG + Var'!$K$6+COUNTIF(BDD!H225:AR225,3)*'ButsMPG + Var'!$K$5+COUNTIF(BDD!H225:AR225,2)*'ButsMPG + Var'!$K$4+COUNTIF(BDD!H225:AR225,1)*'ButsMPG + Var'!$K$3,IF(C222="M",COUNTIF(BDD!H225:AR225,10)*'ButsMPG + Var'!$K$22+COUNTIF(BDD!H225:AR225,9)*'ButsMPG + Var'!$K$21+COUNTIF(BDD!H225:AR225,8)*'ButsMPG + Var'!$K$20+COUNTIF(BDD!H225:AR225,7)*'ButsMPG + Var'!$K$19+COUNTIF(BDD!H225:AR225,6)*'ButsMPG + Var'!$K$18+COUNTIF(BDD!H225:AR225,5)*'ButsMPG + Var'!$K$17+COUNTIF(BDD!H225:AR225,4)*'ButsMPG + Var'!$K$16+COUNTIF(BDD!H225:AR225,3)*'ButsMPG + Var'!$K$15+COUNTIF(BDD!H225:AR225,2)*'ButsMPG + Var'!$K$14+COUNTIF(BDD!H225:AR225,1)*'ButsMPG + Var'!$K$13,IF(C222="D",COUNTIF(BDD!H225:AR225,10)*'ButsMPG + Var'!$K$32+COUNTIF(BDD!H225:AR225,9)*'ButsMPG + Var'!$K$31+COUNTIF(BDD!H225:AR225,8)*'ButsMPG + Var'!$K$30+COUNTIF(BDD!H225:AR225,7)*'ButsMPG + Var'!$K$29+COUNTIF(BDD!H225:AR225,6)*'ButsMPG + Var'!$K$28+COUNTIF(BDD!H225:AR225,5)*'ButsMPG + Var'!$K$27+COUNTIF(BDD!H225:AR225,4)*'ButsMPG + Var'!$K$26+COUNTIF(BDD!H225:AR225,3)*'ButsMPG + Var'!$K$25+COUNTIF(BDD!H225:AR225,2)*'ButsMPG + Var'!$K$24+COUNTIF(BDD!H225:AR225,1)*'ButsMPG + Var'!$K$23,0)))</f>
        <v>0</v>
      </c>
      <c r="H222" s="25">
        <f t="shared" si="4"/>
        <v>0</v>
      </c>
      <c r="I222" s="25">
        <f>BDD!G225</f>
        <v>0</v>
      </c>
      <c r="J222" s="25">
        <f>SUMPRODUCT(BDD!H225:AS225,'ButsMPG + Var'!$B$46:$AM$46)</f>
        <v>0</v>
      </c>
      <c r="K222" s="25" t="e">
        <f>10*('ButsMPG + Var'!$H$37*J222/MAX(J:J)+'ButsMPG + Var'!$G$37*H222/MAX(H:H))</f>
        <v>#DIV/0!</v>
      </c>
      <c r="L222" s="1">
        <f>IF(ISNA(VLOOKUP(B222,PrixMini!$B$3:$E$573,4,FALSE)),1,VLOOKUP(B222,PrixMini!$B$3:$E$573,4,FALSE))</f>
        <v>1</v>
      </c>
      <c r="M222" s="25" t="e">
        <f>IF(ROUND(CalculCotation!$D$3*EXP(CalculCotation!$C$3*K222)-CalculCotation!$D$3+1,0)&gt;L222,ROUND(CalculCotation!$D$3*EXP(CalculCotation!$C$3*K222)-CalculCotation!$D$3+1,0),L222)</f>
        <v>#DIV/0!</v>
      </c>
    </row>
    <row r="223" spans="2:13" x14ac:dyDescent="0.3">
      <c r="B223" s="1">
        <f>BDD!C226</f>
        <v>0</v>
      </c>
      <c r="C223" s="1">
        <f>BDD!B226</f>
        <v>0</v>
      </c>
      <c r="D223" s="1">
        <f>BDD!A226</f>
        <v>0</v>
      </c>
      <c r="E223" s="1">
        <f>BDD!D226</f>
        <v>0</v>
      </c>
      <c r="F223" s="1">
        <f>BDD!F226</f>
        <v>0</v>
      </c>
      <c r="G223" s="25">
        <f>'ButsMPG + Var'!$I$39*IF(C223="A",COUNTIF(BDD!H226:AR226,10)*'ButsMPG + Var'!$K$12+COUNTIF(BDD!H226:AR226,9)*'ButsMPG + Var'!$K$11+COUNTIF(BDD!H226:AR226,8)*'ButsMPG + Var'!$K$10+COUNTIF(BDD!H226:AR226,7)*'ButsMPG + Var'!$K$9+COUNTIF(BDD!H226:AR226,6)*'ButsMPG + Var'!$K$8+COUNTIF(BDD!H226:AR226,5)*'ButsMPG + Var'!$K$7+COUNTIF(BDD!H226:AR226,4)*'ButsMPG + Var'!$K$6+COUNTIF(BDD!H226:AR226,3)*'ButsMPG + Var'!$K$5+COUNTIF(BDD!H226:AR226,2)*'ButsMPG + Var'!$K$4+COUNTIF(BDD!H226:AR226,1)*'ButsMPG + Var'!$K$3,IF(C223="M",COUNTIF(BDD!H226:AR226,10)*'ButsMPG + Var'!$K$22+COUNTIF(BDD!H226:AR226,9)*'ButsMPG + Var'!$K$21+COUNTIF(BDD!H226:AR226,8)*'ButsMPG + Var'!$K$20+COUNTIF(BDD!H226:AR226,7)*'ButsMPG + Var'!$K$19+COUNTIF(BDD!H226:AR226,6)*'ButsMPG + Var'!$K$18+COUNTIF(BDD!H226:AR226,5)*'ButsMPG + Var'!$K$17+COUNTIF(BDD!H226:AR226,4)*'ButsMPG + Var'!$K$16+COUNTIF(BDD!H226:AR226,3)*'ButsMPG + Var'!$K$15+COUNTIF(BDD!H226:AR226,2)*'ButsMPG + Var'!$K$14+COUNTIF(BDD!H226:AR226,1)*'ButsMPG + Var'!$K$13,IF(C223="D",COUNTIF(BDD!H226:AR226,10)*'ButsMPG + Var'!$K$32+COUNTIF(BDD!H226:AR226,9)*'ButsMPG + Var'!$K$31+COUNTIF(BDD!H226:AR226,8)*'ButsMPG + Var'!$K$30+COUNTIF(BDD!H226:AR226,7)*'ButsMPG + Var'!$K$29+COUNTIF(BDD!H226:AR226,6)*'ButsMPG + Var'!$K$28+COUNTIF(BDD!H226:AR226,5)*'ButsMPG + Var'!$K$27+COUNTIF(BDD!H226:AR226,4)*'ButsMPG + Var'!$K$26+COUNTIF(BDD!H226:AR226,3)*'ButsMPG + Var'!$K$25+COUNTIF(BDD!H226:AR226,2)*'ButsMPG + Var'!$K$24+COUNTIF(BDD!H226:AR226,1)*'ButsMPG + Var'!$K$23,0)))</f>
        <v>0</v>
      </c>
      <c r="H223" s="25">
        <f t="shared" si="4"/>
        <v>0</v>
      </c>
      <c r="I223" s="25">
        <f>BDD!G226</f>
        <v>0</v>
      </c>
      <c r="J223" s="25">
        <f>SUMPRODUCT(BDD!H226:AS226,'ButsMPG + Var'!$B$46:$AM$46)</f>
        <v>0</v>
      </c>
      <c r="K223" s="25" t="e">
        <f>10*('ButsMPG + Var'!$H$37*J223/MAX(J:J)+'ButsMPG + Var'!$G$37*H223/MAX(H:H))</f>
        <v>#DIV/0!</v>
      </c>
      <c r="L223" s="1">
        <f>IF(ISNA(VLOOKUP(B223,PrixMini!$B$3:$E$573,4,FALSE)),1,VLOOKUP(B223,PrixMini!$B$3:$E$573,4,FALSE))</f>
        <v>1</v>
      </c>
      <c r="M223" s="25" t="e">
        <f>IF(ROUND(CalculCotation!$D$3*EXP(CalculCotation!$C$3*K223)-CalculCotation!$D$3+1,0)&gt;L223,ROUND(CalculCotation!$D$3*EXP(CalculCotation!$C$3*K223)-CalculCotation!$D$3+1,0),L223)</f>
        <v>#DIV/0!</v>
      </c>
    </row>
    <row r="224" spans="2:13" x14ac:dyDescent="0.3">
      <c r="B224" s="1">
        <f>BDD!C227</f>
        <v>0</v>
      </c>
      <c r="C224" s="1">
        <f>BDD!B227</f>
        <v>0</v>
      </c>
      <c r="D224" s="1">
        <f>BDD!A227</f>
        <v>0</v>
      </c>
      <c r="E224" s="1">
        <f>BDD!D227</f>
        <v>0</v>
      </c>
      <c r="F224" s="1">
        <f>BDD!F227</f>
        <v>0</v>
      </c>
      <c r="G224" s="25">
        <f>'ButsMPG + Var'!$I$39*IF(C224="A",COUNTIF(BDD!H227:AR227,10)*'ButsMPG + Var'!$K$12+COUNTIF(BDD!H227:AR227,9)*'ButsMPG + Var'!$K$11+COUNTIF(BDD!H227:AR227,8)*'ButsMPG + Var'!$K$10+COUNTIF(BDD!H227:AR227,7)*'ButsMPG + Var'!$K$9+COUNTIF(BDD!H227:AR227,6)*'ButsMPG + Var'!$K$8+COUNTIF(BDD!H227:AR227,5)*'ButsMPG + Var'!$K$7+COUNTIF(BDD!H227:AR227,4)*'ButsMPG + Var'!$K$6+COUNTIF(BDD!H227:AR227,3)*'ButsMPG + Var'!$K$5+COUNTIF(BDD!H227:AR227,2)*'ButsMPG + Var'!$K$4+COUNTIF(BDD!H227:AR227,1)*'ButsMPG + Var'!$K$3,IF(C224="M",COUNTIF(BDD!H227:AR227,10)*'ButsMPG + Var'!$K$22+COUNTIF(BDD!H227:AR227,9)*'ButsMPG + Var'!$K$21+COUNTIF(BDD!H227:AR227,8)*'ButsMPG + Var'!$K$20+COUNTIF(BDD!H227:AR227,7)*'ButsMPG + Var'!$K$19+COUNTIF(BDD!H227:AR227,6)*'ButsMPG + Var'!$K$18+COUNTIF(BDD!H227:AR227,5)*'ButsMPG + Var'!$K$17+COUNTIF(BDD!H227:AR227,4)*'ButsMPG + Var'!$K$16+COUNTIF(BDD!H227:AR227,3)*'ButsMPG + Var'!$K$15+COUNTIF(BDD!H227:AR227,2)*'ButsMPG + Var'!$K$14+COUNTIF(BDD!H227:AR227,1)*'ButsMPG + Var'!$K$13,IF(C224="D",COUNTIF(BDD!H227:AR227,10)*'ButsMPG + Var'!$K$32+COUNTIF(BDD!H227:AR227,9)*'ButsMPG + Var'!$K$31+COUNTIF(BDD!H227:AR227,8)*'ButsMPG + Var'!$K$30+COUNTIF(BDD!H227:AR227,7)*'ButsMPG + Var'!$K$29+COUNTIF(BDD!H227:AR227,6)*'ButsMPG + Var'!$K$28+COUNTIF(BDD!H227:AR227,5)*'ButsMPG + Var'!$K$27+COUNTIF(BDD!H227:AR227,4)*'ButsMPG + Var'!$K$26+COUNTIF(BDD!H227:AR227,3)*'ButsMPG + Var'!$K$25+COUNTIF(BDD!H227:AR227,2)*'ButsMPG + Var'!$K$24+COUNTIF(BDD!H227:AR227,1)*'ButsMPG + Var'!$K$23,0)))</f>
        <v>0</v>
      </c>
      <c r="H224" s="25">
        <f t="shared" si="4"/>
        <v>0</v>
      </c>
      <c r="I224" s="25">
        <f>BDD!G227</f>
        <v>0</v>
      </c>
      <c r="J224" s="25">
        <f>SUMPRODUCT(BDD!H227:AS227,'ButsMPG + Var'!$B$46:$AM$46)</f>
        <v>0</v>
      </c>
      <c r="K224" s="25" t="e">
        <f>10*('ButsMPG + Var'!$H$37*J224/MAX(J:J)+'ButsMPG + Var'!$G$37*H224/MAX(H:H))</f>
        <v>#DIV/0!</v>
      </c>
      <c r="L224" s="1">
        <f>IF(ISNA(VLOOKUP(B224,PrixMini!$B$3:$E$573,4,FALSE)),1,VLOOKUP(B224,PrixMini!$B$3:$E$573,4,FALSE))</f>
        <v>1</v>
      </c>
      <c r="M224" s="25" t="e">
        <f>IF(ROUND(CalculCotation!$D$3*EXP(CalculCotation!$C$3*K224)-CalculCotation!$D$3+1,0)&gt;L224,ROUND(CalculCotation!$D$3*EXP(CalculCotation!$C$3*K224)-CalculCotation!$D$3+1,0),L224)</f>
        <v>#DIV/0!</v>
      </c>
    </row>
    <row r="225" spans="2:13" x14ac:dyDescent="0.3">
      <c r="B225" s="1">
        <f>BDD!C228</f>
        <v>0</v>
      </c>
      <c r="C225" s="1">
        <f>BDD!B228</f>
        <v>0</v>
      </c>
      <c r="D225" s="1">
        <f>BDD!A228</f>
        <v>0</v>
      </c>
      <c r="E225" s="1">
        <f>BDD!D228</f>
        <v>0</v>
      </c>
      <c r="F225" s="1">
        <f>BDD!F228</f>
        <v>0</v>
      </c>
      <c r="G225" s="25">
        <f>'ButsMPG + Var'!$I$39*IF(C225="A",COUNTIF(BDD!H228:AR228,10)*'ButsMPG + Var'!$K$12+COUNTIF(BDD!H228:AR228,9)*'ButsMPG + Var'!$K$11+COUNTIF(BDD!H228:AR228,8)*'ButsMPG + Var'!$K$10+COUNTIF(BDD!H228:AR228,7)*'ButsMPG + Var'!$K$9+COUNTIF(BDD!H228:AR228,6)*'ButsMPG + Var'!$K$8+COUNTIF(BDD!H228:AR228,5)*'ButsMPG + Var'!$K$7+COUNTIF(BDD!H228:AR228,4)*'ButsMPG + Var'!$K$6+COUNTIF(BDD!H228:AR228,3)*'ButsMPG + Var'!$K$5+COUNTIF(BDD!H228:AR228,2)*'ButsMPG + Var'!$K$4+COUNTIF(BDD!H228:AR228,1)*'ButsMPG + Var'!$K$3,IF(C225="M",COUNTIF(BDD!H228:AR228,10)*'ButsMPG + Var'!$K$22+COUNTIF(BDD!H228:AR228,9)*'ButsMPG + Var'!$K$21+COUNTIF(BDD!H228:AR228,8)*'ButsMPG + Var'!$K$20+COUNTIF(BDD!H228:AR228,7)*'ButsMPG + Var'!$K$19+COUNTIF(BDD!H228:AR228,6)*'ButsMPG + Var'!$K$18+COUNTIF(BDD!H228:AR228,5)*'ButsMPG + Var'!$K$17+COUNTIF(BDD!H228:AR228,4)*'ButsMPG + Var'!$K$16+COUNTIF(BDD!H228:AR228,3)*'ButsMPG + Var'!$K$15+COUNTIF(BDD!H228:AR228,2)*'ButsMPG + Var'!$K$14+COUNTIF(BDD!H228:AR228,1)*'ButsMPG + Var'!$K$13,IF(C225="D",COUNTIF(BDD!H228:AR228,10)*'ButsMPG + Var'!$K$32+COUNTIF(BDD!H228:AR228,9)*'ButsMPG + Var'!$K$31+COUNTIF(BDD!H228:AR228,8)*'ButsMPG + Var'!$K$30+COUNTIF(BDD!H228:AR228,7)*'ButsMPG + Var'!$K$29+COUNTIF(BDD!H228:AR228,6)*'ButsMPG + Var'!$K$28+COUNTIF(BDD!H228:AR228,5)*'ButsMPG + Var'!$K$27+COUNTIF(BDD!H228:AR228,4)*'ButsMPG + Var'!$K$26+COUNTIF(BDD!H228:AR228,3)*'ButsMPG + Var'!$K$25+COUNTIF(BDD!H228:AR228,2)*'ButsMPG + Var'!$K$24+COUNTIF(BDD!H228:AR228,1)*'ButsMPG + Var'!$K$23,0)))</f>
        <v>0</v>
      </c>
      <c r="H225" s="25">
        <f t="shared" si="4"/>
        <v>0</v>
      </c>
      <c r="I225" s="25">
        <f>BDD!G228</f>
        <v>0</v>
      </c>
      <c r="J225" s="25">
        <f>SUMPRODUCT(BDD!H228:AS228,'ButsMPG + Var'!$B$46:$AM$46)</f>
        <v>0</v>
      </c>
      <c r="K225" s="25" t="e">
        <f>10*('ButsMPG + Var'!$H$37*J225/MAX(J:J)+'ButsMPG + Var'!$G$37*H225/MAX(H:H))</f>
        <v>#DIV/0!</v>
      </c>
      <c r="L225" s="1">
        <f>IF(ISNA(VLOOKUP(B225,PrixMini!$B$3:$E$573,4,FALSE)),1,VLOOKUP(B225,PrixMini!$B$3:$E$573,4,FALSE))</f>
        <v>1</v>
      </c>
      <c r="M225" s="25" t="e">
        <f>IF(ROUND(CalculCotation!$D$3*EXP(CalculCotation!$C$3*K225)-CalculCotation!$D$3+1,0)&gt;L225,ROUND(CalculCotation!$D$3*EXP(CalculCotation!$C$3*K225)-CalculCotation!$D$3+1,0),L225)</f>
        <v>#DIV/0!</v>
      </c>
    </row>
    <row r="226" spans="2:13" x14ac:dyDescent="0.3">
      <c r="B226" s="1">
        <f>BDD!C229</f>
        <v>0</v>
      </c>
      <c r="C226" s="1">
        <f>BDD!B229</f>
        <v>0</v>
      </c>
      <c r="D226" s="1">
        <f>BDD!A229</f>
        <v>0</v>
      </c>
      <c r="E226" s="1">
        <f>BDD!D229</f>
        <v>0</v>
      </c>
      <c r="F226" s="1">
        <f>BDD!F229</f>
        <v>0</v>
      </c>
      <c r="G226" s="25">
        <f>'ButsMPG + Var'!$I$39*IF(C226="A",COUNTIF(BDD!H229:AR229,10)*'ButsMPG + Var'!$K$12+COUNTIF(BDD!H229:AR229,9)*'ButsMPG + Var'!$K$11+COUNTIF(BDD!H229:AR229,8)*'ButsMPG + Var'!$K$10+COUNTIF(BDD!H229:AR229,7)*'ButsMPG + Var'!$K$9+COUNTIF(BDD!H229:AR229,6)*'ButsMPG + Var'!$K$8+COUNTIF(BDD!H229:AR229,5)*'ButsMPG + Var'!$K$7+COUNTIF(BDD!H229:AR229,4)*'ButsMPG + Var'!$K$6+COUNTIF(BDD!H229:AR229,3)*'ButsMPG + Var'!$K$5+COUNTIF(BDD!H229:AR229,2)*'ButsMPG + Var'!$K$4+COUNTIF(BDD!H229:AR229,1)*'ButsMPG + Var'!$K$3,IF(C226="M",COUNTIF(BDD!H229:AR229,10)*'ButsMPG + Var'!$K$22+COUNTIF(BDD!H229:AR229,9)*'ButsMPG + Var'!$K$21+COUNTIF(BDD!H229:AR229,8)*'ButsMPG + Var'!$K$20+COUNTIF(BDD!H229:AR229,7)*'ButsMPG + Var'!$K$19+COUNTIF(BDD!H229:AR229,6)*'ButsMPG + Var'!$K$18+COUNTIF(BDD!H229:AR229,5)*'ButsMPG + Var'!$K$17+COUNTIF(BDD!H229:AR229,4)*'ButsMPG + Var'!$K$16+COUNTIF(BDD!H229:AR229,3)*'ButsMPG + Var'!$K$15+COUNTIF(BDD!H229:AR229,2)*'ButsMPG + Var'!$K$14+COUNTIF(BDD!H229:AR229,1)*'ButsMPG + Var'!$K$13,IF(C226="D",COUNTIF(BDD!H229:AR229,10)*'ButsMPG + Var'!$K$32+COUNTIF(BDD!H229:AR229,9)*'ButsMPG + Var'!$K$31+COUNTIF(BDD!H229:AR229,8)*'ButsMPG + Var'!$K$30+COUNTIF(BDD!H229:AR229,7)*'ButsMPG + Var'!$K$29+COUNTIF(BDD!H229:AR229,6)*'ButsMPG + Var'!$K$28+COUNTIF(BDD!H229:AR229,5)*'ButsMPG + Var'!$K$27+COUNTIF(BDD!H229:AR229,4)*'ButsMPG + Var'!$K$26+COUNTIF(BDD!H229:AR229,3)*'ButsMPG + Var'!$K$25+COUNTIF(BDD!H229:AR229,2)*'ButsMPG + Var'!$K$24+COUNTIF(BDD!H229:AR229,1)*'ButsMPG + Var'!$K$23,0)))</f>
        <v>0</v>
      </c>
      <c r="H226" s="25">
        <f t="shared" si="4"/>
        <v>0</v>
      </c>
      <c r="I226" s="25">
        <f>BDD!G229</f>
        <v>0</v>
      </c>
      <c r="J226" s="25">
        <f>SUMPRODUCT(BDD!H229:AS229,'ButsMPG + Var'!$B$46:$AM$46)</f>
        <v>0</v>
      </c>
      <c r="K226" s="25" t="e">
        <f>10*('ButsMPG + Var'!$H$37*J226/MAX(J:J)+'ButsMPG + Var'!$G$37*H226/MAX(H:H))</f>
        <v>#DIV/0!</v>
      </c>
      <c r="L226" s="1">
        <f>IF(ISNA(VLOOKUP(B226,PrixMini!$B$3:$E$573,4,FALSE)),1,VLOOKUP(B226,PrixMini!$B$3:$E$573,4,FALSE))</f>
        <v>1</v>
      </c>
      <c r="M226" s="25" t="e">
        <f>IF(ROUND(CalculCotation!$D$3*EXP(CalculCotation!$C$3*K226)-CalculCotation!$D$3+1,0)&gt;L226,ROUND(CalculCotation!$D$3*EXP(CalculCotation!$C$3*K226)-CalculCotation!$D$3+1,0),L226)</f>
        <v>#DIV/0!</v>
      </c>
    </row>
    <row r="227" spans="2:13" x14ac:dyDescent="0.3">
      <c r="B227" s="1">
        <f>BDD!C230</f>
        <v>0</v>
      </c>
      <c r="C227" s="1">
        <f>BDD!B230</f>
        <v>0</v>
      </c>
      <c r="D227" s="1">
        <f>BDD!A230</f>
        <v>0</v>
      </c>
      <c r="E227" s="1">
        <f>BDD!D230</f>
        <v>0</v>
      </c>
      <c r="F227" s="1">
        <f>BDD!F230</f>
        <v>0</v>
      </c>
      <c r="G227" s="25">
        <f>'ButsMPG + Var'!$I$39*IF(C227="A",COUNTIF(BDD!H230:AR230,10)*'ButsMPG + Var'!$K$12+COUNTIF(BDD!H230:AR230,9)*'ButsMPG + Var'!$K$11+COUNTIF(BDD!H230:AR230,8)*'ButsMPG + Var'!$K$10+COUNTIF(BDD!H230:AR230,7)*'ButsMPG + Var'!$K$9+COUNTIF(BDD!H230:AR230,6)*'ButsMPG + Var'!$K$8+COUNTIF(BDD!H230:AR230,5)*'ButsMPG + Var'!$K$7+COUNTIF(BDD!H230:AR230,4)*'ButsMPG + Var'!$K$6+COUNTIF(BDD!H230:AR230,3)*'ButsMPG + Var'!$K$5+COUNTIF(BDD!H230:AR230,2)*'ButsMPG + Var'!$K$4+COUNTIF(BDD!H230:AR230,1)*'ButsMPG + Var'!$K$3,IF(C227="M",COUNTIF(BDD!H230:AR230,10)*'ButsMPG + Var'!$K$22+COUNTIF(BDD!H230:AR230,9)*'ButsMPG + Var'!$K$21+COUNTIF(BDD!H230:AR230,8)*'ButsMPG + Var'!$K$20+COUNTIF(BDD!H230:AR230,7)*'ButsMPG + Var'!$K$19+COUNTIF(BDD!H230:AR230,6)*'ButsMPG + Var'!$K$18+COUNTIF(BDD!H230:AR230,5)*'ButsMPG + Var'!$K$17+COUNTIF(BDD!H230:AR230,4)*'ButsMPG + Var'!$K$16+COUNTIF(BDD!H230:AR230,3)*'ButsMPG + Var'!$K$15+COUNTIF(BDD!H230:AR230,2)*'ButsMPG + Var'!$K$14+COUNTIF(BDD!H230:AR230,1)*'ButsMPG + Var'!$K$13,IF(C227="D",COUNTIF(BDD!H230:AR230,10)*'ButsMPG + Var'!$K$32+COUNTIF(BDD!H230:AR230,9)*'ButsMPG + Var'!$K$31+COUNTIF(BDD!H230:AR230,8)*'ButsMPG + Var'!$K$30+COUNTIF(BDD!H230:AR230,7)*'ButsMPG + Var'!$K$29+COUNTIF(BDD!H230:AR230,6)*'ButsMPG + Var'!$K$28+COUNTIF(BDD!H230:AR230,5)*'ButsMPG + Var'!$K$27+COUNTIF(BDD!H230:AR230,4)*'ButsMPG + Var'!$K$26+COUNTIF(BDD!H230:AR230,3)*'ButsMPG + Var'!$K$25+COUNTIF(BDD!H230:AR230,2)*'ButsMPG + Var'!$K$24+COUNTIF(BDD!H230:AR230,1)*'ButsMPG + Var'!$K$23,0)))</f>
        <v>0</v>
      </c>
      <c r="H227" s="25">
        <f t="shared" si="4"/>
        <v>0</v>
      </c>
      <c r="I227" s="25">
        <f>BDD!G230</f>
        <v>0</v>
      </c>
      <c r="J227" s="25">
        <f>SUMPRODUCT(BDD!H230:AS230,'ButsMPG + Var'!$B$46:$AM$46)</f>
        <v>0</v>
      </c>
      <c r="K227" s="25" t="e">
        <f>10*('ButsMPG + Var'!$H$37*J227/MAX(J:J)+'ButsMPG + Var'!$G$37*H227/MAX(H:H))</f>
        <v>#DIV/0!</v>
      </c>
      <c r="L227" s="1">
        <f>IF(ISNA(VLOOKUP(B227,PrixMini!$B$3:$E$573,4,FALSE)),1,VLOOKUP(B227,PrixMini!$B$3:$E$573,4,FALSE))</f>
        <v>1</v>
      </c>
      <c r="M227" s="25" t="e">
        <f>IF(ROUND(CalculCotation!$D$3*EXP(CalculCotation!$C$3*K227)-CalculCotation!$D$3+1,0)&gt;L227,ROUND(CalculCotation!$D$3*EXP(CalculCotation!$C$3*K227)-CalculCotation!$D$3+1,0),L227)</f>
        <v>#DIV/0!</v>
      </c>
    </row>
    <row r="228" spans="2:13" x14ac:dyDescent="0.3">
      <c r="B228" s="1">
        <f>BDD!C231</f>
        <v>0</v>
      </c>
      <c r="C228" s="1">
        <f>BDD!B231</f>
        <v>0</v>
      </c>
      <c r="D228" s="1">
        <f>BDD!A231</f>
        <v>0</v>
      </c>
      <c r="E228" s="1">
        <f>BDD!D231</f>
        <v>0</v>
      </c>
      <c r="F228" s="1">
        <f>BDD!F231</f>
        <v>0</v>
      </c>
      <c r="G228" s="25">
        <f>'ButsMPG + Var'!$I$39*IF(C228="A",COUNTIF(BDD!H231:AR231,10)*'ButsMPG + Var'!$K$12+COUNTIF(BDD!H231:AR231,9)*'ButsMPG + Var'!$K$11+COUNTIF(BDD!H231:AR231,8)*'ButsMPG + Var'!$K$10+COUNTIF(BDD!H231:AR231,7)*'ButsMPG + Var'!$K$9+COUNTIF(BDD!H231:AR231,6)*'ButsMPG + Var'!$K$8+COUNTIF(BDD!H231:AR231,5)*'ButsMPG + Var'!$K$7+COUNTIF(BDD!H231:AR231,4)*'ButsMPG + Var'!$K$6+COUNTIF(BDD!H231:AR231,3)*'ButsMPG + Var'!$K$5+COUNTIF(BDD!H231:AR231,2)*'ButsMPG + Var'!$K$4+COUNTIF(BDD!H231:AR231,1)*'ButsMPG + Var'!$K$3,IF(C228="M",COUNTIF(BDD!H231:AR231,10)*'ButsMPG + Var'!$K$22+COUNTIF(BDD!H231:AR231,9)*'ButsMPG + Var'!$K$21+COUNTIF(BDD!H231:AR231,8)*'ButsMPG + Var'!$K$20+COUNTIF(BDD!H231:AR231,7)*'ButsMPG + Var'!$K$19+COUNTIF(BDD!H231:AR231,6)*'ButsMPG + Var'!$K$18+COUNTIF(BDD!H231:AR231,5)*'ButsMPG + Var'!$K$17+COUNTIF(BDD!H231:AR231,4)*'ButsMPG + Var'!$K$16+COUNTIF(BDD!H231:AR231,3)*'ButsMPG + Var'!$K$15+COUNTIF(BDD!H231:AR231,2)*'ButsMPG + Var'!$K$14+COUNTIF(BDD!H231:AR231,1)*'ButsMPG + Var'!$K$13,IF(C228="D",COUNTIF(BDD!H231:AR231,10)*'ButsMPG + Var'!$K$32+COUNTIF(BDD!H231:AR231,9)*'ButsMPG + Var'!$K$31+COUNTIF(BDD!H231:AR231,8)*'ButsMPG + Var'!$K$30+COUNTIF(BDD!H231:AR231,7)*'ButsMPG + Var'!$K$29+COUNTIF(BDD!H231:AR231,6)*'ButsMPG + Var'!$K$28+COUNTIF(BDD!H231:AR231,5)*'ButsMPG + Var'!$K$27+COUNTIF(BDD!H231:AR231,4)*'ButsMPG + Var'!$K$26+COUNTIF(BDD!H231:AR231,3)*'ButsMPG + Var'!$K$25+COUNTIF(BDD!H231:AR231,2)*'ButsMPG + Var'!$K$24+COUNTIF(BDD!H231:AR231,1)*'ButsMPG + Var'!$K$23,0)))</f>
        <v>0</v>
      </c>
      <c r="H228" s="25">
        <f t="shared" si="4"/>
        <v>0</v>
      </c>
      <c r="I228" s="25">
        <f>BDD!G231</f>
        <v>0</v>
      </c>
      <c r="J228" s="25">
        <f>SUMPRODUCT(BDD!H231:AS231,'ButsMPG + Var'!$B$46:$AM$46)</f>
        <v>0</v>
      </c>
      <c r="K228" s="25" t="e">
        <f>10*('ButsMPG + Var'!$H$37*J228/MAX(J:J)+'ButsMPG + Var'!$G$37*H228/MAX(H:H))</f>
        <v>#DIV/0!</v>
      </c>
      <c r="L228" s="1">
        <f>IF(ISNA(VLOOKUP(B228,PrixMini!$B$3:$E$573,4,FALSE)),1,VLOOKUP(B228,PrixMini!$B$3:$E$573,4,FALSE))</f>
        <v>1</v>
      </c>
      <c r="M228" s="25" t="e">
        <f>IF(ROUND(CalculCotation!$D$3*EXP(CalculCotation!$C$3*K228)-CalculCotation!$D$3+1,0)&gt;L228,ROUND(CalculCotation!$D$3*EXP(CalculCotation!$C$3*K228)-CalculCotation!$D$3+1,0),L228)</f>
        <v>#DIV/0!</v>
      </c>
    </row>
    <row r="229" spans="2:13" x14ac:dyDescent="0.3">
      <c r="B229" s="1">
        <f>BDD!C232</f>
        <v>0</v>
      </c>
      <c r="C229" s="1">
        <f>BDD!B232</f>
        <v>0</v>
      </c>
      <c r="D229" s="1">
        <f>BDD!A232</f>
        <v>0</v>
      </c>
      <c r="E229" s="1">
        <f>BDD!D232</f>
        <v>0</v>
      </c>
      <c r="F229" s="1">
        <f>BDD!F232</f>
        <v>0</v>
      </c>
      <c r="G229" s="25">
        <f>'ButsMPG + Var'!$I$39*IF(C229="A",COUNTIF(BDD!H232:AR232,10)*'ButsMPG + Var'!$K$12+COUNTIF(BDD!H232:AR232,9)*'ButsMPG + Var'!$K$11+COUNTIF(BDD!H232:AR232,8)*'ButsMPG + Var'!$K$10+COUNTIF(BDD!H232:AR232,7)*'ButsMPG + Var'!$K$9+COUNTIF(BDD!H232:AR232,6)*'ButsMPG + Var'!$K$8+COUNTIF(BDD!H232:AR232,5)*'ButsMPG + Var'!$K$7+COUNTIF(BDD!H232:AR232,4)*'ButsMPG + Var'!$K$6+COUNTIF(BDD!H232:AR232,3)*'ButsMPG + Var'!$K$5+COUNTIF(BDD!H232:AR232,2)*'ButsMPG + Var'!$K$4+COUNTIF(BDD!H232:AR232,1)*'ButsMPG + Var'!$K$3,IF(C229="M",COUNTIF(BDD!H232:AR232,10)*'ButsMPG + Var'!$K$22+COUNTIF(BDD!H232:AR232,9)*'ButsMPG + Var'!$K$21+COUNTIF(BDD!H232:AR232,8)*'ButsMPG + Var'!$K$20+COUNTIF(BDD!H232:AR232,7)*'ButsMPG + Var'!$K$19+COUNTIF(BDD!H232:AR232,6)*'ButsMPG + Var'!$K$18+COUNTIF(BDD!H232:AR232,5)*'ButsMPG + Var'!$K$17+COUNTIF(BDD!H232:AR232,4)*'ButsMPG + Var'!$K$16+COUNTIF(BDD!H232:AR232,3)*'ButsMPG + Var'!$K$15+COUNTIF(BDD!H232:AR232,2)*'ButsMPG + Var'!$K$14+COUNTIF(BDD!H232:AR232,1)*'ButsMPG + Var'!$K$13,IF(C229="D",COUNTIF(BDD!H232:AR232,10)*'ButsMPG + Var'!$K$32+COUNTIF(BDD!H232:AR232,9)*'ButsMPG + Var'!$K$31+COUNTIF(BDD!H232:AR232,8)*'ButsMPG + Var'!$K$30+COUNTIF(BDD!H232:AR232,7)*'ButsMPG + Var'!$K$29+COUNTIF(BDD!H232:AR232,6)*'ButsMPG + Var'!$K$28+COUNTIF(BDD!H232:AR232,5)*'ButsMPG + Var'!$K$27+COUNTIF(BDD!H232:AR232,4)*'ButsMPG + Var'!$K$26+COUNTIF(BDD!H232:AR232,3)*'ButsMPG + Var'!$K$25+COUNTIF(BDD!H232:AR232,2)*'ButsMPG + Var'!$K$24+COUNTIF(BDD!H232:AR232,1)*'ButsMPG + Var'!$K$23,0)))</f>
        <v>0</v>
      </c>
      <c r="H229" s="25">
        <f t="shared" si="4"/>
        <v>0</v>
      </c>
      <c r="I229" s="25">
        <f>BDD!G232</f>
        <v>0</v>
      </c>
      <c r="J229" s="25">
        <f>SUMPRODUCT(BDD!H232:AS232,'ButsMPG + Var'!$B$46:$AM$46)</f>
        <v>0</v>
      </c>
      <c r="K229" s="25" t="e">
        <f>10*('ButsMPG + Var'!$H$37*J229/MAX(J:J)+'ButsMPG + Var'!$G$37*H229/MAX(H:H))</f>
        <v>#DIV/0!</v>
      </c>
      <c r="L229" s="1">
        <f>IF(ISNA(VLOOKUP(B229,PrixMini!$B$3:$E$573,4,FALSE)),1,VLOOKUP(B229,PrixMini!$B$3:$E$573,4,FALSE))</f>
        <v>1</v>
      </c>
      <c r="M229" s="25" t="e">
        <f>IF(ROUND(CalculCotation!$D$3*EXP(CalculCotation!$C$3*K229)-CalculCotation!$D$3+1,0)&gt;L229,ROUND(CalculCotation!$D$3*EXP(CalculCotation!$C$3*K229)-CalculCotation!$D$3+1,0),L229)</f>
        <v>#DIV/0!</v>
      </c>
    </row>
    <row r="230" spans="2:13" x14ac:dyDescent="0.3">
      <c r="B230" s="1">
        <f>BDD!C233</f>
        <v>0</v>
      </c>
      <c r="C230" s="1">
        <f>BDD!B233</f>
        <v>0</v>
      </c>
      <c r="D230" s="1">
        <f>BDD!A233</f>
        <v>0</v>
      </c>
      <c r="E230" s="1">
        <f>BDD!D233</f>
        <v>0</v>
      </c>
      <c r="F230" s="1">
        <f>BDD!F233</f>
        <v>0</v>
      </c>
      <c r="G230" s="25">
        <f>'ButsMPG + Var'!$I$39*IF(C230="A",COUNTIF(BDD!H233:AR233,10)*'ButsMPG + Var'!$K$12+COUNTIF(BDD!H233:AR233,9)*'ButsMPG + Var'!$K$11+COUNTIF(BDD!H233:AR233,8)*'ButsMPG + Var'!$K$10+COUNTIF(BDD!H233:AR233,7)*'ButsMPG + Var'!$K$9+COUNTIF(BDD!H233:AR233,6)*'ButsMPG + Var'!$K$8+COUNTIF(BDD!H233:AR233,5)*'ButsMPG + Var'!$K$7+COUNTIF(BDD!H233:AR233,4)*'ButsMPG + Var'!$K$6+COUNTIF(BDD!H233:AR233,3)*'ButsMPG + Var'!$K$5+COUNTIF(BDD!H233:AR233,2)*'ButsMPG + Var'!$K$4+COUNTIF(BDD!H233:AR233,1)*'ButsMPG + Var'!$K$3,IF(C230="M",COUNTIF(BDD!H233:AR233,10)*'ButsMPG + Var'!$K$22+COUNTIF(BDD!H233:AR233,9)*'ButsMPG + Var'!$K$21+COUNTIF(BDD!H233:AR233,8)*'ButsMPG + Var'!$K$20+COUNTIF(BDD!H233:AR233,7)*'ButsMPG + Var'!$K$19+COUNTIF(BDD!H233:AR233,6)*'ButsMPG + Var'!$K$18+COUNTIF(BDD!H233:AR233,5)*'ButsMPG + Var'!$K$17+COUNTIF(BDD!H233:AR233,4)*'ButsMPG + Var'!$K$16+COUNTIF(BDD!H233:AR233,3)*'ButsMPG + Var'!$K$15+COUNTIF(BDD!H233:AR233,2)*'ButsMPG + Var'!$K$14+COUNTIF(BDD!H233:AR233,1)*'ButsMPG + Var'!$K$13,IF(C230="D",COUNTIF(BDD!H233:AR233,10)*'ButsMPG + Var'!$K$32+COUNTIF(BDD!H233:AR233,9)*'ButsMPG + Var'!$K$31+COUNTIF(BDD!H233:AR233,8)*'ButsMPG + Var'!$K$30+COUNTIF(BDD!H233:AR233,7)*'ButsMPG + Var'!$K$29+COUNTIF(BDD!H233:AR233,6)*'ButsMPG + Var'!$K$28+COUNTIF(BDD!H233:AR233,5)*'ButsMPG + Var'!$K$27+COUNTIF(BDD!H233:AR233,4)*'ButsMPG + Var'!$K$26+COUNTIF(BDD!H233:AR233,3)*'ButsMPG + Var'!$K$25+COUNTIF(BDD!H233:AR233,2)*'ButsMPG + Var'!$K$24+COUNTIF(BDD!H233:AR233,1)*'ButsMPG + Var'!$K$23,0)))</f>
        <v>0</v>
      </c>
      <c r="H230" s="25">
        <f t="shared" si="4"/>
        <v>0</v>
      </c>
      <c r="I230" s="25">
        <f>BDD!G233</f>
        <v>0</v>
      </c>
      <c r="J230" s="25">
        <f>SUMPRODUCT(BDD!H233:AS233,'ButsMPG + Var'!$B$46:$AM$46)</f>
        <v>0</v>
      </c>
      <c r="K230" s="25" t="e">
        <f>10*('ButsMPG + Var'!$H$37*J230/MAX(J:J)+'ButsMPG + Var'!$G$37*H230/MAX(H:H))</f>
        <v>#DIV/0!</v>
      </c>
      <c r="L230" s="1">
        <f>IF(ISNA(VLOOKUP(B230,PrixMini!$B$3:$E$573,4,FALSE)),1,VLOOKUP(B230,PrixMini!$B$3:$E$573,4,FALSE))</f>
        <v>1</v>
      </c>
      <c r="M230" s="25" t="e">
        <f>IF(ROUND(CalculCotation!$D$3*EXP(CalculCotation!$C$3*K230)-CalculCotation!$D$3+1,0)&gt;L230,ROUND(CalculCotation!$D$3*EXP(CalculCotation!$C$3*K230)-CalculCotation!$D$3+1,0),L230)</f>
        <v>#DIV/0!</v>
      </c>
    </row>
    <row r="231" spans="2:13" x14ac:dyDescent="0.3">
      <c r="B231" s="1">
        <f>BDD!C234</f>
        <v>0</v>
      </c>
      <c r="C231" s="1">
        <f>BDD!B234</f>
        <v>0</v>
      </c>
      <c r="D231" s="1">
        <f>BDD!A234</f>
        <v>0</v>
      </c>
      <c r="E231" s="1">
        <f>BDD!D234</f>
        <v>0</v>
      </c>
      <c r="F231" s="1">
        <f>BDD!F234</f>
        <v>0</v>
      </c>
      <c r="G231" s="25">
        <f>'ButsMPG + Var'!$I$39*IF(C231="A",COUNTIF(BDD!H234:AR234,10)*'ButsMPG + Var'!$K$12+COUNTIF(BDD!H234:AR234,9)*'ButsMPG + Var'!$K$11+COUNTIF(BDD!H234:AR234,8)*'ButsMPG + Var'!$K$10+COUNTIF(BDD!H234:AR234,7)*'ButsMPG + Var'!$K$9+COUNTIF(BDD!H234:AR234,6)*'ButsMPG + Var'!$K$8+COUNTIF(BDD!H234:AR234,5)*'ButsMPG + Var'!$K$7+COUNTIF(BDD!H234:AR234,4)*'ButsMPG + Var'!$K$6+COUNTIF(BDD!H234:AR234,3)*'ButsMPG + Var'!$K$5+COUNTIF(BDD!H234:AR234,2)*'ButsMPG + Var'!$K$4+COUNTIF(BDD!H234:AR234,1)*'ButsMPG + Var'!$K$3,IF(C231="M",COUNTIF(BDD!H234:AR234,10)*'ButsMPG + Var'!$K$22+COUNTIF(BDD!H234:AR234,9)*'ButsMPG + Var'!$K$21+COUNTIF(BDD!H234:AR234,8)*'ButsMPG + Var'!$K$20+COUNTIF(BDD!H234:AR234,7)*'ButsMPG + Var'!$K$19+COUNTIF(BDD!H234:AR234,6)*'ButsMPG + Var'!$K$18+COUNTIF(BDD!H234:AR234,5)*'ButsMPG + Var'!$K$17+COUNTIF(BDD!H234:AR234,4)*'ButsMPG + Var'!$K$16+COUNTIF(BDD!H234:AR234,3)*'ButsMPG + Var'!$K$15+COUNTIF(BDD!H234:AR234,2)*'ButsMPG + Var'!$K$14+COUNTIF(BDD!H234:AR234,1)*'ButsMPG + Var'!$K$13,IF(C231="D",COUNTIF(BDD!H234:AR234,10)*'ButsMPG + Var'!$K$32+COUNTIF(BDD!H234:AR234,9)*'ButsMPG + Var'!$K$31+COUNTIF(BDD!H234:AR234,8)*'ButsMPG + Var'!$K$30+COUNTIF(BDD!H234:AR234,7)*'ButsMPG + Var'!$K$29+COUNTIF(BDD!H234:AR234,6)*'ButsMPG + Var'!$K$28+COUNTIF(BDD!H234:AR234,5)*'ButsMPG + Var'!$K$27+COUNTIF(BDD!H234:AR234,4)*'ButsMPG + Var'!$K$26+COUNTIF(BDD!H234:AR234,3)*'ButsMPG + Var'!$K$25+COUNTIF(BDD!H234:AR234,2)*'ButsMPG + Var'!$K$24+COUNTIF(BDD!H234:AR234,1)*'ButsMPG + Var'!$K$23,0)))</f>
        <v>0</v>
      </c>
      <c r="H231" s="25">
        <f t="shared" si="4"/>
        <v>0</v>
      </c>
      <c r="I231" s="25">
        <f>BDD!G234</f>
        <v>0</v>
      </c>
      <c r="J231" s="25">
        <f>SUMPRODUCT(BDD!H234:AS234,'ButsMPG + Var'!$B$46:$AM$46)</f>
        <v>0</v>
      </c>
      <c r="K231" s="25" t="e">
        <f>10*('ButsMPG + Var'!$H$37*J231/MAX(J:J)+'ButsMPG + Var'!$G$37*H231/MAX(H:H))</f>
        <v>#DIV/0!</v>
      </c>
      <c r="L231" s="1">
        <f>IF(ISNA(VLOOKUP(B231,PrixMini!$B$3:$E$573,4,FALSE)),1,VLOOKUP(B231,PrixMini!$B$3:$E$573,4,FALSE))</f>
        <v>1</v>
      </c>
      <c r="M231" s="25" t="e">
        <f>IF(ROUND(CalculCotation!$D$3*EXP(CalculCotation!$C$3*K231)-CalculCotation!$D$3+1,0)&gt;L231,ROUND(CalculCotation!$D$3*EXP(CalculCotation!$C$3*K231)-CalculCotation!$D$3+1,0),L231)</f>
        <v>#DIV/0!</v>
      </c>
    </row>
    <row r="232" spans="2:13" x14ac:dyDescent="0.3">
      <c r="B232" s="1">
        <f>BDD!C235</f>
        <v>0</v>
      </c>
      <c r="C232" s="1">
        <f>BDD!B235</f>
        <v>0</v>
      </c>
      <c r="D232" s="1">
        <f>BDD!A235</f>
        <v>0</v>
      </c>
      <c r="E232" s="1">
        <f>BDD!D235</f>
        <v>0</v>
      </c>
      <c r="F232" s="1">
        <f>BDD!F235</f>
        <v>0</v>
      </c>
      <c r="G232" s="25">
        <f>'ButsMPG + Var'!$I$39*IF(C232="A",COUNTIF(BDD!H235:AR235,10)*'ButsMPG + Var'!$K$12+COUNTIF(BDD!H235:AR235,9)*'ButsMPG + Var'!$K$11+COUNTIF(BDD!H235:AR235,8)*'ButsMPG + Var'!$K$10+COUNTIF(BDD!H235:AR235,7)*'ButsMPG + Var'!$K$9+COUNTIF(BDD!H235:AR235,6)*'ButsMPG + Var'!$K$8+COUNTIF(BDD!H235:AR235,5)*'ButsMPG + Var'!$K$7+COUNTIF(BDD!H235:AR235,4)*'ButsMPG + Var'!$K$6+COUNTIF(BDD!H235:AR235,3)*'ButsMPG + Var'!$K$5+COUNTIF(BDD!H235:AR235,2)*'ButsMPG + Var'!$K$4+COUNTIF(BDD!H235:AR235,1)*'ButsMPG + Var'!$K$3,IF(C232="M",COUNTIF(BDD!H235:AR235,10)*'ButsMPG + Var'!$K$22+COUNTIF(BDD!H235:AR235,9)*'ButsMPG + Var'!$K$21+COUNTIF(BDD!H235:AR235,8)*'ButsMPG + Var'!$K$20+COUNTIF(BDD!H235:AR235,7)*'ButsMPG + Var'!$K$19+COUNTIF(BDD!H235:AR235,6)*'ButsMPG + Var'!$K$18+COUNTIF(BDD!H235:AR235,5)*'ButsMPG + Var'!$K$17+COUNTIF(BDD!H235:AR235,4)*'ButsMPG + Var'!$K$16+COUNTIF(BDD!H235:AR235,3)*'ButsMPG + Var'!$K$15+COUNTIF(BDD!H235:AR235,2)*'ButsMPG + Var'!$K$14+COUNTIF(BDD!H235:AR235,1)*'ButsMPG + Var'!$K$13,IF(C232="D",COUNTIF(BDD!H235:AR235,10)*'ButsMPG + Var'!$K$32+COUNTIF(BDD!H235:AR235,9)*'ButsMPG + Var'!$K$31+COUNTIF(BDD!H235:AR235,8)*'ButsMPG + Var'!$K$30+COUNTIF(BDD!H235:AR235,7)*'ButsMPG + Var'!$K$29+COUNTIF(BDD!H235:AR235,6)*'ButsMPG + Var'!$K$28+COUNTIF(BDD!H235:AR235,5)*'ButsMPG + Var'!$K$27+COUNTIF(BDD!H235:AR235,4)*'ButsMPG + Var'!$K$26+COUNTIF(BDD!H235:AR235,3)*'ButsMPG + Var'!$K$25+COUNTIF(BDD!H235:AR235,2)*'ButsMPG + Var'!$K$24+COUNTIF(BDD!H235:AR235,1)*'ButsMPG + Var'!$K$23,0)))</f>
        <v>0</v>
      </c>
      <c r="H232" s="25">
        <f t="shared" si="4"/>
        <v>0</v>
      </c>
      <c r="I232" s="25">
        <f>BDD!G235</f>
        <v>0</v>
      </c>
      <c r="J232" s="25">
        <f>SUMPRODUCT(BDD!H235:AS235,'ButsMPG + Var'!$B$46:$AM$46)</f>
        <v>0</v>
      </c>
      <c r="K232" s="25" t="e">
        <f>10*('ButsMPG + Var'!$H$37*J232/MAX(J:J)+'ButsMPG + Var'!$G$37*H232/MAX(H:H))</f>
        <v>#DIV/0!</v>
      </c>
      <c r="L232" s="1">
        <f>IF(ISNA(VLOOKUP(B232,PrixMini!$B$3:$E$573,4,FALSE)),1,VLOOKUP(B232,PrixMini!$B$3:$E$573,4,FALSE))</f>
        <v>1</v>
      </c>
      <c r="M232" s="25" t="e">
        <f>IF(ROUND(CalculCotation!$D$3*EXP(CalculCotation!$C$3*K232)-CalculCotation!$D$3+1,0)&gt;L232,ROUND(CalculCotation!$D$3*EXP(CalculCotation!$C$3*K232)-CalculCotation!$D$3+1,0),L232)</f>
        <v>#DIV/0!</v>
      </c>
    </row>
    <row r="233" spans="2:13" x14ac:dyDescent="0.3">
      <c r="B233" s="1">
        <f>BDD!C236</f>
        <v>0</v>
      </c>
      <c r="C233" s="1">
        <f>BDD!B236</f>
        <v>0</v>
      </c>
      <c r="D233" s="1">
        <f>BDD!A236</f>
        <v>0</v>
      </c>
      <c r="E233" s="1">
        <f>BDD!D236</f>
        <v>0</v>
      </c>
      <c r="F233" s="1">
        <f>BDD!F236</f>
        <v>0</v>
      </c>
      <c r="G233" s="25">
        <f>'ButsMPG + Var'!$I$39*IF(C233="A",COUNTIF(BDD!H236:AR236,10)*'ButsMPG + Var'!$K$12+COUNTIF(BDD!H236:AR236,9)*'ButsMPG + Var'!$K$11+COUNTIF(BDD!H236:AR236,8)*'ButsMPG + Var'!$K$10+COUNTIF(BDD!H236:AR236,7)*'ButsMPG + Var'!$K$9+COUNTIF(BDD!H236:AR236,6)*'ButsMPG + Var'!$K$8+COUNTIF(BDD!H236:AR236,5)*'ButsMPG + Var'!$K$7+COUNTIF(BDD!H236:AR236,4)*'ButsMPG + Var'!$K$6+COUNTIF(BDD!H236:AR236,3)*'ButsMPG + Var'!$K$5+COUNTIF(BDD!H236:AR236,2)*'ButsMPG + Var'!$K$4+COUNTIF(BDD!H236:AR236,1)*'ButsMPG + Var'!$K$3,IF(C233="M",COUNTIF(BDD!H236:AR236,10)*'ButsMPG + Var'!$K$22+COUNTIF(BDD!H236:AR236,9)*'ButsMPG + Var'!$K$21+COUNTIF(BDD!H236:AR236,8)*'ButsMPG + Var'!$K$20+COUNTIF(BDD!H236:AR236,7)*'ButsMPG + Var'!$K$19+COUNTIF(BDD!H236:AR236,6)*'ButsMPG + Var'!$K$18+COUNTIF(BDD!H236:AR236,5)*'ButsMPG + Var'!$K$17+COUNTIF(BDD!H236:AR236,4)*'ButsMPG + Var'!$K$16+COUNTIF(BDD!H236:AR236,3)*'ButsMPG + Var'!$K$15+COUNTIF(BDD!H236:AR236,2)*'ButsMPG + Var'!$K$14+COUNTIF(BDD!H236:AR236,1)*'ButsMPG + Var'!$K$13,IF(C233="D",COUNTIF(BDD!H236:AR236,10)*'ButsMPG + Var'!$K$32+COUNTIF(BDD!H236:AR236,9)*'ButsMPG + Var'!$K$31+COUNTIF(BDD!H236:AR236,8)*'ButsMPG + Var'!$K$30+COUNTIF(BDD!H236:AR236,7)*'ButsMPG + Var'!$K$29+COUNTIF(BDD!H236:AR236,6)*'ButsMPG + Var'!$K$28+COUNTIF(BDD!H236:AR236,5)*'ButsMPG + Var'!$K$27+COUNTIF(BDD!H236:AR236,4)*'ButsMPG + Var'!$K$26+COUNTIF(BDD!H236:AR236,3)*'ButsMPG + Var'!$K$25+COUNTIF(BDD!H236:AR236,2)*'ButsMPG + Var'!$K$24+COUNTIF(BDD!H236:AR236,1)*'ButsMPG + Var'!$K$23,0)))</f>
        <v>0</v>
      </c>
      <c r="H233" s="25">
        <f t="shared" si="4"/>
        <v>0</v>
      </c>
      <c r="I233" s="25">
        <f>BDD!G236</f>
        <v>0</v>
      </c>
      <c r="J233" s="25">
        <f>SUMPRODUCT(BDD!H236:AS236,'ButsMPG + Var'!$B$46:$AM$46)</f>
        <v>0</v>
      </c>
      <c r="K233" s="25" t="e">
        <f>10*('ButsMPG + Var'!$H$37*J233/MAX(J:J)+'ButsMPG + Var'!$G$37*H233/MAX(H:H))</f>
        <v>#DIV/0!</v>
      </c>
      <c r="L233" s="1">
        <f>IF(ISNA(VLOOKUP(B233,PrixMini!$B$3:$E$573,4,FALSE)),1,VLOOKUP(B233,PrixMini!$B$3:$E$573,4,FALSE))</f>
        <v>1</v>
      </c>
      <c r="M233" s="25" t="e">
        <f>IF(ROUND(CalculCotation!$D$3*EXP(CalculCotation!$C$3*K233)-CalculCotation!$D$3+1,0)&gt;L233,ROUND(CalculCotation!$D$3*EXP(CalculCotation!$C$3*K233)-CalculCotation!$D$3+1,0),L233)</f>
        <v>#DIV/0!</v>
      </c>
    </row>
    <row r="234" spans="2:13" x14ac:dyDescent="0.3">
      <c r="B234" s="1">
        <f>BDD!C237</f>
        <v>0</v>
      </c>
      <c r="C234" s="1">
        <f>BDD!B237</f>
        <v>0</v>
      </c>
      <c r="D234" s="1">
        <f>BDD!A237</f>
        <v>0</v>
      </c>
      <c r="E234" s="1">
        <f>BDD!D237</f>
        <v>0</v>
      </c>
      <c r="F234" s="1">
        <f>BDD!F237</f>
        <v>0</v>
      </c>
      <c r="G234" s="25">
        <f>'ButsMPG + Var'!$I$39*IF(C234="A",COUNTIF(BDD!H237:AR237,10)*'ButsMPG + Var'!$K$12+COUNTIF(BDD!H237:AR237,9)*'ButsMPG + Var'!$K$11+COUNTIF(BDD!H237:AR237,8)*'ButsMPG + Var'!$K$10+COUNTIF(BDD!H237:AR237,7)*'ButsMPG + Var'!$K$9+COUNTIF(BDD!H237:AR237,6)*'ButsMPG + Var'!$K$8+COUNTIF(BDD!H237:AR237,5)*'ButsMPG + Var'!$K$7+COUNTIF(BDD!H237:AR237,4)*'ButsMPG + Var'!$K$6+COUNTIF(BDD!H237:AR237,3)*'ButsMPG + Var'!$K$5+COUNTIF(BDD!H237:AR237,2)*'ButsMPG + Var'!$K$4+COUNTIF(BDD!H237:AR237,1)*'ButsMPG + Var'!$K$3,IF(C234="M",COUNTIF(BDD!H237:AR237,10)*'ButsMPG + Var'!$K$22+COUNTIF(BDD!H237:AR237,9)*'ButsMPG + Var'!$K$21+COUNTIF(BDD!H237:AR237,8)*'ButsMPG + Var'!$K$20+COUNTIF(BDD!H237:AR237,7)*'ButsMPG + Var'!$K$19+COUNTIF(BDD!H237:AR237,6)*'ButsMPG + Var'!$K$18+COUNTIF(BDD!H237:AR237,5)*'ButsMPG + Var'!$K$17+COUNTIF(BDD!H237:AR237,4)*'ButsMPG + Var'!$K$16+COUNTIF(BDD!H237:AR237,3)*'ButsMPG + Var'!$K$15+COUNTIF(BDD!H237:AR237,2)*'ButsMPG + Var'!$K$14+COUNTIF(BDD!H237:AR237,1)*'ButsMPG + Var'!$K$13,IF(C234="D",COUNTIF(BDD!H237:AR237,10)*'ButsMPG + Var'!$K$32+COUNTIF(BDD!H237:AR237,9)*'ButsMPG + Var'!$K$31+COUNTIF(BDD!H237:AR237,8)*'ButsMPG + Var'!$K$30+COUNTIF(BDD!H237:AR237,7)*'ButsMPG + Var'!$K$29+COUNTIF(BDD!H237:AR237,6)*'ButsMPG + Var'!$K$28+COUNTIF(BDD!H237:AR237,5)*'ButsMPG + Var'!$K$27+COUNTIF(BDD!H237:AR237,4)*'ButsMPG + Var'!$K$26+COUNTIF(BDD!H237:AR237,3)*'ButsMPG + Var'!$K$25+COUNTIF(BDD!H237:AR237,2)*'ButsMPG + Var'!$K$24+COUNTIF(BDD!H237:AR237,1)*'ButsMPG + Var'!$K$23,0)))</f>
        <v>0</v>
      </c>
      <c r="H234" s="25">
        <f t="shared" si="4"/>
        <v>0</v>
      </c>
      <c r="I234" s="25">
        <f>BDD!G237</f>
        <v>0</v>
      </c>
      <c r="J234" s="25">
        <f>SUMPRODUCT(BDD!H237:AS237,'ButsMPG + Var'!$B$46:$AM$46)</f>
        <v>0</v>
      </c>
      <c r="K234" s="25" t="e">
        <f>10*('ButsMPG + Var'!$H$37*J234/MAX(J:J)+'ButsMPG + Var'!$G$37*H234/MAX(H:H))</f>
        <v>#DIV/0!</v>
      </c>
      <c r="L234" s="1">
        <f>IF(ISNA(VLOOKUP(B234,PrixMini!$B$3:$E$573,4,FALSE)),1,VLOOKUP(B234,PrixMini!$B$3:$E$573,4,FALSE))</f>
        <v>1</v>
      </c>
      <c r="M234" s="25" t="e">
        <f>IF(ROUND(CalculCotation!$D$3*EXP(CalculCotation!$C$3*K234)-CalculCotation!$D$3+1,0)&gt;L234,ROUND(CalculCotation!$D$3*EXP(CalculCotation!$C$3*K234)-CalculCotation!$D$3+1,0),L234)</f>
        <v>#DIV/0!</v>
      </c>
    </row>
    <row r="235" spans="2:13" x14ac:dyDescent="0.3">
      <c r="B235" s="1">
        <f>BDD!C238</f>
        <v>0</v>
      </c>
      <c r="C235" s="1">
        <f>BDD!B238</f>
        <v>0</v>
      </c>
      <c r="D235" s="1">
        <f>BDD!A238</f>
        <v>0</v>
      </c>
      <c r="E235" s="1">
        <f>BDD!D238</f>
        <v>0</v>
      </c>
      <c r="F235" s="1">
        <f>BDD!F238</f>
        <v>0</v>
      </c>
      <c r="G235" s="25">
        <f>'ButsMPG + Var'!$I$39*IF(C235="A",COUNTIF(BDD!H238:AR238,10)*'ButsMPG + Var'!$K$12+COUNTIF(BDD!H238:AR238,9)*'ButsMPG + Var'!$K$11+COUNTIF(BDD!H238:AR238,8)*'ButsMPG + Var'!$K$10+COUNTIF(BDD!H238:AR238,7)*'ButsMPG + Var'!$K$9+COUNTIF(BDD!H238:AR238,6)*'ButsMPG + Var'!$K$8+COUNTIF(BDD!H238:AR238,5)*'ButsMPG + Var'!$K$7+COUNTIF(BDD!H238:AR238,4)*'ButsMPG + Var'!$K$6+COUNTIF(BDD!H238:AR238,3)*'ButsMPG + Var'!$K$5+COUNTIF(BDD!H238:AR238,2)*'ButsMPG + Var'!$K$4+COUNTIF(BDD!H238:AR238,1)*'ButsMPG + Var'!$K$3,IF(C235="M",COUNTIF(BDD!H238:AR238,10)*'ButsMPG + Var'!$K$22+COUNTIF(BDD!H238:AR238,9)*'ButsMPG + Var'!$K$21+COUNTIF(BDD!H238:AR238,8)*'ButsMPG + Var'!$K$20+COUNTIF(BDD!H238:AR238,7)*'ButsMPG + Var'!$K$19+COUNTIF(BDD!H238:AR238,6)*'ButsMPG + Var'!$K$18+COUNTIF(BDD!H238:AR238,5)*'ButsMPG + Var'!$K$17+COUNTIF(BDD!H238:AR238,4)*'ButsMPG + Var'!$K$16+COUNTIF(BDD!H238:AR238,3)*'ButsMPG + Var'!$K$15+COUNTIF(BDD!H238:AR238,2)*'ButsMPG + Var'!$K$14+COUNTIF(BDD!H238:AR238,1)*'ButsMPG + Var'!$K$13,IF(C235="D",COUNTIF(BDD!H238:AR238,10)*'ButsMPG + Var'!$K$32+COUNTIF(BDD!H238:AR238,9)*'ButsMPG + Var'!$K$31+COUNTIF(BDD!H238:AR238,8)*'ButsMPG + Var'!$K$30+COUNTIF(BDD!H238:AR238,7)*'ButsMPG + Var'!$K$29+COUNTIF(BDD!H238:AR238,6)*'ButsMPG + Var'!$K$28+COUNTIF(BDD!H238:AR238,5)*'ButsMPG + Var'!$K$27+COUNTIF(BDD!H238:AR238,4)*'ButsMPG + Var'!$K$26+COUNTIF(BDD!H238:AR238,3)*'ButsMPG + Var'!$K$25+COUNTIF(BDD!H238:AR238,2)*'ButsMPG + Var'!$K$24+COUNTIF(BDD!H238:AR238,1)*'ButsMPG + Var'!$K$23,0)))</f>
        <v>0</v>
      </c>
      <c r="H235" s="25">
        <f t="shared" si="4"/>
        <v>0</v>
      </c>
      <c r="I235" s="25">
        <f>BDD!G238</f>
        <v>0</v>
      </c>
      <c r="J235" s="25">
        <f>SUMPRODUCT(BDD!H238:AS238,'ButsMPG + Var'!$B$46:$AM$46)</f>
        <v>0</v>
      </c>
      <c r="K235" s="25" t="e">
        <f>10*('ButsMPG + Var'!$H$37*J235/MAX(J:J)+'ButsMPG + Var'!$G$37*H235/MAX(H:H))</f>
        <v>#DIV/0!</v>
      </c>
      <c r="L235" s="1">
        <f>IF(ISNA(VLOOKUP(B235,PrixMini!$B$3:$E$573,4,FALSE)),1,VLOOKUP(B235,PrixMini!$B$3:$E$573,4,FALSE))</f>
        <v>1</v>
      </c>
      <c r="M235" s="25" t="e">
        <f>IF(ROUND(CalculCotation!$D$3*EXP(CalculCotation!$C$3*K235)-CalculCotation!$D$3+1,0)&gt;L235,ROUND(CalculCotation!$D$3*EXP(CalculCotation!$C$3*K235)-CalculCotation!$D$3+1,0),L235)</f>
        <v>#DIV/0!</v>
      </c>
    </row>
    <row r="236" spans="2:13" x14ac:dyDescent="0.3">
      <c r="B236" s="1">
        <f>BDD!C239</f>
        <v>0</v>
      </c>
      <c r="C236" s="1">
        <f>BDD!B239</f>
        <v>0</v>
      </c>
      <c r="D236" s="1">
        <f>BDD!A239</f>
        <v>0</v>
      </c>
      <c r="E236" s="1">
        <f>BDD!D239</f>
        <v>0</v>
      </c>
      <c r="F236" s="1">
        <f>BDD!F239</f>
        <v>0</v>
      </c>
      <c r="G236" s="25">
        <f>'ButsMPG + Var'!$I$39*IF(C236="A",COUNTIF(BDD!H239:AR239,10)*'ButsMPG + Var'!$K$12+COUNTIF(BDD!H239:AR239,9)*'ButsMPG + Var'!$K$11+COUNTIF(BDD!H239:AR239,8)*'ButsMPG + Var'!$K$10+COUNTIF(BDD!H239:AR239,7)*'ButsMPG + Var'!$K$9+COUNTIF(BDD!H239:AR239,6)*'ButsMPG + Var'!$K$8+COUNTIF(BDD!H239:AR239,5)*'ButsMPG + Var'!$K$7+COUNTIF(BDD!H239:AR239,4)*'ButsMPG + Var'!$K$6+COUNTIF(BDD!H239:AR239,3)*'ButsMPG + Var'!$K$5+COUNTIF(BDD!H239:AR239,2)*'ButsMPG + Var'!$K$4+COUNTIF(BDD!H239:AR239,1)*'ButsMPG + Var'!$K$3,IF(C236="M",COUNTIF(BDD!H239:AR239,10)*'ButsMPG + Var'!$K$22+COUNTIF(BDD!H239:AR239,9)*'ButsMPG + Var'!$K$21+COUNTIF(BDD!H239:AR239,8)*'ButsMPG + Var'!$K$20+COUNTIF(BDD!H239:AR239,7)*'ButsMPG + Var'!$K$19+COUNTIF(BDD!H239:AR239,6)*'ButsMPG + Var'!$K$18+COUNTIF(BDD!H239:AR239,5)*'ButsMPG + Var'!$K$17+COUNTIF(BDD!H239:AR239,4)*'ButsMPG + Var'!$K$16+COUNTIF(BDD!H239:AR239,3)*'ButsMPG + Var'!$K$15+COUNTIF(BDD!H239:AR239,2)*'ButsMPG + Var'!$K$14+COUNTIF(BDD!H239:AR239,1)*'ButsMPG + Var'!$K$13,IF(C236="D",COUNTIF(BDD!H239:AR239,10)*'ButsMPG + Var'!$K$32+COUNTIF(BDD!H239:AR239,9)*'ButsMPG + Var'!$K$31+COUNTIF(BDD!H239:AR239,8)*'ButsMPG + Var'!$K$30+COUNTIF(BDD!H239:AR239,7)*'ButsMPG + Var'!$K$29+COUNTIF(BDD!H239:AR239,6)*'ButsMPG + Var'!$K$28+COUNTIF(BDD!H239:AR239,5)*'ButsMPG + Var'!$K$27+COUNTIF(BDD!H239:AR239,4)*'ButsMPG + Var'!$K$26+COUNTIF(BDD!H239:AR239,3)*'ButsMPG + Var'!$K$25+COUNTIF(BDD!H239:AR239,2)*'ButsMPG + Var'!$K$24+COUNTIF(BDD!H239:AR239,1)*'ButsMPG + Var'!$K$23,0)))</f>
        <v>0</v>
      </c>
      <c r="H236" s="25">
        <f t="shared" si="4"/>
        <v>0</v>
      </c>
      <c r="I236" s="25">
        <f>BDD!G239</f>
        <v>0</v>
      </c>
      <c r="J236" s="25">
        <f>SUMPRODUCT(BDD!H239:AS239,'ButsMPG + Var'!$B$46:$AM$46)</f>
        <v>0</v>
      </c>
      <c r="K236" s="25" t="e">
        <f>10*('ButsMPG + Var'!$H$37*J236/MAX(J:J)+'ButsMPG + Var'!$G$37*H236/MAX(H:H))</f>
        <v>#DIV/0!</v>
      </c>
      <c r="L236" s="1">
        <f>IF(ISNA(VLOOKUP(B236,PrixMini!$B$3:$E$573,4,FALSE)),1,VLOOKUP(B236,PrixMini!$B$3:$E$573,4,FALSE))</f>
        <v>1</v>
      </c>
      <c r="M236" s="25" t="e">
        <f>IF(ROUND(CalculCotation!$D$3*EXP(CalculCotation!$C$3*K236)-CalculCotation!$D$3+1,0)&gt;L236,ROUND(CalculCotation!$D$3*EXP(CalculCotation!$C$3*K236)-CalculCotation!$D$3+1,0),L236)</f>
        <v>#DIV/0!</v>
      </c>
    </row>
    <row r="237" spans="2:13" x14ac:dyDescent="0.3">
      <c r="B237" s="1">
        <f>BDD!C240</f>
        <v>0</v>
      </c>
      <c r="C237" s="1">
        <f>BDD!B240</f>
        <v>0</v>
      </c>
      <c r="D237" s="1">
        <f>BDD!A240</f>
        <v>0</v>
      </c>
      <c r="E237" s="1">
        <f>BDD!D240</f>
        <v>0</v>
      </c>
      <c r="F237" s="1">
        <f>BDD!F240</f>
        <v>0</v>
      </c>
      <c r="G237" s="25">
        <f>'ButsMPG + Var'!$I$39*IF(C237="A",COUNTIF(BDD!H240:AR240,10)*'ButsMPG + Var'!$K$12+COUNTIF(BDD!H240:AR240,9)*'ButsMPG + Var'!$K$11+COUNTIF(BDD!H240:AR240,8)*'ButsMPG + Var'!$K$10+COUNTIF(BDD!H240:AR240,7)*'ButsMPG + Var'!$K$9+COUNTIF(BDD!H240:AR240,6)*'ButsMPG + Var'!$K$8+COUNTIF(BDD!H240:AR240,5)*'ButsMPG + Var'!$K$7+COUNTIF(BDD!H240:AR240,4)*'ButsMPG + Var'!$K$6+COUNTIF(BDD!H240:AR240,3)*'ButsMPG + Var'!$K$5+COUNTIF(BDD!H240:AR240,2)*'ButsMPG + Var'!$K$4+COUNTIF(BDD!H240:AR240,1)*'ButsMPG + Var'!$K$3,IF(C237="M",COUNTIF(BDD!H240:AR240,10)*'ButsMPG + Var'!$K$22+COUNTIF(BDD!H240:AR240,9)*'ButsMPG + Var'!$K$21+COUNTIF(BDD!H240:AR240,8)*'ButsMPG + Var'!$K$20+COUNTIF(BDD!H240:AR240,7)*'ButsMPG + Var'!$K$19+COUNTIF(BDD!H240:AR240,6)*'ButsMPG + Var'!$K$18+COUNTIF(BDD!H240:AR240,5)*'ButsMPG + Var'!$K$17+COUNTIF(BDD!H240:AR240,4)*'ButsMPG + Var'!$K$16+COUNTIF(BDD!H240:AR240,3)*'ButsMPG + Var'!$K$15+COUNTIF(BDD!H240:AR240,2)*'ButsMPG + Var'!$K$14+COUNTIF(BDD!H240:AR240,1)*'ButsMPG + Var'!$K$13,IF(C237="D",COUNTIF(BDD!H240:AR240,10)*'ButsMPG + Var'!$K$32+COUNTIF(BDD!H240:AR240,9)*'ButsMPG + Var'!$K$31+COUNTIF(BDD!H240:AR240,8)*'ButsMPG + Var'!$K$30+COUNTIF(BDD!H240:AR240,7)*'ButsMPG + Var'!$K$29+COUNTIF(BDD!H240:AR240,6)*'ButsMPG + Var'!$K$28+COUNTIF(BDD!H240:AR240,5)*'ButsMPG + Var'!$K$27+COUNTIF(BDD!H240:AR240,4)*'ButsMPG + Var'!$K$26+COUNTIF(BDD!H240:AR240,3)*'ButsMPG + Var'!$K$25+COUNTIF(BDD!H240:AR240,2)*'ButsMPG + Var'!$K$24+COUNTIF(BDD!H240:AR240,1)*'ButsMPG + Var'!$K$23,0)))</f>
        <v>0</v>
      </c>
      <c r="H237" s="25">
        <f t="shared" si="4"/>
        <v>0</v>
      </c>
      <c r="I237" s="25">
        <f>BDD!G240</f>
        <v>0</v>
      </c>
      <c r="J237" s="25">
        <f>SUMPRODUCT(BDD!H240:AS240,'ButsMPG + Var'!$B$46:$AM$46)</f>
        <v>0</v>
      </c>
      <c r="K237" s="25" t="e">
        <f>10*('ButsMPG + Var'!$H$37*J237/MAX(J:J)+'ButsMPG + Var'!$G$37*H237/MAX(H:H))</f>
        <v>#DIV/0!</v>
      </c>
      <c r="L237" s="1">
        <f>IF(ISNA(VLOOKUP(B237,PrixMini!$B$3:$E$573,4,FALSE)),1,VLOOKUP(B237,PrixMini!$B$3:$E$573,4,FALSE))</f>
        <v>1</v>
      </c>
      <c r="M237" s="25" t="e">
        <f>IF(ROUND(CalculCotation!$D$3*EXP(CalculCotation!$C$3*K237)-CalculCotation!$D$3+1,0)&gt;L237,ROUND(CalculCotation!$D$3*EXP(CalculCotation!$C$3*K237)-CalculCotation!$D$3+1,0),L237)</f>
        <v>#DIV/0!</v>
      </c>
    </row>
    <row r="238" spans="2:13" x14ac:dyDescent="0.3">
      <c r="B238" s="1">
        <f>BDD!C241</f>
        <v>0</v>
      </c>
      <c r="C238" s="1">
        <f>BDD!B241</f>
        <v>0</v>
      </c>
      <c r="D238" s="1">
        <f>BDD!A241</f>
        <v>0</v>
      </c>
      <c r="E238" s="1">
        <f>BDD!D241</f>
        <v>0</v>
      </c>
      <c r="F238" s="1">
        <f>BDD!F241</f>
        <v>0</v>
      </c>
      <c r="G238" s="25">
        <f>'ButsMPG + Var'!$I$39*IF(C238="A",COUNTIF(BDD!H241:AR241,10)*'ButsMPG + Var'!$K$12+COUNTIF(BDD!H241:AR241,9)*'ButsMPG + Var'!$K$11+COUNTIF(BDD!H241:AR241,8)*'ButsMPG + Var'!$K$10+COUNTIF(BDD!H241:AR241,7)*'ButsMPG + Var'!$K$9+COUNTIF(BDD!H241:AR241,6)*'ButsMPG + Var'!$K$8+COUNTIF(BDD!H241:AR241,5)*'ButsMPG + Var'!$K$7+COUNTIF(BDD!H241:AR241,4)*'ButsMPG + Var'!$K$6+COUNTIF(BDD!H241:AR241,3)*'ButsMPG + Var'!$K$5+COUNTIF(BDD!H241:AR241,2)*'ButsMPG + Var'!$K$4+COUNTIF(BDD!H241:AR241,1)*'ButsMPG + Var'!$K$3,IF(C238="M",COUNTIF(BDD!H241:AR241,10)*'ButsMPG + Var'!$K$22+COUNTIF(BDD!H241:AR241,9)*'ButsMPG + Var'!$K$21+COUNTIF(BDD!H241:AR241,8)*'ButsMPG + Var'!$K$20+COUNTIF(BDD!H241:AR241,7)*'ButsMPG + Var'!$K$19+COUNTIF(BDD!H241:AR241,6)*'ButsMPG + Var'!$K$18+COUNTIF(BDD!H241:AR241,5)*'ButsMPG + Var'!$K$17+COUNTIF(BDD!H241:AR241,4)*'ButsMPG + Var'!$K$16+COUNTIF(BDD!H241:AR241,3)*'ButsMPG + Var'!$K$15+COUNTIF(BDD!H241:AR241,2)*'ButsMPG + Var'!$K$14+COUNTIF(BDD!H241:AR241,1)*'ButsMPG + Var'!$K$13,IF(C238="D",COUNTIF(BDD!H241:AR241,10)*'ButsMPG + Var'!$K$32+COUNTIF(BDD!H241:AR241,9)*'ButsMPG + Var'!$K$31+COUNTIF(BDD!H241:AR241,8)*'ButsMPG + Var'!$K$30+COUNTIF(BDD!H241:AR241,7)*'ButsMPG + Var'!$K$29+COUNTIF(BDD!H241:AR241,6)*'ButsMPG + Var'!$K$28+COUNTIF(BDD!H241:AR241,5)*'ButsMPG + Var'!$K$27+COUNTIF(BDD!H241:AR241,4)*'ButsMPG + Var'!$K$26+COUNTIF(BDD!H241:AR241,3)*'ButsMPG + Var'!$K$25+COUNTIF(BDD!H241:AR241,2)*'ButsMPG + Var'!$K$24+COUNTIF(BDD!H241:AR241,1)*'ButsMPG + Var'!$K$23,0)))</f>
        <v>0</v>
      </c>
      <c r="H238" s="25">
        <f t="shared" si="4"/>
        <v>0</v>
      </c>
      <c r="I238" s="25">
        <f>BDD!G241</f>
        <v>0</v>
      </c>
      <c r="J238" s="25">
        <f>SUMPRODUCT(BDD!H241:AS241,'ButsMPG + Var'!$B$46:$AM$46)</f>
        <v>0</v>
      </c>
      <c r="K238" s="25" t="e">
        <f>10*('ButsMPG + Var'!$H$37*J238/MAX(J:J)+'ButsMPG + Var'!$G$37*H238/MAX(H:H))</f>
        <v>#DIV/0!</v>
      </c>
      <c r="L238" s="1">
        <f>IF(ISNA(VLOOKUP(B238,PrixMini!$B$3:$E$573,4,FALSE)),1,VLOOKUP(B238,PrixMini!$B$3:$E$573,4,FALSE))</f>
        <v>1</v>
      </c>
      <c r="M238" s="25" t="e">
        <f>IF(ROUND(CalculCotation!$D$3*EXP(CalculCotation!$C$3*K238)-CalculCotation!$D$3+1,0)&gt;L238,ROUND(CalculCotation!$D$3*EXP(CalculCotation!$C$3*K238)-CalculCotation!$D$3+1,0),L238)</f>
        <v>#DIV/0!</v>
      </c>
    </row>
    <row r="239" spans="2:13" x14ac:dyDescent="0.3">
      <c r="B239" s="1">
        <f>BDD!C242</f>
        <v>0</v>
      </c>
      <c r="C239" s="1">
        <f>BDD!B242</f>
        <v>0</v>
      </c>
      <c r="D239" s="1">
        <f>BDD!A242</f>
        <v>0</v>
      </c>
      <c r="E239" s="1">
        <f>BDD!D242</f>
        <v>0</v>
      </c>
      <c r="F239" s="1">
        <f>BDD!F242</f>
        <v>0</v>
      </c>
      <c r="G239" s="25">
        <f>'ButsMPG + Var'!$I$39*IF(C239="A",COUNTIF(BDD!H242:AR242,10)*'ButsMPG + Var'!$K$12+COUNTIF(BDD!H242:AR242,9)*'ButsMPG + Var'!$K$11+COUNTIF(BDD!H242:AR242,8)*'ButsMPG + Var'!$K$10+COUNTIF(BDD!H242:AR242,7)*'ButsMPG + Var'!$K$9+COUNTIF(BDD!H242:AR242,6)*'ButsMPG + Var'!$K$8+COUNTIF(BDD!H242:AR242,5)*'ButsMPG + Var'!$K$7+COUNTIF(BDD!H242:AR242,4)*'ButsMPG + Var'!$K$6+COUNTIF(BDD!H242:AR242,3)*'ButsMPG + Var'!$K$5+COUNTIF(BDD!H242:AR242,2)*'ButsMPG + Var'!$K$4+COUNTIF(BDD!H242:AR242,1)*'ButsMPG + Var'!$K$3,IF(C239="M",COUNTIF(BDD!H242:AR242,10)*'ButsMPG + Var'!$K$22+COUNTIF(BDD!H242:AR242,9)*'ButsMPG + Var'!$K$21+COUNTIF(BDD!H242:AR242,8)*'ButsMPG + Var'!$K$20+COUNTIF(BDD!H242:AR242,7)*'ButsMPG + Var'!$K$19+COUNTIF(BDD!H242:AR242,6)*'ButsMPG + Var'!$K$18+COUNTIF(BDD!H242:AR242,5)*'ButsMPG + Var'!$K$17+COUNTIF(BDD!H242:AR242,4)*'ButsMPG + Var'!$K$16+COUNTIF(BDD!H242:AR242,3)*'ButsMPG + Var'!$K$15+COUNTIF(BDD!H242:AR242,2)*'ButsMPG + Var'!$K$14+COUNTIF(BDD!H242:AR242,1)*'ButsMPG + Var'!$K$13,IF(C239="D",COUNTIF(BDD!H242:AR242,10)*'ButsMPG + Var'!$K$32+COUNTIF(BDD!H242:AR242,9)*'ButsMPG + Var'!$K$31+COUNTIF(BDD!H242:AR242,8)*'ButsMPG + Var'!$K$30+COUNTIF(BDD!H242:AR242,7)*'ButsMPG + Var'!$K$29+COUNTIF(BDD!H242:AR242,6)*'ButsMPG + Var'!$K$28+COUNTIF(BDD!H242:AR242,5)*'ButsMPG + Var'!$K$27+COUNTIF(BDD!H242:AR242,4)*'ButsMPG + Var'!$K$26+COUNTIF(BDD!H242:AR242,3)*'ButsMPG + Var'!$K$25+COUNTIF(BDD!H242:AR242,2)*'ButsMPG + Var'!$K$24+COUNTIF(BDD!H242:AR242,1)*'ButsMPG + Var'!$K$23,0)))</f>
        <v>0</v>
      </c>
      <c r="H239" s="25">
        <f t="shared" si="4"/>
        <v>0</v>
      </c>
      <c r="I239" s="25">
        <f>BDD!G242</f>
        <v>0</v>
      </c>
      <c r="J239" s="25">
        <f>SUMPRODUCT(BDD!H242:AS242,'ButsMPG + Var'!$B$46:$AM$46)</f>
        <v>0</v>
      </c>
      <c r="K239" s="25" t="e">
        <f>10*('ButsMPG + Var'!$H$37*J239/MAX(J:J)+'ButsMPG + Var'!$G$37*H239/MAX(H:H))</f>
        <v>#DIV/0!</v>
      </c>
      <c r="L239" s="1">
        <f>IF(ISNA(VLOOKUP(B239,PrixMini!$B$3:$E$573,4,FALSE)),1,VLOOKUP(B239,PrixMini!$B$3:$E$573,4,FALSE))</f>
        <v>1</v>
      </c>
      <c r="M239" s="25" t="e">
        <f>IF(ROUND(CalculCotation!$D$3*EXP(CalculCotation!$C$3*K239)-CalculCotation!$D$3+1,0)&gt;L239,ROUND(CalculCotation!$D$3*EXP(CalculCotation!$C$3*K239)-CalculCotation!$D$3+1,0),L239)</f>
        <v>#DIV/0!</v>
      </c>
    </row>
    <row r="240" spans="2:13" x14ac:dyDescent="0.3">
      <c r="B240" s="1">
        <f>BDD!C243</f>
        <v>0</v>
      </c>
      <c r="C240" s="1">
        <f>BDD!B243</f>
        <v>0</v>
      </c>
      <c r="D240" s="1">
        <f>BDD!A243</f>
        <v>0</v>
      </c>
      <c r="E240" s="1">
        <f>BDD!D243</f>
        <v>0</v>
      </c>
      <c r="F240" s="1">
        <f>BDD!F243</f>
        <v>0</v>
      </c>
      <c r="G240" s="25">
        <f>'ButsMPG + Var'!$I$39*IF(C240="A",COUNTIF(BDD!H243:AR243,10)*'ButsMPG + Var'!$K$12+COUNTIF(BDD!H243:AR243,9)*'ButsMPG + Var'!$K$11+COUNTIF(BDD!H243:AR243,8)*'ButsMPG + Var'!$K$10+COUNTIF(BDD!H243:AR243,7)*'ButsMPG + Var'!$K$9+COUNTIF(BDD!H243:AR243,6)*'ButsMPG + Var'!$K$8+COUNTIF(BDD!H243:AR243,5)*'ButsMPG + Var'!$K$7+COUNTIF(BDD!H243:AR243,4)*'ButsMPG + Var'!$K$6+COUNTIF(BDD!H243:AR243,3)*'ButsMPG + Var'!$K$5+COUNTIF(BDD!H243:AR243,2)*'ButsMPG + Var'!$K$4+COUNTIF(BDD!H243:AR243,1)*'ButsMPG + Var'!$K$3,IF(C240="M",COUNTIF(BDD!H243:AR243,10)*'ButsMPG + Var'!$K$22+COUNTIF(BDD!H243:AR243,9)*'ButsMPG + Var'!$K$21+COUNTIF(BDD!H243:AR243,8)*'ButsMPG + Var'!$K$20+COUNTIF(BDD!H243:AR243,7)*'ButsMPG + Var'!$K$19+COUNTIF(BDD!H243:AR243,6)*'ButsMPG + Var'!$K$18+COUNTIF(BDD!H243:AR243,5)*'ButsMPG + Var'!$K$17+COUNTIF(BDD!H243:AR243,4)*'ButsMPG + Var'!$K$16+COUNTIF(BDD!H243:AR243,3)*'ButsMPG + Var'!$K$15+COUNTIF(BDD!H243:AR243,2)*'ButsMPG + Var'!$K$14+COUNTIF(BDD!H243:AR243,1)*'ButsMPG + Var'!$K$13,IF(C240="D",COUNTIF(BDD!H243:AR243,10)*'ButsMPG + Var'!$K$32+COUNTIF(BDD!H243:AR243,9)*'ButsMPG + Var'!$K$31+COUNTIF(BDD!H243:AR243,8)*'ButsMPG + Var'!$K$30+COUNTIF(BDD!H243:AR243,7)*'ButsMPG + Var'!$K$29+COUNTIF(BDD!H243:AR243,6)*'ButsMPG + Var'!$K$28+COUNTIF(BDD!H243:AR243,5)*'ButsMPG + Var'!$K$27+COUNTIF(BDD!H243:AR243,4)*'ButsMPG + Var'!$K$26+COUNTIF(BDD!H243:AR243,3)*'ButsMPG + Var'!$K$25+COUNTIF(BDD!H243:AR243,2)*'ButsMPG + Var'!$K$24+COUNTIF(BDD!H243:AR243,1)*'ButsMPG + Var'!$K$23,0)))</f>
        <v>0</v>
      </c>
      <c r="H240" s="25">
        <f t="shared" si="4"/>
        <v>0</v>
      </c>
      <c r="I240" s="25">
        <f>BDD!G243</f>
        <v>0</v>
      </c>
      <c r="J240" s="25">
        <f>SUMPRODUCT(BDD!H243:AS243,'ButsMPG + Var'!$B$46:$AM$46)</f>
        <v>0</v>
      </c>
      <c r="K240" s="25" t="e">
        <f>10*('ButsMPG + Var'!$H$37*J240/MAX(J:J)+'ButsMPG + Var'!$G$37*H240/MAX(H:H))</f>
        <v>#DIV/0!</v>
      </c>
      <c r="L240" s="1">
        <f>IF(ISNA(VLOOKUP(B240,PrixMini!$B$3:$E$573,4,FALSE)),1,VLOOKUP(B240,PrixMini!$B$3:$E$573,4,FALSE))</f>
        <v>1</v>
      </c>
      <c r="M240" s="25" t="e">
        <f>IF(ROUND(CalculCotation!$D$3*EXP(CalculCotation!$C$3*K240)-CalculCotation!$D$3+1,0)&gt;L240,ROUND(CalculCotation!$D$3*EXP(CalculCotation!$C$3*K240)-CalculCotation!$D$3+1,0),L240)</f>
        <v>#DIV/0!</v>
      </c>
    </row>
    <row r="241" spans="2:13" x14ac:dyDescent="0.3">
      <c r="B241" s="1">
        <f>BDD!C244</f>
        <v>0</v>
      </c>
      <c r="C241" s="1">
        <f>BDD!B244</f>
        <v>0</v>
      </c>
      <c r="D241" s="1">
        <f>BDD!A244</f>
        <v>0</v>
      </c>
      <c r="E241" s="1">
        <f>BDD!D244</f>
        <v>0</v>
      </c>
      <c r="F241" s="1">
        <f>BDD!F244</f>
        <v>0</v>
      </c>
      <c r="G241" s="25">
        <f>'ButsMPG + Var'!$I$39*IF(C241="A",COUNTIF(BDD!H244:AR244,10)*'ButsMPG + Var'!$K$12+COUNTIF(BDD!H244:AR244,9)*'ButsMPG + Var'!$K$11+COUNTIF(BDD!H244:AR244,8)*'ButsMPG + Var'!$K$10+COUNTIF(BDD!H244:AR244,7)*'ButsMPG + Var'!$K$9+COUNTIF(BDD!H244:AR244,6)*'ButsMPG + Var'!$K$8+COUNTIF(BDD!H244:AR244,5)*'ButsMPG + Var'!$K$7+COUNTIF(BDD!H244:AR244,4)*'ButsMPG + Var'!$K$6+COUNTIF(BDD!H244:AR244,3)*'ButsMPG + Var'!$K$5+COUNTIF(BDD!H244:AR244,2)*'ButsMPG + Var'!$K$4+COUNTIF(BDD!H244:AR244,1)*'ButsMPG + Var'!$K$3,IF(C241="M",COUNTIF(BDD!H244:AR244,10)*'ButsMPG + Var'!$K$22+COUNTIF(BDD!H244:AR244,9)*'ButsMPG + Var'!$K$21+COUNTIF(BDD!H244:AR244,8)*'ButsMPG + Var'!$K$20+COUNTIF(BDD!H244:AR244,7)*'ButsMPG + Var'!$K$19+COUNTIF(BDD!H244:AR244,6)*'ButsMPG + Var'!$K$18+COUNTIF(BDD!H244:AR244,5)*'ButsMPG + Var'!$K$17+COUNTIF(BDD!H244:AR244,4)*'ButsMPG + Var'!$K$16+COUNTIF(BDD!H244:AR244,3)*'ButsMPG + Var'!$K$15+COUNTIF(BDD!H244:AR244,2)*'ButsMPG + Var'!$K$14+COUNTIF(BDD!H244:AR244,1)*'ButsMPG + Var'!$K$13,IF(C241="D",COUNTIF(BDD!H244:AR244,10)*'ButsMPG + Var'!$K$32+COUNTIF(BDD!H244:AR244,9)*'ButsMPG + Var'!$K$31+COUNTIF(BDD!H244:AR244,8)*'ButsMPG + Var'!$K$30+COUNTIF(BDD!H244:AR244,7)*'ButsMPG + Var'!$K$29+COUNTIF(BDD!H244:AR244,6)*'ButsMPG + Var'!$K$28+COUNTIF(BDD!H244:AR244,5)*'ButsMPG + Var'!$K$27+COUNTIF(BDD!H244:AR244,4)*'ButsMPG + Var'!$K$26+COUNTIF(BDD!H244:AR244,3)*'ButsMPG + Var'!$K$25+COUNTIF(BDD!H244:AR244,2)*'ButsMPG + Var'!$K$24+COUNTIF(BDD!H244:AR244,1)*'ButsMPG + Var'!$K$23,0)))</f>
        <v>0</v>
      </c>
      <c r="H241" s="25">
        <f t="shared" si="4"/>
        <v>0</v>
      </c>
      <c r="I241" s="25">
        <f>BDD!G244</f>
        <v>0</v>
      </c>
      <c r="J241" s="25">
        <f>SUMPRODUCT(BDD!H244:AS244,'ButsMPG + Var'!$B$46:$AM$46)</f>
        <v>0</v>
      </c>
      <c r="K241" s="25" t="e">
        <f>10*('ButsMPG + Var'!$H$37*J241/MAX(J:J)+'ButsMPG + Var'!$G$37*H241/MAX(H:H))</f>
        <v>#DIV/0!</v>
      </c>
      <c r="L241" s="1">
        <f>IF(ISNA(VLOOKUP(B241,PrixMini!$B$3:$E$573,4,FALSE)),1,VLOOKUP(B241,PrixMini!$B$3:$E$573,4,FALSE))</f>
        <v>1</v>
      </c>
      <c r="M241" s="25" t="e">
        <f>IF(ROUND(CalculCotation!$D$3*EXP(CalculCotation!$C$3*K241)-CalculCotation!$D$3+1,0)&gt;L241,ROUND(CalculCotation!$D$3*EXP(CalculCotation!$C$3*K241)-CalculCotation!$D$3+1,0),L241)</f>
        <v>#DIV/0!</v>
      </c>
    </row>
    <row r="242" spans="2:13" x14ac:dyDescent="0.3">
      <c r="B242" s="1">
        <f>BDD!C245</f>
        <v>0</v>
      </c>
      <c r="C242" s="1">
        <f>BDD!B245</f>
        <v>0</v>
      </c>
      <c r="D242" s="1">
        <f>BDD!A245</f>
        <v>0</v>
      </c>
      <c r="E242" s="1">
        <f>BDD!D245</f>
        <v>0</v>
      </c>
      <c r="F242" s="1">
        <f>BDD!F245</f>
        <v>0</v>
      </c>
      <c r="G242" s="25">
        <f>'ButsMPG + Var'!$I$39*IF(C242="A",COUNTIF(BDD!H245:AR245,10)*'ButsMPG + Var'!$K$12+COUNTIF(BDD!H245:AR245,9)*'ButsMPG + Var'!$K$11+COUNTIF(BDD!H245:AR245,8)*'ButsMPG + Var'!$K$10+COUNTIF(BDD!H245:AR245,7)*'ButsMPG + Var'!$K$9+COUNTIF(BDD!H245:AR245,6)*'ButsMPG + Var'!$K$8+COUNTIF(BDD!H245:AR245,5)*'ButsMPG + Var'!$K$7+COUNTIF(BDD!H245:AR245,4)*'ButsMPG + Var'!$K$6+COUNTIF(BDD!H245:AR245,3)*'ButsMPG + Var'!$K$5+COUNTIF(BDD!H245:AR245,2)*'ButsMPG + Var'!$K$4+COUNTIF(BDD!H245:AR245,1)*'ButsMPG + Var'!$K$3,IF(C242="M",COUNTIF(BDD!H245:AR245,10)*'ButsMPG + Var'!$K$22+COUNTIF(BDD!H245:AR245,9)*'ButsMPG + Var'!$K$21+COUNTIF(BDD!H245:AR245,8)*'ButsMPG + Var'!$K$20+COUNTIF(BDD!H245:AR245,7)*'ButsMPG + Var'!$K$19+COUNTIF(BDD!H245:AR245,6)*'ButsMPG + Var'!$K$18+COUNTIF(BDD!H245:AR245,5)*'ButsMPG + Var'!$K$17+COUNTIF(BDD!H245:AR245,4)*'ButsMPG + Var'!$K$16+COUNTIF(BDD!H245:AR245,3)*'ButsMPG + Var'!$K$15+COUNTIF(BDD!H245:AR245,2)*'ButsMPG + Var'!$K$14+COUNTIF(BDD!H245:AR245,1)*'ButsMPG + Var'!$K$13,IF(C242="D",COUNTIF(BDD!H245:AR245,10)*'ButsMPG + Var'!$K$32+COUNTIF(BDD!H245:AR245,9)*'ButsMPG + Var'!$K$31+COUNTIF(BDD!H245:AR245,8)*'ButsMPG + Var'!$K$30+COUNTIF(BDD!H245:AR245,7)*'ButsMPG + Var'!$K$29+COUNTIF(BDD!H245:AR245,6)*'ButsMPG + Var'!$K$28+COUNTIF(BDD!H245:AR245,5)*'ButsMPG + Var'!$K$27+COUNTIF(BDD!H245:AR245,4)*'ButsMPG + Var'!$K$26+COUNTIF(BDD!H245:AR245,3)*'ButsMPG + Var'!$K$25+COUNTIF(BDD!H245:AR245,2)*'ButsMPG + Var'!$K$24+COUNTIF(BDD!H245:AR245,1)*'ButsMPG + Var'!$K$23,0)))</f>
        <v>0</v>
      </c>
      <c r="H242" s="25">
        <f t="shared" si="4"/>
        <v>0</v>
      </c>
      <c r="I242" s="25">
        <f>BDD!G245</f>
        <v>0</v>
      </c>
      <c r="J242" s="25">
        <f>SUMPRODUCT(BDD!H245:AS245,'ButsMPG + Var'!$B$46:$AM$46)</f>
        <v>0</v>
      </c>
      <c r="K242" s="25" t="e">
        <f>10*('ButsMPG + Var'!$H$37*J242/MAX(J:J)+'ButsMPG + Var'!$G$37*H242/MAX(H:H))</f>
        <v>#DIV/0!</v>
      </c>
      <c r="L242" s="1">
        <f>IF(ISNA(VLOOKUP(B242,PrixMini!$B$3:$E$573,4,FALSE)),1,VLOOKUP(B242,PrixMini!$B$3:$E$573,4,FALSE))</f>
        <v>1</v>
      </c>
      <c r="M242" s="25" t="e">
        <f>IF(ROUND(CalculCotation!$D$3*EXP(CalculCotation!$C$3*K242)-CalculCotation!$D$3+1,0)&gt;L242,ROUND(CalculCotation!$D$3*EXP(CalculCotation!$C$3*K242)-CalculCotation!$D$3+1,0),L242)</f>
        <v>#DIV/0!</v>
      </c>
    </row>
    <row r="243" spans="2:13" x14ac:dyDescent="0.3">
      <c r="B243" s="1">
        <f>BDD!C246</f>
        <v>0</v>
      </c>
      <c r="C243" s="1">
        <f>BDD!B246</f>
        <v>0</v>
      </c>
      <c r="D243" s="1">
        <f>BDD!A246</f>
        <v>0</v>
      </c>
      <c r="E243" s="1">
        <f>BDD!D246</f>
        <v>0</v>
      </c>
      <c r="F243" s="1">
        <f>BDD!F246</f>
        <v>0</v>
      </c>
      <c r="G243" s="25">
        <f>'ButsMPG + Var'!$I$39*IF(C243="A",COUNTIF(BDD!H246:AR246,10)*'ButsMPG + Var'!$K$12+COUNTIF(BDD!H246:AR246,9)*'ButsMPG + Var'!$K$11+COUNTIF(BDD!H246:AR246,8)*'ButsMPG + Var'!$K$10+COUNTIF(BDD!H246:AR246,7)*'ButsMPG + Var'!$K$9+COUNTIF(BDD!H246:AR246,6)*'ButsMPG + Var'!$K$8+COUNTIF(BDD!H246:AR246,5)*'ButsMPG + Var'!$K$7+COUNTIF(BDD!H246:AR246,4)*'ButsMPG + Var'!$K$6+COUNTIF(BDD!H246:AR246,3)*'ButsMPG + Var'!$K$5+COUNTIF(BDD!H246:AR246,2)*'ButsMPG + Var'!$K$4+COUNTIF(BDD!H246:AR246,1)*'ButsMPG + Var'!$K$3,IF(C243="M",COUNTIF(BDD!H246:AR246,10)*'ButsMPG + Var'!$K$22+COUNTIF(BDD!H246:AR246,9)*'ButsMPG + Var'!$K$21+COUNTIF(BDD!H246:AR246,8)*'ButsMPG + Var'!$K$20+COUNTIF(BDD!H246:AR246,7)*'ButsMPG + Var'!$K$19+COUNTIF(BDD!H246:AR246,6)*'ButsMPG + Var'!$K$18+COUNTIF(BDD!H246:AR246,5)*'ButsMPG + Var'!$K$17+COUNTIF(BDD!H246:AR246,4)*'ButsMPG + Var'!$K$16+COUNTIF(BDD!H246:AR246,3)*'ButsMPG + Var'!$K$15+COUNTIF(BDD!H246:AR246,2)*'ButsMPG + Var'!$K$14+COUNTIF(BDD!H246:AR246,1)*'ButsMPG + Var'!$K$13,IF(C243="D",COUNTIF(BDD!H246:AR246,10)*'ButsMPG + Var'!$K$32+COUNTIF(BDD!H246:AR246,9)*'ButsMPG + Var'!$K$31+COUNTIF(BDD!H246:AR246,8)*'ButsMPG + Var'!$K$30+COUNTIF(BDD!H246:AR246,7)*'ButsMPG + Var'!$K$29+COUNTIF(BDD!H246:AR246,6)*'ButsMPG + Var'!$K$28+COUNTIF(BDD!H246:AR246,5)*'ButsMPG + Var'!$K$27+COUNTIF(BDD!H246:AR246,4)*'ButsMPG + Var'!$K$26+COUNTIF(BDD!H246:AR246,3)*'ButsMPG + Var'!$K$25+COUNTIF(BDD!H246:AR246,2)*'ButsMPG + Var'!$K$24+COUNTIF(BDD!H246:AR246,1)*'ButsMPG + Var'!$K$23,0)))</f>
        <v>0</v>
      </c>
      <c r="H243" s="25">
        <f t="shared" si="4"/>
        <v>0</v>
      </c>
      <c r="I243" s="25">
        <f>BDD!G246</f>
        <v>0</v>
      </c>
      <c r="J243" s="25">
        <f>SUMPRODUCT(BDD!H246:AS246,'ButsMPG + Var'!$B$46:$AM$46)</f>
        <v>0</v>
      </c>
      <c r="K243" s="25" t="e">
        <f>10*('ButsMPG + Var'!$H$37*J243/MAX(J:J)+'ButsMPG + Var'!$G$37*H243/MAX(H:H))</f>
        <v>#DIV/0!</v>
      </c>
      <c r="L243" s="1">
        <f>IF(ISNA(VLOOKUP(B243,PrixMini!$B$3:$E$573,4,FALSE)),1,VLOOKUP(B243,PrixMini!$B$3:$E$573,4,FALSE))</f>
        <v>1</v>
      </c>
      <c r="M243" s="25" t="e">
        <f>IF(ROUND(CalculCotation!$D$3*EXP(CalculCotation!$C$3*K243)-CalculCotation!$D$3+1,0)&gt;L243,ROUND(CalculCotation!$D$3*EXP(CalculCotation!$C$3*K243)-CalculCotation!$D$3+1,0),L243)</f>
        <v>#DIV/0!</v>
      </c>
    </row>
    <row r="244" spans="2:13" x14ac:dyDescent="0.3">
      <c r="B244" s="1">
        <f>BDD!C247</f>
        <v>0</v>
      </c>
      <c r="C244" s="1">
        <f>BDD!B247</f>
        <v>0</v>
      </c>
      <c r="D244" s="1">
        <f>BDD!A247</f>
        <v>0</v>
      </c>
      <c r="E244" s="1">
        <f>BDD!D247</f>
        <v>0</v>
      </c>
      <c r="F244" s="1">
        <f>BDD!F247</f>
        <v>0</v>
      </c>
      <c r="G244" s="25">
        <f>'ButsMPG + Var'!$I$39*IF(C244="A",COUNTIF(BDD!H247:AR247,10)*'ButsMPG + Var'!$K$12+COUNTIF(BDD!H247:AR247,9)*'ButsMPG + Var'!$K$11+COUNTIF(BDD!H247:AR247,8)*'ButsMPG + Var'!$K$10+COUNTIF(BDD!H247:AR247,7)*'ButsMPG + Var'!$K$9+COUNTIF(BDD!H247:AR247,6)*'ButsMPG + Var'!$K$8+COUNTIF(BDD!H247:AR247,5)*'ButsMPG + Var'!$K$7+COUNTIF(BDD!H247:AR247,4)*'ButsMPG + Var'!$K$6+COUNTIF(BDD!H247:AR247,3)*'ButsMPG + Var'!$K$5+COUNTIF(BDD!H247:AR247,2)*'ButsMPG + Var'!$K$4+COUNTIF(BDD!H247:AR247,1)*'ButsMPG + Var'!$K$3,IF(C244="M",COUNTIF(BDD!H247:AR247,10)*'ButsMPG + Var'!$K$22+COUNTIF(BDD!H247:AR247,9)*'ButsMPG + Var'!$K$21+COUNTIF(BDD!H247:AR247,8)*'ButsMPG + Var'!$K$20+COUNTIF(BDD!H247:AR247,7)*'ButsMPG + Var'!$K$19+COUNTIF(BDD!H247:AR247,6)*'ButsMPG + Var'!$K$18+COUNTIF(BDD!H247:AR247,5)*'ButsMPG + Var'!$K$17+COUNTIF(BDD!H247:AR247,4)*'ButsMPG + Var'!$K$16+COUNTIF(BDD!H247:AR247,3)*'ButsMPG + Var'!$K$15+COUNTIF(BDD!H247:AR247,2)*'ButsMPG + Var'!$K$14+COUNTIF(BDD!H247:AR247,1)*'ButsMPG + Var'!$K$13,IF(C244="D",COUNTIF(BDD!H247:AR247,10)*'ButsMPG + Var'!$K$32+COUNTIF(BDD!H247:AR247,9)*'ButsMPG + Var'!$K$31+COUNTIF(BDD!H247:AR247,8)*'ButsMPG + Var'!$K$30+COUNTIF(BDD!H247:AR247,7)*'ButsMPG + Var'!$K$29+COUNTIF(BDD!H247:AR247,6)*'ButsMPG + Var'!$K$28+COUNTIF(BDD!H247:AR247,5)*'ButsMPG + Var'!$K$27+COUNTIF(BDD!H247:AR247,4)*'ButsMPG + Var'!$K$26+COUNTIF(BDD!H247:AR247,3)*'ButsMPG + Var'!$K$25+COUNTIF(BDD!H247:AR247,2)*'ButsMPG + Var'!$K$24+COUNTIF(BDD!H247:AR247,1)*'ButsMPG + Var'!$K$23,0)))</f>
        <v>0</v>
      </c>
      <c r="H244" s="25">
        <f t="shared" si="4"/>
        <v>0</v>
      </c>
      <c r="I244" s="25">
        <f>BDD!G247</f>
        <v>0</v>
      </c>
      <c r="J244" s="25">
        <f>SUMPRODUCT(BDD!H247:AS247,'ButsMPG + Var'!$B$46:$AM$46)</f>
        <v>0</v>
      </c>
      <c r="K244" s="25" t="e">
        <f>10*('ButsMPG + Var'!$H$37*J244/MAX(J:J)+'ButsMPG + Var'!$G$37*H244/MAX(H:H))</f>
        <v>#DIV/0!</v>
      </c>
      <c r="L244" s="1">
        <f>IF(ISNA(VLOOKUP(B244,PrixMini!$B$3:$E$573,4,FALSE)),1,VLOOKUP(B244,PrixMini!$B$3:$E$573,4,FALSE))</f>
        <v>1</v>
      </c>
      <c r="M244" s="25" t="e">
        <f>IF(ROUND(CalculCotation!$D$3*EXP(CalculCotation!$C$3*K244)-CalculCotation!$D$3+1,0)&gt;L244,ROUND(CalculCotation!$D$3*EXP(CalculCotation!$C$3*K244)-CalculCotation!$D$3+1,0),L244)</f>
        <v>#DIV/0!</v>
      </c>
    </row>
    <row r="245" spans="2:13" x14ac:dyDescent="0.3">
      <c r="B245" s="1">
        <f>BDD!C248</f>
        <v>0</v>
      </c>
      <c r="C245" s="1">
        <f>BDD!B248</f>
        <v>0</v>
      </c>
      <c r="D245" s="1">
        <f>BDD!A248</f>
        <v>0</v>
      </c>
      <c r="E245" s="1">
        <f>BDD!D248</f>
        <v>0</v>
      </c>
      <c r="F245" s="1">
        <f>BDD!F248</f>
        <v>0</v>
      </c>
      <c r="G245" s="25">
        <f>'ButsMPG + Var'!$I$39*IF(C245="A",COUNTIF(BDD!H248:AR248,10)*'ButsMPG + Var'!$K$12+COUNTIF(BDD!H248:AR248,9)*'ButsMPG + Var'!$K$11+COUNTIF(BDD!H248:AR248,8)*'ButsMPG + Var'!$K$10+COUNTIF(BDD!H248:AR248,7)*'ButsMPG + Var'!$K$9+COUNTIF(BDD!H248:AR248,6)*'ButsMPG + Var'!$K$8+COUNTIF(BDD!H248:AR248,5)*'ButsMPG + Var'!$K$7+COUNTIF(BDD!H248:AR248,4)*'ButsMPG + Var'!$K$6+COUNTIF(BDD!H248:AR248,3)*'ButsMPG + Var'!$K$5+COUNTIF(BDD!H248:AR248,2)*'ButsMPG + Var'!$K$4+COUNTIF(BDD!H248:AR248,1)*'ButsMPG + Var'!$K$3,IF(C245="M",COUNTIF(BDD!H248:AR248,10)*'ButsMPG + Var'!$K$22+COUNTIF(BDD!H248:AR248,9)*'ButsMPG + Var'!$K$21+COUNTIF(BDD!H248:AR248,8)*'ButsMPG + Var'!$K$20+COUNTIF(BDD!H248:AR248,7)*'ButsMPG + Var'!$K$19+COUNTIF(BDD!H248:AR248,6)*'ButsMPG + Var'!$K$18+COUNTIF(BDD!H248:AR248,5)*'ButsMPG + Var'!$K$17+COUNTIF(BDD!H248:AR248,4)*'ButsMPG + Var'!$K$16+COUNTIF(BDD!H248:AR248,3)*'ButsMPG + Var'!$K$15+COUNTIF(BDD!H248:AR248,2)*'ButsMPG + Var'!$K$14+COUNTIF(BDD!H248:AR248,1)*'ButsMPG + Var'!$K$13,IF(C245="D",COUNTIF(BDD!H248:AR248,10)*'ButsMPG + Var'!$K$32+COUNTIF(BDD!H248:AR248,9)*'ButsMPG + Var'!$K$31+COUNTIF(BDD!H248:AR248,8)*'ButsMPG + Var'!$K$30+COUNTIF(BDD!H248:AR248,7)*'ButsMPG + Var'!$K$29+COUNTIF(BDD!H248:AR248,6)*'ButsMPG + Var'!$K$28+COUNTIF(BDD!H248:AR248,5)*'ButsMPG + Var'!$K$27+COUNTIF(BDD!H248:AR248,4)*'ButsMPG + Var'!$K$26+COUNTIF(BDD!H248:AR248,3)*'ButsMPG + Var'!$K$25+COUNTIF(BDD!H248:AR248,2)*'ButsMPG + Var'!$K$24+COUNTIF(BDD!H248:AR248,1)*'ButsMPG + Var'!$K$23,0)))</f>
        <v>0</v>
      </c>
      <c r="H245" s="25">
        <f t="shared" si="4"/>
        <v>0</v>
      </c>
      <c r="I245" s="25">
        <f>BDD!G248</f>
        <v>0</v>
      </c>
      <c r="J245" s="25">
        <f>SUMPRODUCT(BDD!H248:AS248,'ButsMPG + Var'!$B$46:$AM$46)</f>
        <v>0</v>
      </c>
      <c r="K245" s="25" t="e">
        <f>10*('ButsMPG + Var'!$H$37*J245/MAX(J:J)+'ButsMPG + Var'!$G$37*H245/MAX(H:H))</f>
        <v>#DIV/0!</v>
      </c>
      <c r="L245" s="1">
        <f>IF(ISNA(VLOOKUP(B245,PrixMini!$B$3:$E$573,4,FALSE)),1,VLOOKUP(B245,PrixMini!$B$3:$E$573,4,FALSE))</f>
        <v>1</v>
      </c>
      <c r="M245" s="25" t="e">
        <f>IF(ROUND(CalculCotation!$D$3*EXP(CalculCotation!$C$3*K245)-CalculCotation!$D$3+1,0)&gt;L245,ROUND(CalculCotation!$D$3*EXP(CalculCotation!$C$3*K245)-CalculCotation!$D$3+1,0),L245)</f>
        <v>#DIV/0!</v>
      </c>
    </row>
    <row r="246" spans="2:13" x14ac:dyDescent="0.3">
      <c r="B246" s="1">
        <f>BDD!C249</f>
        <v>0</v>
      </c>
      <c r="C246" s="1">
        <f>BDD!B249</f>
        <v>0</v>
      </c>
      <c r="D246" s="1">
        <f>BDD!A249</f>
        <v>0</v>
      </c>
      <c r="E246" s="1">
        <f>BDD!D249</f>
        <v>0</v>
      </c>
      <c r="F246" s="1">
        <f>BDD!F249</f>
        <v>0</v>
      </c>
      <c r="G246" s="25">
        <f>'ButsMPG + Var'!$I$39*IF(C246="A",COUNTIF(BDD!H249:AR249,10)*'ButsMPG + Var'!$K$12+COUNTIF(BDD!H249:AR249,9)*'ButsMPG + Var'!$K$11+COUNTIF(BDD!H249:AR249,8)*'ButsMPG + Var'!$K$10+COUNTIF(BDD!H249:AR249,7)*'ButsMPG + Var'!$K$9+COUNTIF(BDD!H249:AR249,6)*'ButsMPG + Var'!$K$8+COUNTIF(BDD!H249:AR249,5)*'ButsMPG + Var'!$K$7+COUNTIF(BDD!H249:AR249,4)*'ButsMPG + Var'!$K$6+COUNTIF(BDD!H249:AR249,3)*'ButsMPG + Var'!$K$5+COUNTIF(BDD!H249:AR249,2)*'ButsMPG + Var'!$K$4+COUNTIF(BDD!H249:AR249,1)*'ButsMPG + Var'!$K$3,IF(C246="M",COUNTIF(BDD!H249:AR249,10)*'ButsMPG + Var'!$K$22+COUNTIF(BDD!H249:AR249,9)*'ButsMPG + Var'!$K$21+COUNTIF(BDD!H249:AR249,8)*'ButsMPG + Var'!$K$20+COUNTIF(BDD!H249:AR249,7)*'ButsMPG + Var'!$K$19+COUNTIF(BDD!H249:AR249,6)*'ButsMPG + Var'!$K$18+COUNTIF(BDD!H249:AR249,5)*'ButsMPG + Var'!$K$17+COUNTIF(BDD!H249:AR249,4)*'ButsMPG + Var'!$K$16+COUNTIF(BDD!H249:AR249,3)*'ButsMPG + Var'!$K$15+COUNTIF(BDD!H249:AR249,2)*'ButsMPG + Var'!$K$14+COUNTIF(BDD!H249:AR249,1)*'ButsMPG + Var'!$K$13,IF(C246="D",COUNTIF(BDD!H249:AR249,10)*'ButsMPG + Var'!$K$32+COUNTIF(BDD!H249:AR249,9)*'ButsMPG + Var'!$K$31+COUNTIF(BDD!H249:AR249,8)*'ButsMPG + Var'!$K$30+COUNTIF(BDD!H249:AR249,7)*'ButsMPG + Var'!$K$29+COUNTIF(BDD!H249:AR249,6)*'ButsMPG + Var'!$K$28+COUNTIF(BDD!H249:AR249,5)*'ButsMPG + Var'!$K$27+COUNTIF(BDD!H249:AR249,4)*'ButsMPG + Var'!$K$26+COUNTIF(BDD!H249:AR249,3)*'ButsMPG + Var'!$K$25+COUNTIF(BDD!H249:AR249,2)*'ButsMPG + Var'!$K$24+COUNTIF(BDD!H249:AR249,1)*'ButsMPG + Var'!$K$23,0)))</f>
        <v>0</v>
      </c>
      <c r="H246" s="25">
        <f t="shared" si="4"/>
        <v>0</v>
      </c>
      <c r="I246" s="25">
        <f>BDD!G249</f>
        <v>0</v>
      </c>
      <c r="J246" s="25">
        <f>SUMPRODUCT(BDD!H249:AS249,'ButsMPG + Var'!$B$46:$AM$46)</f>
        <v>0</v>
      </c>
      <c r="K246" s="25" t="e">
        <f>10*('ButsMPG + Var'!$H$37*J246/MAX(J:J)+'ButsMPG + Var'!$G$37*H246/MAX(H:H))</f>
        <v>#DIV/0!</v>
      </c>
      <c r="L246" s="1">
        <f>IF(ISNA(VLOOKUP(B246,PrixMini!$B$3:$E$573,4,FALSE)),1,VLOOKUP(B246,PrixMini!$B$3:$E$573,4,FALSE))</f>
        <v>1</v>
      </c>
      <c r="M246" s="25" t="e">
        <f>IF(ROUND(CalculCotation!$D$3*EXP(CalculCotation!$C$3*K246)-CalculCotation!$D$3+1,0)&gt;L246,ROUND(CalculCotation!$D$3*EXP(CalculCotation!$C$3*K246)-CalculCotation!$D$3+1,0),L246)</f>
        <v>#DIV/0!</v>
      </c>
    </row>
    <row r="247" spans="2:13" x14ac:dyDescent="0.3">
      <c r="B247" s="1">
        <f>BDD!C250</f>
        <v>0</v>
      </c>
      <c r="C247" s="1">
        <f>BDD!B250</f>
        <v>0</v>
      </c>
      <c r="D247" s="1">
        <f>BDD!A250</f>
        <v>0</v>
      </c>
      <c r="E247" s="1">
        <f>BDD!D250</f>
        <v>0</v>
      </c>
      <c r="F247" s="1">
        <f>BDD!F250</f>
        <v>0</v>
      </c>
      <c r="G247" s="25">
        <f>'ButsMPG + Var'!$I$39*IF(C247="A",COUNTIF(BDD!H250:AR250,10)*'ButsMPG + Var'!$K$12+COUNTIF(BDD!H250:AR250,9)*'ButsMPG + Var'!$K$11+COUNTIF(BDD!H250:AR250,8)*'ButsMPG + Var'!$K$10+COUNTIF(BDD!H250:AR250,7)*'ButsMPG + Var'!$K$9+COUNTIF(BDD!H250:AR250,6)*'ButsMPG + Var'!$K$8+COUNTIF(BDD!H250:AR250,5)*'ButsMPG + Var'!$K$7+COUNTIF(BDD!H250:AR250,4)*'ButsMPG + Var'!$K$6+COUNTIF(BDD!H250:AR250,3)*'ButsMPG + Var'!$K$5+COUNTIF(BDD!H250:AR250,2)*'ButsMPG + Var'!$K$4+COUNTIF(BDD!H250:AR250,1)*'ButsMPG + Var'!$K$3,IF(C247="M",COUNTIF(BDD!H250:AR250,10)*'ButsMPG + Var'!$K$22+COUNTIF(BDD!H250:AR250,9)*'ButsMPG + Var'!$K$21+COUNTIF(BDD!H250:AR250,8)*'ButsMPG + Var'!$K$20+COUNTIF(BDD!H250:AR250,7)*'ButsMPG + Var'!$K$19+COUNTIF(BDD!H250:AR250,6)*'ButsMPG + Var'!$K$18+COUNTIF(BDD!H250:AR250,5)*'ButsMPG + Var'!$K$17+COUNTIF(BDD!H250:AR250,4)*'ButsMPG + Var'!$K$16+COUNTIF(BDD!H250:AR250,3)*'ButsMPG + Var'!$K$15+COUNTIF(BDD!H250:AR250,2)*'ButsMPG + Var'!$K$14+COUNTIF(BDD!H250:AR250,1)*'ButsMPG + Var'!$K$13,IF(C247="D",COUNTIF(BDD!H250:AR250,10)*'ButsMPG + Var'!$K$32+COUNTIF(BDD!H250:AR250,9)*'ButsMPG + Var'!$K$31+COUNTIF(BDD!H250:AR250,8)*'ButsMPG + Var'!$K$30+COUNTIF(BDD!H250:AR250,7)*'ButsMPG + Var'!$K$29+COUNTIF(BDD!H250:AR250,6)*'ButsMPG + Var'!$K$28+COUNTIF(BDD!H250:AR250,5)*'ButsMPG + Var'!$K$27+COUNTIF(BDD!H250:AR250,4)*'ButsMPG + Var'!$K$26+COUNTIF(BDD!H250:AR250,3)*'ButsMPG + Var'!$K$25+COUNTIF(BDD!H250:AR250,2)*'ButsMPG + Var'!$K$24+COUNTIF(BDD!H250:AR250,1)*'ButsMPG + Var'!$K$23,0)))</f>
        <v>0</v>
      </c>
      <c r="H247" s="25">
        <f t="shared" si="4"/>
        <v>0</v>
      </c>
      <c r="I247" s="25">
        <f>BDD!G250</f>
        <v>0</v>
      </c>
      <c r="J247" s="25">
        <f>SUMPRODUCT(BDD!H250:AS250,'ButsMPG + Var'!$B$46:$AM$46)</f>
        <v>0</v>
      </c>
      <c r="K247" s="25" t="e">
        <f>10*('ButsMPG + Var'!$H$37*J247/MAX(J:J)+'ButsMPG + Var'!$G$37*H247/MAX(H:H))</f>
        <v>#DIV/0!</v>
      </c>
      <c r="L247" s="1">
        <f>IF(ISNA(VLOOKUP(B247,PrixMini!$B$3:$E$573,4,FALSE)),1,VLOOKUP(B247,PrixMini!$B$3:$E$573,4,FALSE))</f>
        <v>1</v>
      </c>
      <c r="M247" s="25" t="e">
        <f>IF(ROUND(CalculCotation!$D$3*EXP(CalculCotation!$C$3*K247)-CalculCotation!$D$3+1,0)&gt;L247,ROUND(CalculCotation!$D$3*EXP(CalculCotation!$C$3*K247)-CalculCotation!$D$3+1,0),L247)</f>
        <v>#DIV/0!</v>
      </c>
    </row>
    <row r="248" spans="2:13" x14ac:dyDescent="0.3">
      <c r="B248" s="1">
        <f>BDD!C251</f>
        <v>0</v>
      </c>
      <c r="C248" s="1">
        <f>BDD!B251</f>
        <v>0</v>
      </c>
      <c r="D248" s="1">
        <f>BDD!A251</f>
        <v>0</v>
      </c>
      <c r="E248" s="1">
        <f>BDD!D251</f>
        <v>0</v>
      </c>
      <c r="F248" s="1">
        <f>BDD!F251</f>
        <v>0</v>
      </c>
      <c r="G248" s="25">
        <f>'ButsMPG + Var'!$I$39*IF(C248="A",COUNTIF(BDD!H251:AR251,10)*'ButsMPG + Var'!$K$12+COUNTIF(BDD!H251:AR251,9)*'ButsMPG + Var'!$K$11+COUNTIF(BDD!H251:AR251,8)*'ButsMPG + Var'!$K$10+COUNTIF(BDD!H251:AR251,7)*'ButsMPG + Var'!$K$9+COUNTIF(BDD!H251:AR251,6)*'ButsMPG + Var'!$K$8+COUNTIF(BDD!H251:AR251,5)*'ButsMPG + Var'!$K$7+COUNTIF(BDD!H251:AR251,4)*'ButsMPG + Var'!$K$6+COUNTIF(BDD!H251:AR251,3)*'ButsMPG + Var'!$K$5+COUNTIF(BDD!H251:AR251,2)*'ButsMPG + Var'!$K$4+COUNTIF(BDD!H251:AR251,1)*'ButsMPG + Var'!$K$3,IF(C248="M",COUNTIF(BDD!H251:AR251,10)*'ButsMPG + Var'!$K$22+COUNTIF(BDD!H251:AR251,9)*'ButsMPG + Var'!$K$21+COUNTIF(BDD!H251:AR251,8)*'ButsMPG + Var'!$K$20+COUNTIF(BDD!H251:AR251,7)*'ButsMPG + Var'!$K$19+COUNTIF(BDD!H251:AR251,6)*'ButsMPG + Var'!$K$18+COUNTIF(BDD!H251:AR251,5)*'ButsMPG + Var'!$K$17+COUNTIF(BDD!H251:AR251,4)*'ButsMPG + Var'!$K$16+COUNTIF(BDD!H251:AR251,3)*'ButsMPG + Var'!$K$15+COUNTIF(BDD!H251:AR251,2)*'ButsMPG + Var'!$K$14+COUNTIF(BDD!H251:AR251,1)*'ButsMPG + Var'!$K$13,IF(C248="D",COUNTIF(BDD!H251:AR251,10)*'ButsMPG + Var'!$K$32+COUNTIF(BDD!H251:AR251,9)*'ButsMPG + Var'!$K$31+COUNTIF(BDD!H251:AR251,8)*'ButsMPG + Var'!$K$30+COUNTIF(BDD!H251:AR251,7)*'ButsMPG + Var'!$K$29+COUNTIF(BDD!H251:AR251,6)*'ButsMPG + Var'!$K$28+COUNTIF(BDD!H251:AR251,5)*'ButsMPG + Var'!$K$27+COUNTIF(BDD!H251:AR251,4)*'ButsMPG + Var'!$K$26+COUNTIF(BDD!H251:AR251,3)*'ButsMPG + Var'!$K$25+COUNTIF(BDD!H251:AR251,2)*'ButsMPG + Var'!$K$24+COUNTIF(BDD!H251:AR251,1)*'ButsMPG + Var'!$K$23,0)))</f>
        <v>0</v>
      </c>
      <c r="H248" s="25">
        <f t="shared" si="4"/>
        <v>0</v>
      </c>
      <c r="I248" s="25">
        <f>BDD!G251</f>
        <v>0</v>
      </c>
      <c r="J248" s="25">
        <f>SUMPRODUCT(BDD!H251:AS251,'ButsMPG + Var'!$B$46:$AM$46)</f>
        <v>0</v>
      </c>
      <c r="K248" s="25" t="e">
        <f>10*('ButsMPG + Var'!$H$37*J248/MAX(J:J)+'ButsMPG + Var'!$G$37*H248/MAX(H:H))</f>
        <v>#DIV/0!</v>
      </c>
      <c r="L248" s="1">
        <f>IF(ISNA(VLOOKUP(B248,PrixMini!$B$3:$E$573,4,FALSE)),1,VLOOKUP(B248,PrixMini!$B$3:$E$573,4,FALSE))</f>
        <v>1</v>
      </c>
      <c r="M248" s="25" t="e">
        <f>IF(ROUND(CalculCotation!$D$3*EXP(CalculCotation!$C$3*K248)-CalculCotation!$D$3+1,0)&gt;L248,ROUND(CalculCotation!$D$3*EXP(CalculCotation!$C$3*K248)-CalculCotation!$D$3+1,0),L248)</f>
        <v>#DIV/0!</v>
      </c>
    </row>
    <row r="249" spans="2:13" x14ac:dyDescent="0.3">
      <c r="B249" s="1">
        <f>BDD!C252</f>
        <v>0</v>
      </c>
      <c r="C249" s="1">
        <f>BDD!B252</f>
        <v>0</v>
      </c>
      <c r="D249" s="1">
        <f>BDD!A252</f>
        <v>0</v>
      </c>
      <c r="E249" s="1">
        <f>BDD!D252</f>
        <v>0</v>
      </c>
      <c r="F249" s="1">
        <f>BDD!F252</f>
        <v>0</v>
      </c>
      <c r="G249" s="25">
        <f>'ButsMPG + Var'!$I$39*IF(C249="A",COUNTIF(BDD!H252:AR252,10)*'ButsMPG + Var'!$K$12+COUNTIF(BDD!H252:AR252,9)*'ButsMPG + Var'!$K$11+COUNTIF(BDD!H252:AR252,8)*'ButsMPG + Var'!$K$10+COUNTIF(BDD!H252:AR252,7)*'ButsMPG + Var'!$K$9+COUNTIF(BDD!H252:AR252,6)*'ButsMPG + Var'!$K$8+COUNTIF(BDD!H252:AR252,5)*'ButsMPG + Var'!$K$7+COUNTIF(BDD!H252:AR252,4)*'ButsMPG + Var'!$K$6+COUNTIF(BDD!H252:AR252,3)*'ButsMPG + Var'!$K$5+COUNTIF(BDD!H252:AR252,2)*'ButsMPG + Var'!$K$4+COUNTIF(BDD!H252:AR252,1)*'ButsMPG + Var'!$K$3,IF(C249="M",COUNTIF(BDD!H252:AR252,10)*'ButsMPG + Var'!$K$22+COUNTIF(BDD!H252:AR252,9)*'ButsMPG + Var'!$K$21+COUNTIF(BDD!H252:AR252,8)*'ButsMPG + Var'!$K$20+COUNTIF(BDD!H252:AR252,7)*'ButsMPG + Var'!$K$19+COUNTIF(BDD!H252:AR252,6)*'ButsMPG + Var'!$K$18+COUNTIF(BDD!H252:AR252,5)*'ButsMPG + Var'!$K$17+COUNTIF(BDD!H252:AR252,4)*'ButsMPG + Var'!$K$16+COUNTIF(BDD!H252:AR252,3)*'ButsMPG + Var'!$K$15+COUNTIF(BDD!H252:AR252,2)*'ButsMPG + Var'!$K$14+COUNTIF(BDD!H252:AR252,1)*'ButsMPG + Var'!$K$13,IF(C249="D",COUNTIF(BDD!H252:AR252,10)*'ButsMPG + Var'!$K$32+COUNTIF(BDD!H252:AR252,9)*'ButsMPG + Var'!$K$31+COUNTIF(BDD!H252:AR252,8)*'ButsMPG + Var'!$K$30+COUNTIF(BDD!H252:AR252,7)*'ButsMPG + Var'!$K$29+COUNTIF(BDD!H252:AR252,6)*'ButsMPG + Var'!$K$28+COUNTIF(BDD!H252:AR252,5)*'ButsMPG + Var'!$K$27+COUNTIF(BDD!H252:AR252,4)*'ButsMPG + Var'!$K$26+COUNTIF(BDD!H252:AR252,3)*'ButsMPG + Var'!$K$25+COUNTIF(BDD!H252:AR252,2)*'ButsMPG + Var'!$K$24+COUNTIF(BDD!H252:AR252,1)*'ButsMPG + Var'!$K$23,0)))</f>
        <v>0</v>
      </c>
      <c r="H249" s="25">
        <f t="shared" si="4"/>
        <v>0</v>
      </c>
      <c r="I249" s="25">
        <f>BDD!G252</f>
        <v>0</v>
      </c>
      <c r="J249" s="25">
        <f>SUMPRODUCT(BDD!H252:AS252,'ButsMPG + Var'!$B$46:$AM$46)</f>
        <v>0</v>
      </c>
      <c r="K249" s="25" t="e">
        <f>10*('ButsMPG + Var'!$H$37*J249/MAX(J:J)+'ButsMPG + Var'!$G$37*H249/MAX(H:H))</f>
        <v>#DIV/0!</v>
      </c>
      <c r="L249" s="1">
        <f>IF(ISNA(VLOOKUP(B249,PrixMini!$B$3:$E$573,4,FALSE)),1,VLOOKUP(B249,PrixMini!$B$3:$E$573,4,FALSE))</f>
        <v>1</v>
      </c>
      <c r="M249" s="25" t="e">
        <f>IF(ROUND(CalculCotation!$D$3*EXP(CalculCotation!$C$3*K249)-CalculCotation!$D$3+1,0)&gt;L249,ROUND(CalculCotation!$D$3*EXP(CalculCotation!$C$3*K249)-CalculCotation!$D$3+1,0),L249)</f>
        <v>#DIV/0!</v>
      </c>
    </row>
    <row r="250" spans="2:13" x14ac:dyDescent="0.3">
      <c r="B250" s="1">
        <f>BDD!C253</f>
        <v>0</v>
      </c>
      <c r="C250" s="1">
        <f>BDD!B253</f>
        <v>0</v>
      </c>
      <c r="D250" s="1">
        <f>BDD!A253</f>
        <v>0</v>
      </c>
      <c r="E250" s="1">
        <f>BDD!D253</f>
        <v>0</v>
      </c>
      <c r="F250" s="1">
        <f>BDD!F253</f>
        <v>0</v>
      </c>
      <c r="G250" s="25">
        <f>'ButsMPG + Var'!$I$39*IF(C250="A",COUNTIF(BDD!H253:AR253,10)*'ButsMPG + Var'!$K$12+COUNTIF(BDD!H253:AR253,9)*'ButsMPG + Var'!$K$11+COUNTIF(BDD!H253:AR253,8)*'ButsMPG + Var'!$K$10+COUNTIF(BDD!H253:AR253,7)*'ButsMPG + Var'!$K$9+COUNTIF(BDD!H253:AR253,6)*'ButsMPG + Var'!$K$8+COUNTIF(BDD!H253:AR253,5)*'ButsMPG + Var'!$K$7+COUNTIF(BDD!H253:AR253,4)*'ButsMPG + Var'!$K$6+COUNTIF(BDD!H253:AR253,3)*'ButsMPG + Var'!$K$5+COUNTIF(BDD!H253:AR253,2)*'ButsMPG + Var'!$K$4+COUNTIF(BDD!H253:AR253,1)*'ButsMPG + Var'!$K$3,IF(C250="M",COUNTIF(BDD!H253:AR253,10)*'ButsMPG + Var'!$K$22+COUNTIF(BDD!H253:AR253,9)*'ButsMPG + Var'!$K$21+COUNTIF(BDD!H253:AR253,8)*'ButsMPG + Var'!$K$20+COUNTIF(BDD!H253:AR253,7)*'ButsMPG + Var'!$K$19+COUNTIF(BDD!H253:AR253,6)*'ButsMPG + Var'!$K$18+COUNTIF(BDD!H253:AR253,5)*'ButsMPG + Var'!$K$17+COUNTIF(BDD!H253:AR253,4)*'ButsMPG + Var'!$K$16+COUNTIF(BDD!H253:AR253,3)*'ButsMPG + Var'!$K$15+COUNTIF(BDD!H253:AR253,2)*'ButsMPG + Var'!$K$14+COUNTIF(BDD!H253:AR253,1)*'ButsMPG + Var'!$K$13,IF(C250="D",COUNTIF(BDD!H253:AR253,10)*'ButsMPG + Var'!$K$32+COUNTIF(BDD!H253:AR253,9)*'ButsMPG + Var'!$K$31+COUNTIF(BDD!H253:AR253,8)*'ButsMPG + Var'!$K$30+COUNTIF(BDD!H253:AR253,7)*'ButsMPG + Var'!$K$29+COUNTIF(BDD!H253:AR253,6)*'ButsMPG + Var'!$K$28+COUNTIF(BDD!H253:AR253,5)*'ButsMPG + Var'!$K$27+COUNTIF(BDD!H253:AR253,4)*'ButsMPG + Var'!$K$26+COUNTIF(BDD!H253:AR253,3)*'ButsMPG + Var'!$K$25+COUNTIF(BDD!H253:AR253,2)*'ButsMPG + Var'!$K$24+COUNTIF(BDD!H253:AR253,1)*'ButsMPG + Var'!$K$23,0)))</f>
        <v>0</v>
      </c>
      <c r="H250" s="25">
        <f t="shared" si="4"/>
        <v>0</v>
      </c>
      <c r="I250" s="25">
        <f>BDD!G253</f>
        <v>0</v>
      </c>
      <c r="J250" s="25">
        <f>SUMPRODUCT(BDD!H253:AS253,'ButsMPG + Var'!$B$46:$AM$46)</f>
        <v>0</v>
      </c>
      <c r="K250" s="25" t="e">
        <f>10*('ButsMPG + Var'!$H$37*J250/MAX(J:J)+'ButsMPG + Var'!$G$37*H250/MAX(H:H))</f>
        <v>#DIV/0!</v>
      </c>
      <c r="L250" s="1">
        <f>IF(ISNA(VLOOKUP(B250,PrixMini!$B$3:$E$573,4,FALSE)),1,VLOOKUP(B250,PrixMini!$B$3:$E$573,4,FALSE))</f>
        <v>1</v>
      </c>
      <c r="M250" s="25" t="e">
        <f>IF(ROUND(CalculCotation!$D$3*EXP(CalculCotation!$C$3*K250)-CalculCotation!$D$3+1,0)&gt;L250,ROUND(CalculCotation!$D$3*EXP(CalculCotation!$C$3*K250)-CalculCotation!$D$3+1,0),L250)</f>
        <v>#DIV/0!</v>
      </c>
    </row>
    <row r="251" spans="2:13" x14ac:dyDescent="0.3">
      <c r="B251" s="1">
        <f>BDD!C254</f>
        <v>0</v>
      </c>
      <c r="C251" s="1">
        <f>BDD!B254</f>
        <v>0</v>
      </c>
      <c r="D251" s="1">
        <f>BDD!A254</f>
        <v>0</v>
      </c>
      <c r="E251" s="1">
        <f>BDD!D254</f>
        <v>0</v>
      </c>
      <c r="F251" s="1">
        <f>BDD!F254</f>
        <v>0</v>
      </c>
      <c r="G251" s="25">
        <f>'ButsMPG + Var'!$I$39*IF(C251="A",COUNTIF(BDD!H254:AR254,10)*'ButsMPG + Var'!$K$12+COUNTIF(BDD!H254:AR254,9)*'ButsMPG + Var'!$K$11+COUNTIF(BDD!H254:AR254,8)*'ButsMPG + Var'!$K$10+COUNTIF(BDD!H254:AR254,7)*'ButsMPG + Var'!$K$9+COUNTIF(BDD!H254:AR254,6)*'ButsMPG + Var'!$K$8+COUNTIF(BDD!H254:AR254,5)*'ButsMPG + Var'!$K$7+COUNTIF(BDD!H254:AR254,4)*'ButsMPG + Var'!$K$6+COUNTIF(BDD!H254:AR254,3)*'ButsMPG + Var'!$K$5+COUNTIF(BDD!H254:AR254,2)*'ButsMPG + Var'!$K$4+COUNTIF(BDD!H254:AR254,1)*'ButsMPG + Var'!$K$3,IF(C251="M",COUNTIF(BDD!H254:AR254,10)*'ButsMPG + Var'!$K$22+COUNTIF(BDD!H254:AR254,9)*'ButsMPG + Var'!$K$21+COUNTIF(BDD!H254:AR254,8)*'ButsMPG + Var'!$K$20+COUNTIF(BDD!H254:AR254,7)*'ButsMPG + Var'!$K$19+COUNTIF(BDD!H254:AR254,6)*'ButsMPG + Var'!$K$18+COUNTIF(BDD!H254:AR254,5)*'ButsMPG + Var'!$K$17+COUNTIF(BDD!H254:AR254,4)*'ButsMPG + Var'!$K$16+COUNTIF(BDD!H254:AR254,3)*'ButsMPG + Var'!$K$15+COUNTIF(BDD!H254:AR254,2)*'ButsMPG + Var'!$K$14+COUNTIF(BDD!H254:AR254,1)*'ButsMPG + Var'!$K$13,IF(C251="D",COUNTIF(BDD!H254:AR254,10)*'ButsMPG + Var'!$K$32+COUNTIF(BDD!H254:AR254,9)*'ButsMPG + Var'!$K$31+COUNTIF(BDD!H254:AR254,8)*'ButsMPG + Var'!$K$30+COUNTIF(BDD!H254:AR254,7)*'ButsMPG + Var'!$K$29+COUNTIF(BDD!H254:AR254,6)*'ButsMPG + Var'!$K$28+COUNTIF(BDD!H254:AR254,5)*'ButsMPG + Var'!$K$27+COUNTIF(BDD!H254:AR254,4)*'ButsMPG + Var'!$K$26+COUNTIF(BDD!H254:AR254,3)*'ButsMPG + Var'!$K$25+COUNTIF(BDD!H254:AR254,2)*'ButsMPG + Var'!$K$24+COUNTIF(BDD!H254:AR254,1)*'ButsMPG + Var'!$K$23,0)))</f>
        <v>0</v>
      </c>
      <c r="H251" s="25">
        <f t="shared" si="4"/>
        <v>0</v>
      </c>
      <c r="I251" s="25">
        <f>BDD!G254</f>
        <v>0</v>
      </c>
      <c r="J251" s="25">
        <f>SUMPRODUCT(BDD!H254:AS254,'ButsMPG + Var'!$B$46:$AM$46)</f>
        <v>0</v>
      </c>
      <c r="K251" s="25" t="e">
        <f>10*('ButsMPG + Var'!$H$37*J251/MAX(J:J)+'ButsMPG + Var'!$G$37*H251/MAX(H:H))</f>
        <v>#DIV/0!</v>
      </c>
      <c r="L251" s="1">
        <f>IF(ISNA(VLOOKUP(B251,PrixMini!$B$3:$E$573,4,FALSE)),1,VLOOKUP(B251,PrixMini!$B$3:$E$573,4,FALSE))</f>
        <v>1</v>
      </c>
      <c r="M251" s="25" t="e">
        <f>IF(ROUND(CalculCotation!$D$3*EXP(CalculCotation!$C$3*K251)-CalculCotation!$D$3+1,0)&gt;L251,ROUND(CalculCotation!$D$3*EXP(CalculCotation!$C$3*K251)-CalculCotation!$D$3+1,0),L251)</f>
        <v>#DIV/0!</v>
      </c>
    </row>
    <row r="252" spans="2:13" x14ac:dyDescent="0.3">
      <c r="B252" s="1">
        <f>BDD!C255</f>
        <v>0</v>
      </c>
      <c r="C252" s="1">
        <f>BDD!B255</f>
        <v>0</v>
      </c>
      <c r="D252" s="1">
        <f>BDD!A255</f>
        <v>0</v>
      </c>
      <c r="E252" s="1">
        <f>BDD!D255</f>
        <v>0</v>
      </c>
      <c r="F252" s="1">
        <f>BDD!F255</f>
        <v>0</v>
      </c>
      <c r="G252" s="25">
        <f>'ButsMPG + Var'!$I$39*IF(C252="A",COUNTIF(BDD!H255:AR255,10)*'ButsMPG + Var'!$K$12+COUNTIF(BDD!H255:AR255,9)*'ButsMPG + Var'!$K$11+COUNTIF(BDD!H255:AR255,8)*'ButsMPG + Var'!$K$10+COUNTIF(BDD!H255:AR255,7)*'ButsMPG + Var'!$K$9+COUNTIF(BDD!H255:AR255,6)*'ButsMPG + Var'!$K$8+COUNTIF(BDD!H255:AR255,5)*'ButsMPG + Var'!$K$7+COUNTIF(BDD!H255:AR255,4)*'ButsMPG + Var'!$K$6+COUNTIF(BDD!H255:AR255,3)*'ButsMPG + Var'!$K$5+COUNTIF(BDD!H255:AR255,2)*'ButsMPG + Var'!$K$4+COUNTIF(BDD!H255:AR255,1)*'ButsMPG + Var'!$K$3,IF(C252="M",COUNTIF(BDD!H255:AR255,10)*'ButsMPG + Var'!$K$22+COUNTIF(BDD!H255:AR255,9)*'ButsMPG + Var'!$K$21+COUNTIF(BDD!H255:AR255,8)*'ButsMPG + Var'!$K$20+COUNTIF(BDD!H255:AR255,7)*'ButsMPG + Var'!$K$19+COUNTIF(BDD!H255:AR255,6)*'ButsMPG + Var'!$K$18+COUNTIF(BDD!H255:AR255,5)*'ButsMPG + Var'!$K$17+COUNTIF(BDD!H255:AR255,4)*'ButsMPG + Var'!$K$16+COUNTIF(BDD!H255:AR255,3)*'ButsMPG + Var'!$K$15+COUNTIF(BDD!H255:AR255,2)*'ButsMPG + Var'!$K$14+COUNTIF(BDD!H255:AR255,1)*'ButsMPG + Var'!$K$13,IF(C252="D",COUNTIF(BDD!H255:AR255,10)*'ButsMPG + Var'!$K$32+COUNTIF(BDD!H255:AR255,9)*'ButsMPG + Var'!$K$31+COUNTIF(BDD!H255:AR255,8)*'ButsMPG + Var'!$K$30+COUNTIF(BDD!H255:AR255,7)*'ButsMPG + Var'!$K$29+COUNTIF(BDD!H255:AR255,6)*'ButsMPG + Var'!$K$28+COUNTIF(BDD!H255:AR255,5)*'ButsMPG + Var'!$K$27+COUNTIF(BDD!H255:AR255,4)*'ButsMPG + Var'!$K$26+COUNTIF(BDD!H255:AR255,3)*'ButsMPG + Var'!$K$25+COUNTIF(BDD!H255:AR255,2)*'ButsMPG + Var'!$K$24+COUNTIF(BDD!H255:AR255,1)*'ButsMPG + Var'!$K$23,0)))</f>
        <v>0</v>
      </c>
      <c r="H252" s="25">
        <f t="shared" si="4"/>
        <v>0</v>
      </c>
      <c r="I252" s="25">
        <f>BDD!G255</f>
        <v>0</v>
      </c>
      <c r="J252" s="25">
        <f>SUMPRODUCT(BDD!H255:AS255,'ButsMPG + Var'!$B$46:$AM$46)</f>
        <v>0</v>
      </c>
      <c r="K252" s="25" t="e">
        <f>10*('ButsMPG + Var'!$H$37*J252/MAX(J:J)+'ButsMPG + Var'!$G$37*H252/MAX(H:H))</f>
        <v>#DIV/0!</v>
      </c>
      <c r="L252" s="1">
        <f>IF(ISNA(VLOOKUP(B252,PrixMini!$B$3:$E$573,4,FALSE)),1,VLOOKUP(B252,PrixMini!$B$3:$E$573,4,FALSE))</f>
        <v>1</v>
      </c>
      <c r="M252" s="25" t="e">
        <f>IF(ROUND(CalculCotation!$D$3*EXP(CalculCotation!$C$3*K252)-CalculCotation!$D$3+1,0)&gt;L252,ROUND(CalculCotation!$D$3*EXP(CalculCotation!$C$3*K252)-CalculCotation!$D$3+1,0),L252)</f>
        <v>#DIV/0!</v>
      </c>
    </row>
    <row r="253" spans="2:13" x14ac:dyDescent="0.3">
      <c r="B253" s="1">
        <f>BDD!C256</f>
        <v>0</v>
      </c>
      <c r="C253" s="1">
        <f>BDD!B256</f>
        <v>0</v>
      </c>
      <c r="D253" s="1">
        <f>BDD!A256</f>
        <v>0</v>
      </c>
      <c r="E253" s="1">
        <f>BDD!D256</f>
        <v>0</v>
      </c>
      <c r="F253" s="1">
        <f>BDD!F256</f>
        <v>0</v>
      </c>
      <c r="G253" s="25">
        <f>'ButsMPG + Var'!$I$39*IF(C253="A",COUNTIF(BDD!H256:AR256,10)*'ButsMPG + Var'!$K$12+COUNTIF(BDD!H256:AR256,9)*'ButsMPG + Var'!$K$11+COUNTIF(BDD!H256:AR256,8)*'ButsMPG + Var'!$K$10+COUNTIF(BDD!H256:AR256,7)*'ButsMPG + Var'!$K$9+COUNTIF(BDD!H256:AR256,6)*'ButsMPG + Var'!$K$8+COUNTIF(BDD!H256:AR256,5)*'ButsMPG + Var'!$K$7+COUNTIF(BDD!H256:AR256,4)*'ButsMPG + Var'!$K$6+COUNTIF(BDD!H256:AR256,3)*'ButsMPG + Var'!$K$5+COUNTIF(BDD!H256:AR256,2)*'ButsMPG + Var'!$K$4+COUNTIF(BDD!H256:AR256,1)*'ButsMPG + Var'!$K$3,IF(C253="M",COUNTIF(BDD!H256:AR256,10)*'ButsMPG + Var'!$K$22+COUNTIF(BDD!H256:AR256,9)*'ButsMPG + Var'!$K$21+COUNTIF(BDD!H256:AR256,8)*'ButsMPG + Var'!$K$20+COUNTIF(BDD!H256:AR256,7)*'ButsMPG + Var'!$K$19+COUNTIF(BDD!H256:AR256,6)*'ButsMPG + Var'!$K$18+COUNTIF(BDD!H256:AR256,5)*'ButsMPG + Var'!$K$17+COUNTIF(BDD!H256:AR256,4)*'ButsMPG + Var'!$K$16+COUNTIF(BDD!H256:AR256,3)*'ButsMPG + Var'!$K$15+COUNTIF(BDD!H256:AR256,2)*'ButsMPG + Var'!$K$14+COUNTIF(BDD!H256:AR256,1)*'ButsMPG + Var'!$K$13,IF(C253="D",COUNTIF(BDD!H256:AR256,10)*'ButsMPG + Var'!$K$32+COUNTIF(BDD!H256:AR256,9)*'ButsMPG + Var'!$K$31+COUNTIF(BDD!H256:AR256,8)*'ButsMPG + Var'!$K$30+COUNTIF(BDD!H256:AR256,7)*'ButsMPG + Var'!$K$29+COUNTIF(BDD!H256:AR256,6)*'ButsMPG + Var'!$K$28+COUNTIF(BDD!H256:AR256,5)*'ButsMPG + Var'!$K$27+COUNTIF(BDD!H256:AR256,4)*'ButsMPG + Var'!$K$26+COUNTIF(BDD!H256:AR256,3)*'ButsMPG + Var'!$K$25+COUNTIF(BDD!H256:AR256,2)*'ButsMPG + Var'!$K$24+COUNTIF(BDD!H256:AR256,1)*'ButsMPG + Var'!$K$23,0)))</f>
        <v>0</v>
      </c>
      <c r="H253" s="25">
        <f t="shared" si="4"/>
        <v>0</v>
      </c>
      <c r="I253" s="25">
        <f>BDD!G256</f>
        <v>0</v>
      </c>
      <c r="J253" s="25">
        <f>SUMPRODUCT(BDD!H256:AS256,'ButsMPG + Var'!$B$46:$AM$46)</f>
        <v>0</v>
      </c>
      <c r="K253" s="25" t="e">
        <f>10*('ButsMPG + Var'!$H$37*J253/MAX(J:J)+'ButsMPG + Var'!$G$37*H253/MAX(H:H))</f>
        <v>#DIV/0!</v>
      </c>
      <c r="L253" s="1">
        <f>IF(ISNA(VLOOKUP(B253,PrixMini!$B$3:$E$573,4,FALSE)),1,VLOOKUP(B253,PrixMini!$B$3:$E$573,4,FALSE))</f>
        <v>1</v>
      </c>
      <c r="M253" s="25" t="e">
        <f>IF(ROUND(CalculCotation!$D$3*EXP(CalculCotation!$C$3*K253)-CalculCotation!$D$3+1,0)&gt;L253,ROUND(CalculCotation!$D$3*EXP(CalculCotation!$C$3*K253)-CalculCotation!$D$3+1,0),L253)</f>
        <v>#DIV/0!</v>
      </c>
    </row>
    <row r="254" spans="2:13" x14ac:dyDescent="0.3">
      <c r="B254" s="1">
        <f>BDD!C257</f>
        <v>0</v>
      </c>
      <c r="C254" s="1">
        <f>BDD!B257</f>
        <v>0</v>
      </c>
      <c r="D254" s="1">
        <f>BDD!A257</f>
        <v>0</v>
      </c>
      <c r="E254" s="1">
        <f>BDD!D257</f>
        <v>0</v>
      </c>
      <c r="F254" s="1">
        <f>BDD!F257</f>
        <v>0</v>
      </c>
      <c r="G254" s="25">
        <f>'ButsMPG + Var'!$I$39*IF(C254="A",COUNTIF(BDD!H257:AR257,10)*'ButsMPG + Var'!$K$12+COUNTIF(BDD!H257:AR257,9)*'ButsMPG + Var'!$K$11+COUNTIF(BDD!H257:AR257,8)*'ButsMPG + Var'!$K$10+COUNTIF(BDD!H257:AR257,7)*'ButsMPG + Var'!$K$9+COUNTIF(BDD!H257:AR257,6)*'ButsMPG + Var'!$K$8+COUNTIF(BDD!H257:AR257,5)*'ButsMPG + Var'!$K$7+COUNTIF(BDD!H257:AR257,4)*'ButsMPG + Var'!$K$6+COUNTIF(BDD!H257:AR257,3)*'ButsMPG + Var'!$K$5+COUNTIF(BDD!H257:AR257,2)*'ButsMPG + Var'!$K$4+COUNTIF(BDD!H257:AR257,1)*'ButsMPG + Var'!$K$3,IF(C254="M",COUNTIF(BDD!H257:AR257,10)*'ButsMPG + Var'!$K$22+COUNTIF(BDD!H257:AR257,9)*'ButsMPG + Var'!$K$21+COUNTIF(BDD!H257:AR257,8)*'ButsMPG + Var'!$K$20+COUNTIF(BDD!H257:AR257,7)*'ButsMPG + Var'!$K$19+COUNTIF(BDD!H257:AR257,6)*'ButsMPG + Var'!$K$18+COUNTIF(BDD!H257:AR257,5)*'ButsMPG + Var'!$K$17+COUNTIF(BDD!H257:AR257,4)*'ButsMPG + Var'!$K$16+COUNTIF(BDD!H257:AR257,3)*'ButsMPG + Var'!$K$15+COUNTIF(BDD!H257:AR257,2)*'ButsMPG + Var'!$K$14+COUNTIF(BDD!H257:AR257,1)*'ButsMPG + Var'!$K$13,IF(C254="D",COUNTIF(BDD!H257:AR257,10)*'ButsMPG + Var'!$K$32+COUNTIF(BDD!H257:AR257,9)*'ButsMPG + Var'!$K$31+COUNTIF(BDD!H257:AR257,8)*'ButsMPG + Var'!$K$30+COUNTIF(BDD!H257:AR257,7)*'ButsMPG + Var'!$K$29+COUNTIF(BDD!H257:AR257,6)*'ButsMPG + Var'!$K$28+COUNTIF(BDD!H257:AR257,5)*'ButsMPG + Var'!$K$27+COUNTIF(BDD!H257:AR257,4)*'ButsMPG + Var'!$K$26+COUNTIF(BDD!H257:AR257,3)*'ButsMPG + Var'!$K$25+COUNTIF(BDD!H257:AR257,2)*'ButsMPG + Var'!$K$24+COUNTIF(BDD!H257:AR257,1)*'ButsMPG + Var'!$K$23,0)))</f>
        <v>0</v>
      </c>
      <c r="H254" s="25">
        <f t="shared" si="4"/>
        <v>0</v>
      </c>
      <c r="I254" s="25">
        <f>BDD!G257</f>
        <v>0</v>
      </c>
      <c r="J254" s="25">
        <f>SUMPRODUCT(BDD!H257:AS257,'ButsMPG + Var'!$B$46:$AM$46)</f>
        <v>0</v>
      </c>
      <c r="K254" s="25" t="e">
        <f>10*('ButsMPG + Var'!$H$37*J254/MAX(J:J)+'ButsMPG + Var'!$G$37*H254/MAX(H:H))</f>
        <v>#DIV/0!</v>
      </c>
      <c r="L254" s="1">
        <f>IF(ISNA(VLOOKUP(B254,PrixMini!$B$3:$E$573,4,FALSE)),1,VLOOKUP(B254,PrixMini!$B$3:$E$573,4,FALSE))</f>
        <v>1</v>
      </c>
      <c r="M254" s="25" t="e">
        <f>IF(ROUND(CalculCotation!$D$3*EXP(CalculCotation!$C$3*K254)-CalculCotation!$D$3+1,0)&gt;L254,ROUND(CalculCotation!$D$3*EXP(CalculCotation!$C$3*K254)-CalculCotation!$D$3+1,0),L254)</f>
        <v>#DIV/0!</v>
      </c>
    </row>
    <row r="255" spans="2:13" x14ac:dyDescent="0.3">
      <c r="B255" s="1">
        <f>BDD!C258</f>
        <v>0</v>
      </c>
      <c r="C255" s="1">
        <f>BDD!B258</f>
        <v>0</v>
      </c>
      <c r="D255" s="1">
        <f>BDD!A258</f>
        <v>0</v>
      </c>
      <c r="E255" s="1">
        <f>BDD!D258</f>
        <v>0</v>
      </c>
      <c r="F255" s="1">
        <f>BDD!F258</f>
        <v>0</v>
      </c>
      <c r="G255" s="25">
        <f>'ButsMPG + Var'!$I$39*IF(C255="A",COUNTIF(BDD!H258:AR258,10)*'ButsMPG + Var'!$K$12+COUNTIF(BDD!H258:AR258,9)*'ButsMPG + Var'!$K$11+COUNTIF(BDD!H258:AR258,8)*'ButsMPG + Var'!$K$10+COUNTIF(BDD!H258:AR258,7)*'ButsMPG + Var'!$K$9+COUNTIF(BDD!H258:AR258,6)*'ButsMPG + Var'!$K$8+COUNTIF(BDD!H258:AR258,5)*'ButsMPG + Var'!$K$7+COUNTIF(BDD!H258:AR258,4)*'ButsMPG + Var'!$K$6+COUNTIF(BDD!H258:AR258,3)*'ButsMPG + Var'!$K$5+COUNTIF(BDD!H258:AR258,2)*'ButsMPG + Var'!$K$4+COUNTIF(BDD!H258:AR258,1)*'ButsMPG + Var'!$K$3,IF(C255="M",COUNTIF(BDD!H258:AR258,10)*'ButsMPG + Var'!$K$22+COUNTIF(BDD!H258:AR258,9)*'ButsMPG + Var'!$K$21+COUNTIF(BDD!H258:AR258,8)*'ButsMPG + Var'!$K$20+COUNTIF(BDD!H258:AR258,7)*'ButsMPG + Var'!$K$19+COUNTIF(BDD!H258:AR258,6)*'ButsMPG + Var'!$K$18+COUNTIF(BDD!H258:AR258,5)*'ButsMPG + Var'!$K$17+COUNTIF(BDD!H258:AR258,4)*'ButsMPG + Var'!$K$16+COUNTIF(BDD!H258:AR258,3)*'ButsMPG + Var'!$K$15+COUNTIF(BDD!H258:AR258,2)*'ButsMPG + Var'!$K$14+COUNTIF(BDD!H258:AR258,1)*'ButsMPG + Var'!$K$13,IF(C255="D",COUNTIF(BDD!H258:AR258,10)*'ButsMPG + Var'!$K$32+COUNTIF(BDD!H258:AR258,9)*'ButsMPG + Var'!$K$31+COUNTIF(BDD!H258:AR258,8)*'ButsMPG + Var'!$K$30+COUNTIF(BDD!H258:AR258,7)*'ButsMPG + Var'!$K$29+COUNTIF(BDD!H258:AR258,6)*'ButsMPG + Var'!$K$28+COUNTIF(BDD!H258:AR258,5)*'ButsMPG + Var'!$K$27+COUNTIF(BDD!H258:AR258,4)*'ButsMPG + Var'!$K$26+COUNTIF(BDD!H258:AR258,3)*'ButsMPG + Var'!$K$25+COUNTIF(BDD!H258:AR258,2)*'ButsMPG + Var'!$K$24+COUNTIF(BDD!H258:AR258,1)*'ButsMPG + Var'!$K$23,0)))</f>
        <v>0</v>
      </c>
      <c r="H255" s="25">
        <f t="shared" si="4"/>
        <v>0</v>
      </c>
      <c r="I255" s="25">
        <f>BDD!G258</f>
        <v>0</v>
      </c>
      <c r="J255" s="25">
        <f>SUMPRODUCT(BDD!H258:AS258,'ButsMPG + Var'!$B$46:$AM$46)</f>
        <v>0</v>
      </c>
      <c r="K255" s="25" t="e">
        <f>10*('ButsMPG + Var'!$H$37*J255/MAX(J:J)+'ButsMPG + Var'!$G$37*H255/MAX(H:H))</f>
        <v>#DIV/0!</v>
      </c>
      <c r="L255" s="1">
        <f>IF(ISNA(VLOOKUP(B255,PrixMini!$B$3:$E$573,4,FALSE)),1,VLOOKUP(B255,PrixMini!$B$3:$E$573,4,FALSE))</f>
        <v>1</v>
      </c>
      <c r="M255" s="25" t="e">
        <f>IF(ROUND(CalculCotation!$D$3*EXP(CalculCotation!$C$3*K255)-CalculCotation!$D$3+1,0)&gt;L255,ROUND(CalculCotation!$D$3*EXP(CalculCotation!$C$3*K255)-CalculCotation!$D$3+1,0),L255)</f>
        <v>#DIV/0!</v>
      </c>
    </row>
    <row r="256" spans="2:13" x14ac:dyDescent="0.3">
      <c r="B256" s="1">
        <f>BDD!C259</f>
        <v>0</v>
      </c>
      <c r="C256" s="1">
        <f>BDD!B259</f>
        <v>0</v>
      </c>
      <c r="D256" s="1">
        <f>BDD!A259</f>
        <v>0</v>
      </c>
      <c r="E256" s="1">
        <f>BDD!D259</f>
        <v>0</v>
      </c>
      <c r="F256" s="1">
        <f>BDD!F259</f>
        <v>0</v>
      </c>
      <c r="G256" s="25">
        <f>'ButsMPG + Var'!$I$39*IF(C256="A",COUNTIF(BDD!H259:AR259,10)*'ButsMPG + Var'!$K$12+COUNTIF(BDD!H259:AR259,9)*'ButsMPG + Var'!$K$11+COUNTIF(BDD!H259:AR259,8)*'ButsMPG + Var'!$K$10+COUNTIF(BDD!H259:AR259,7)*'ButsMPG + Var'!$K$9+COUNTIF(BDD!H259:AR259,6)*'ButsMPG + Var'!$K$8+COUNTIF(BDD!H259:AR259,5)*'ButsMPG + Var'!$K$7+COUNTIF(BDD!H259:AR259,4)*'ButsMPG + Var'!$K$6+COUNTIF(BDD!H259:AR259,3)*'ButsMPG + Var'!$K$5+COUNTIF(BDD!H259:AR259,2)*'ButsMPG + Var'!$K$4+COUNTIF(BDD!H259:AR259,1)*'ButsMPG + Var'!$K$3,IF(C256="M",COUNTIF(BDD!H259:AR259,10)*'ButsMPG + Var'!$K$22+COUNTIF(BDD!H259:AR259,9)*'ButsMPG + Var'!$K$21+COUNTIF(BDD!H259:AR259,8)*'ButsMPG + Var'!$K$20+COUNTIF(BDD!H259:AR259,7)*'ButsMPG + Var'!$K$19+COUNTIF(BDD!H259:AR259,6)*'ButsMPG + Var'!$K$18+COUNTIF(BDD!H259:AR259,5)*'ButsMPG + Var'!$K$17+COUNTIF(BDD!H259:AR259,4)*'ButsMPG + Var'!$K$16+COUNTIF(BDD!H259:AR259,3)*'ButsMPG + Var'!$K$15+COUNTIF(BDD!H259:AR259,2)*'ButsMPG + Var'!$K$14+COUNTIF(BDD!H259:AR259,1)*'ButsMPG + Var'!$K$13,IF(C256="D",COUNTIF(BDD!H259:AR259,10)*'ButsMPG + Var'!$K$32+COUNTIF(BDD!H259:AR259,9)*'ButsMPG + Var'!$K$31+COUNTIF(BDD!H259:AR259,8)*'ButsMPG + Var'!$K$30+COUNTIF(BDD!H259:AR259,7)*'ButsMPG + Var'!$K$29+COUNTIF(BDD!H259:AR259,6)*'ButsMPG + Var'!$K$28+COUNTIF(BDD!H259:AR259,5)*'ButsMPG + Var'!$K$27+COUNTIF(BDD!H259:AR259,4)*'ButsMPG + Var'!$K$26+COUNTIF(BDD!H259:AR259,3)*'ButsMPG + Var'!$K$25+COUNTIF(BDD!H259:AR259,2)*'ButsMPG + Var'!$K$24+COUNTIF(BDD!H259:AR259,1)*'ButsMPG + Var'!$K$23,0)))</f>
        <v>0</v>
      </c>
      <c r="H256" s="25">
        <f t="shared" si="4"/>
        <v>0</v>
      </c>
      <c r="I256" s="25">
        <f>BDD!G259</f>
        <v>0</v>
      </c>
      <c r="J256" s="25">
        <f>SUMPRODUCT(BDD!H259:AS259,'ButsMPG + Var'!$B$46:$AM$46)</f>
        <v>0</v>
      </c>
      <c r="K256" s="25" t="e">
        <f>10*('ButsMPG + Var'!$H$37*J256/MAX(J:J)+'ButsMPG + Var'!$G$37*H256/MAX(H:H))</f>
        <v>#DIV/0!</v>
      </c>
      <c r="L256" s="1">
        <f>IF(ISNA(VLOOKUP(B256,PrixMini!$B$3:$E$573,4,FALSE)),1,VLOOKUP(B256,PrixMini!$B$3:$E$573,4,FALSE))</f>
        <v>1</v>
      </c>
      <c r="M256" s="25" t="e">
        <f>IF(ROUND(CalculCotation!$D$3*EXP(CalculCotation!$C$3*K256)-CalculCotation!$D$3+1,0)&gt;L256,ROUND(CalculCotation!$D$3*EXP(CalculCotation!$C$3*K256)-CalculCotation!$D$3+1,0),L256)</f>
        <v>#DIV/0!</v>
      </c>
    </row>
    <row r="257" spans="2:13" x14ac:dyDescent="0.3">
      <c r="B257" s="1">
        <f>BDD!C260</f>
        <v>0</v>
      </c>
      <c r="C257" s="1">
        <f>BDD!B260</f>
        <v>0</v>
      </c>
      <c r="D257" s="1">
        <f>BDD!A260</f>
        <v>0</v>
      </c>
      <c r="E257" s="1">
        <f>BDD!D260</f>
        <v>0</v>
      </c>
      <c r="F257" s="1">
        <f>BDD!F260</f>
        <v>0</v>
      </c>
      <c r="G257" s="25">
        <f>'ButsMPG + Var'!$I$39*IF(C257="A",COUNTIF(BDD!H260:AR260,10)*'ButsMPG + Var'!$K$12+COUNTIF(BDD!H260:AR260,9)*'ButsMPG + Var'!$K$11+COUNTIF(BDD!H260:AR260,8)*'ButsMPG + Var'!$K$10+COUNTIF(BDD!H260:AR260,7)*'ButsMPG + Var'!$K$9+COUNTIF(BDD!H260:AR260,6)*'ButsMPG + Var'!$K$8+COUNTIF(BDD!H260:AR260,5)*'ButsMPG + Var'!$K$7+COUNTIF(BDD!H260:AR260,4)*'ButsMPG + Var'!$K$6+COUNTIF(BDD!H260:AR260,3)*'ButsMPG + Var'!$K$5+COUNTIF(BDD!H260:AR260,2)*'ButsMPG + Var'!$K$4+COUNTIF(BDD!H260:AR260,1)*'ButsMPG + Var'!$K$3,IF(C257="M",COUNTIF(BDD!H260:AR260,10)*'ButsMPG + Var'!$K$22+COUNTIF(BDD!H260:AR260,9)*'ButsMPG + Var'!$K$21+COUNTIF(BDD!H260:AR260,8)*'ButsMPG + Var'!$K$20+COUNTIF(BDD!H260:AR260,7)*'ButsMPG + Var'!$K$19+COUNTIF(BDD!H260:AR260,6)*'ButsMPG + Var'!$K$18+COUNTIF(BDD!H260:AR260,5)*'ButsMPG + Var'!$K$17+COUNTIF(BDD!H260:AR260,4)*'ButsMPG + Var'!$K$16+COUNTIF(BDD!H260:AR260,3)*'ButsMPG + Var'!$K$15+COUNTIF(BDD!H260:AR260,2)*'ButsMPG + Var'!$K$14+COUNTIF(BDD!H260:AR260,1)*'ButsMPG + Var'!$K$13,IF(C257="D",COUNTIF(BDD!H260:AR260,10)*'ButsMPG + Var'!$K$32+COUNTIF(BDD!H260:AR260,9)*'ButsMPG + Var'!$K$31+COUNTIF(BDD!H260:AR260,8)*'ButsMPG + Var'!$K$30+COUNTIF(BDD!H260:AR260,7)*'ButsMPG + Var'!$K$29+COUNTIF(BDD!H260:AR260,6)*'ButsMPG + Var'!$K$28+COUNTIF(BDD!H260:AR260,5)*'ButsMPG + Var'!$K$27+COUNTIF(BDD!H260:AR260,4)*'ButsMPG + Var'!$K$26+COUNTIF(BDD!H260:AR260,3)*'ButsMPG + Var'!$K$25+COUNTIF(BDD!H260:AR260,2)*'ButsMPG + Var'!$K$24+COUNTIF(BDD!H260:AR260,1)*'ButsMPG + Var'!$K$23,0)))</f>
        <v>0</v>
      </c>
      <c r="H257" s="25">
        <f t="shared" si="4"/>
        <v>0</v>
      </c>
      <c r="I257" s="25">
        <f>BDD!G260</f>
        <v>0</v>
      </c>
      <c r="J257" s="25">
        <f>SUMPRODUCT(BDD!H260:AS260,'ButsMPG + Var'!$B$46:$AM$46)</f>
        <v>0</v>
      </c>
      <c r="K257" s="25" t="e">
        <f>10*('ButsMPG + Var'!$H$37*J257/MAX(J:J)+'ButsMPG + Var'!$G$37*H257/MAX(H:H))</f>
        <v>#DIV/0!</v>
      </c>
      <c r="L257" s="1">
        <f>IF(ISNA(VLOOKUP(B257,PrixMini!$B$3:$E$573,4,FALSE)),1,VLOOKUP(B257,PrixMini!$B$3:$E$573,4,FALSE))</f>
        <v>1</v>
      </c>
      <c r="M257" s="25" t="e">
        <f>IF(ROUND(CalculCotation!$D$3*EXP(CalculCotation!$C$3*K257)-CalculCotation!$D$3+1,0)&gt;L257,ROUND(CalculCotation!$D$3*EXP(CalculCotation!$C$3*K257)-CalculCotation!$D$3+1,0),L257)</f>
        <v>#DIV/0!</v>
      </c>
    </row>
    <row r="258" spans="2:13" x14ac:dyDescent="0.3">
      <c r="B258" s="1">
        <f>BDD!C261</f>
        <v>0</v>
      </c>
      <c r="C258" s="1">
        <f>BDD!B261</f>
        <v>0</v>
      </c>
      <c r="D258" s="1">
        <f>BDD!A261</f>
        <v>0</v>
      </c>
      <c r="E258" s="1">
        <f>BDD!D261</f>
        <v>0</v>
      </c>
      <c r="F258" s="1">
        <f>BDD!F261</f>
        <v>0</v>
      </c>
      <c r="G258" s="25">
        <f>'ButsMPG + Var'!$I$39*IF(C258="A",COUNTIF(BDD!H261:AR261,10)*'ButsMPG + Var'!$K$12+COUNTIF(BDD!H261:AR261,9)*'ButsMPG + Var'!$K$11+COUNTIF(BDD!H261:AR261,8)*'ButsMPG + Var'!$K$10+COUNTIF(BDD!H261:AR261,7)*'ButsMPG + Var'!$K$9+COUNTIF(BDD!H261:AR261,6)*'ButsMPG + Var'!$K$8+COUNTIF(BDD!H261:AR261,5)*'ButsMPG + Var'!$K$7+COUNTIF(BDD!H261:AR261,4)*'ButsMPG + Var'!$K$6+COUNTIF(BDD!H261:AR261,3)*'ButsMPG + Var'!$K$5+COUNTIF(BDD!H261:AR261,2)*'ButsMPG + Var'!$K$4+COUNTIF(BDD!H261:AR261,1)*'ButsMPG + Var'!$K$3,IF(C258="M",COUNTIF(BDD!H261:AR261,10)*'ButsMPG + Var'!$K$22+COUNTIF(BDD!H261:AR261,9)*'ButsMPG + Var'!$K$21+COUNTIF(BDD!H261:AR261,8)*'ButsMPG + Var'!$K$20+COUNTIF(BDD!H261:AR261,7)*'ButsMPG + Var'!$K$19+COUNTIF(BDD!H261:AR261,6)*'ButsMPG + Var'!$K$18+COUNTIF(BDD!H261:AR261,5)*'ButsMPG + Var'!$K$17+COUNTIF(BDD!H261:AR261,4)*'ButsMPG + Var'!$K$16+COUNTIF(BDD!H261:AR261,3)*'ButsMPG + Var'!$K$15+COUNTIF(BDD!H261:AR261,2)*'ButsMPG + Var'!$K$14+COUNTIF(BDD!H261:AR261,1)*'ButsMPG + Var'!$K$13,IF(C258="D",COUNTIF(BDD!H261:AR261,10)*'ButsMPG + Var'!$K$32+COUNTIF(BDD!H261:AR261,9)*'ButsMPG + Var'!$K$31+COUNTIF(BDD!H261:AR261,8)*'ButsMPG + Var'!$K$30+COUNTIF(BDD!H261:AR261,7)*'ButsMPG + Var'!$K$29+COUNTIF(BDD!H261:AR261,6)*'ButsMPG + Var'!$K$28+COUNTIF(BDD!H261:AR261,5)*'ButsMPG + Var'!$K$27+COUNTIF(BDD!H261:AR261,4)*'ButsMPG + Var'!$K$26+COUNTIF(BDD!H261:AR261,3)*'ButsMPG + Var'!$K$25+COUNTIF(BDD!H261:AR261,2)*'ButsMPG + Var'!$K$24+COUNTIF(BDD!H261:AR261,1)*'ButsMPG + Var'!$K$23,0)))</f>
        <v>0</v>
      </c>
      <c r="H258" s="25">
        <f t="shared" si="4"/>
        <v>0</v>
      </c>
      <c r="I258" s="25">
        <f>BDD!G261</f>
        <v>0</v>
      </c>
      <c r="J258" s="25">
        <f>SUMPRODUCT(BDD!H261:AS261,'ButsMPG + Var'!$B$46:$AM$46)</f>
        <v>0</v>
      </c>
      <c r="K258" s="25" t="e">
        <f>10*('ButsMPG + Var'!$H$37*J258/MAX(J:J)+'ButsMPG + Var'!$G$37*H258/MAX(H:H))</f>
        <v>#DIV/0!</v>
      </c>
      <c r="L258" s="1">
        <f>IF(ISNA(VLOOKUP(B258,PrixMini!$B$3:$E$573,4,FALSE)),1,VLOOKUP(B258,PrixMini!$B$3:$E$573,4,FALSE))</f>
        <v>1</v>
      </c>
      <c r="M258" s="25" t="e">
        <f>IF(ROUND(CalculCotation!$D$3*EXP(CalculCotation!$C$3*K258)-CalculCotation!$D$3+1,0)&gt;L258,ROUND(CalculCotation!$D$3*EXP(CalculCotation!$C$3*K258)-CalculCotation!$D$3+1,0),L258)</f>
        <v>#DIV/0!</v>
      </c>
    </row>
    <row r="259" spans="2:13" x14ac:dyDescent="0.3">
      <c r="B259" s="1">
        <f>BDD!C262</f>
        <v>0</v>
      </c>
      <c r="C259" s="1">
        <f>BDD!B262</f>
        <v>0</v>
      </c>
      <c r="D259" s="1">
        <f>BDD!A262</f>
        <v>0</v>
      </c>
      <c r="E259" s="1">
        <f>BDD!D262</f>
        <v>0</v>
      </c>
      <c r="F259" s="1">
        <f>BDD!F262</f>
        <v>0</v>
      </c>
      <c r="G259" s="25">
        <f>'ButsMPG + Var'!$I$39*IF(C259="A",COUNTIF(BDD!H262:AR262,10)*'ButsMPG + Var'!$K$12+COUNTIF(BDD!H262:AR262,9)*'ButsMPG + Var'!$K$11+COUNTIF(BDD!H262:AR262,8)*'ButsMPG + Var'!$K$10+COUNTIF(BDD!H262:AR262,7)*'ButsMPG + Var'!$K$9+COUNTIF(BDD!H262:AR262,6)*'ButsMPG + Var'!$K$8+COUNTIF(BDD!H262:AR262,5)*'ButsMPG + Var'!$K$7+COUNTIF(BDD!H262:AR262,4)*'ButsMPG + Var'!$K$6+COUNTIF(BDD!H262:AR262,3)*'ButsMPG + Var'!$K$5+COUNTIF(BDD!H262:AR262,2)*'ButsMPG + Var'!$K$4+COUNTIF(BDD!H262:AR262,1)*'ButsMPG + Var'!$K$3,IF(C259="M",COUNTIF(BDD!H262:AR262,10)*'ButsMPG + Var'!$K$22+COUNTIF(BDD!H262:AR262,9)*'ButsMPG + Var'!$K$21+COUNTIF(BDD!H262:AR262,8)*'ButsMPG + Var'!$K$20+COUNTIF(BDD!H262:AR262,7)*'ButsMPG + Var'!$K$19+COUNTIF(BDD!H262:AR262,6)*'ButsMPG + Var'!$K$18+COUNTIF(BDD!H262:AR262,5)*'ButsMPG + Var'!$K$17+COUNTIF(BDD!H262:AR262,4)*'ButsMPG + Var'!$K$16+COUNTIF(BDD!H262:AR262,3)*'ButsMPG + Var'!$K$15+COUNTIF(BDD!H262:AR262,2)*'ButsMPG + Var'!$K$14+COUNTIF(BDD!H262:AR262,1)*'ButsMPG + Var'!$K$13,IF(C259="D",COUNTIF(BDD!H262:AR262,10)*'ButsMPG + Var'!$K$32+COUNTIF(BDD!H262:AR262,9)*'ButsMPG + Var'!$K$31+COUNTIF(BDD!H262:AR262,8)*'ButsMPG + Var'!$K$30+COUNTIF(BDD!H262:AR262,7)*'ButsMPG + Var'!$K$29+COUNTIF(BDD!H262:AR262,6)*'ButsMPG + Var'!$K$28+COUNTIF(BDD!H262:AR262,5)*'ButsMPG + Var'!$K$27+COUNTIF(BDD!H262:AR262,4)*'ButsMPG + Var'!$K$26+COUNTIF(BDD!H262:AR262,3)*'ButsMPG + Var'!$K$25+COUNTIF(BDD!H262:AR262,2)*'ButsMPG + Var'!$K$24+COUNTIF(BDD!H262:AR262,1)*'ButsMPG + Var'!$K$23,0)))</f>
        <v>0</v>
      </c>
      <c r="H259" s="25">
        <f t="shared" si="4"/>
        <v>0</v>
      </c>
      <c r="I259" s="25">
        <f>BDD!G262</f>
        <v>0</v>
      </c>
      <c r="J259" s="25">
        <f>SUMPRODUCT(BDD!H262:AS262,'ButsMPG + Var'!$B$46:$AM$46)</f>
        <v>0</v>
      </c>
      <c r="K259" s="25" t="e">
        <f>10*('ButsMPG + Var'!$H$37*J259/MAX(J:J)+'ButsMPG + Var'!$G$37*H259/MAX(H:H))</f>
        <v>#DIV/0!</v>
      </c>
      <c r="L259" s="1">
        <f>IF(ISNA(VLOOKUP(B259,PrixMini!$B$3:$E$573,4,FALSE)),1,VLOOKUP(B259,PrixMini!$B$3:$E$573,4,FALSE))</f>
        <v>1</v>
      </c>
      <c r="M259" s="25" t="e">
        <f>IF(ROUND(CalculCotation!$D$3*EXP(CalculCotation!$C$3*K259)-CalculCotation!$D$3+1,0)&gt;L259,ROUND(CalculCotation!$D$3*EXP(CalculCotation!$C$3*K259)-CalculCotation!$D$3+1,0),L259)</f>
        <v>#DIV/0!</v>
      </c>
    </row>
    <row r="260" spans="2:13" x14ac:dyDescent="0.3">
      <c r="B260" s="1">
        <f>BDD!C263</f>
        <v>0</v>
      </c>
      <c r="C260" s="1">
        <f>BDD!B263</f>
        <v>0</v>
      </c>
      <c r="D260" s="1">
        <f>BDD!A263</f>
        <v>0</v>
      </c>
      <c r="E260" s="1">
        <f>BDD!D263</f>
        <v>0</v>
      </c>
      <c r="F260" s="1">
        <f>BDD!F263</f>
        <v>0</v>
      </c>
      <c r="G260" s="25">
        <f>'ButsMPG + Var'!$I$39*IF(C260="A",COUNTIF(BDD!H263:AR263,10)*'ButsMPG + Var'!$K$12+COUNTIF(BDD!H263:AR263,9)*'ButsMPG + Var'!$K$11+COUNTIF(BDD!H263:AR263,8)*'ButsMPG + Var'!$K$10+COUNTIF(BDD!H263:AR263,7)*'ButsMPG + Var'!$K$9+COUNTIF(BDD!H263:AR263,6)*'ButsMPG + Var'!$K$8+COUNTIF(BDD!H263:AR263,5)*'ButsMPG + Var'!$K$7+COUNTIF(BDD!H263:AR263,4)*'ButsMPG + Var'!$K$6+COUNTIF(BDD!H263:AR263,3)*'ButsMPG + Var'!$K$5+COUNTIF(BDD!H263:AR263,2)*'ButsMPG + Var'!$K$4+COUNTIF(BDD!H263:AR263,1)*'ButsMPG + Var'!$K$3,IF(C260="M",COUNTIF(BDD!H263:AR263,10)*'ButsMPG + Var'!$K$22+COUNTIF(BDD!H263:AR263,9)*'ButsMPG + Var'!$K$21+COUNTIF(BDD!H263:AR263,8)*'ButsMPG + Var'!$K$20+COUNTIF(BDD!H263:AR263,7)*'ButsMPG + Var'!$K$19+COUNTIF(BDD!H263:AR263,6)*'ButsMPG + Var'!$K$18+COUNTIF(BDD!H263:AR263,5)*'ButsMPG + Var'!$K$17+COUNTIF(BDD!H263:AR263,4)*'ButsMPG + Var'!$K$16+COUNTIF(BDD!H263:AR263,3)*'ButsMPG + Var'!$K$15+COUNTIF(BDD!H263:AR263,2)*'ButsMPG + Var'!$K$14+COUNTIF(BDD!H263:AR263,1)*'ButsMPG + Var'!$K$13,IF(C260="D",COUNTIF(BDD!H263:AR263,10)*'ButsMPG + Var'!$K$32+COUNTIF(BDD!H263:AR263,9)*'ButsMPG + Var'!$K$31+COUNTIF(BDD!H263:AR263,8)*'ButsMPG + Var'!$K$30+COUNTIF(BDD!H263:AR263,7)*'ButsMPG + Var'!$K$29+COUNTIF(BDD!H263:AR263,6)*'ButsMPG + Var'!$K$28+COUNTIF(BDD!H263:AR263,5)*'ButsMPG + Var'!$K$27+COUNTIF(BDD!H263:AR263,4)*'ButsMPG + Var'!$K$26+COUNTIF(BDD!H263:AR263,3)*'ButsMPG + Var'!$K$25+COUNTIF(BDD!H263:AR263,2)*'ButsMPG + Var'!$K$24+COUNTIF(BDD!H263:AR263,1)*'ButsMPG + Var'!$K$23,0)))</f>
        <v>0</v>
      </c>
      <c r="H260" s="25">
        <f t="shared" ref="H260:H323" si="5">SUM(F260:G260)</f>
        <v>0</v>
      </c>
      <c r="I260" s="25">
        <f>BDD!G263</f>
        <v>0</v>
      </c>
      <c r="J260" s="25">
        <f>SUMPRODUCT(BDD!H263:AS263,'ButsMPG + Var'!$B$46:$AM$46)</f>
        <v>0</v>
      </c>
      <c r="K260" s="25" t="e">
        <f>10*('ButsMPG + Var'!$H$37*J260/MAX(J:J)+'ButsMPG + Var'!$G$37*H260/MAX(H:H))</f>
        <v>#DIV/0!</v>
      </c>
      <c r="L260" s="1">
        <f>IF(ISNA(VLOOKUP(B260,PrixMini!$B$3:$E$573,4,FALSE)),1,VLOOKUP(B260,PrixMini!$B$3:$E$573,4,FALSE))</f>
        <v>1</v>
      </c>
      <c r="M260" s="25" t="e">
        <f>IF(ROUND(CalculCotation!$D$3*EXP(CalculCotation!$C$3*K260)-CalculCotation!$D$3+1,0)&gt;L260,ROUND(CalculCotation!$D$3*EXP(CalculCotation!$C$3*K260)-CalculCotation!$D$3+1,0),L260)</f>
        <v>#DIV/0!</v>
      </c>
    </row>
    <row r="261" spans="2:13" x14ac:dyDescent="0.3">
      <c r="B261" s="1">
        <f>BDD!C264</f>
        <v>0</v>
      </c>
      <c r="C261" s="1">
        <f>BDD!B264</f>
        <v>0</v>
      </c>
      <c r="D261" s="1">
        <f>BDD!A264</f>
        <v>0</v>
      </c>
      <c r="E261" s="1">
        <f>BDD!D264</f>
        <v>0</v>
      </c>
      <c r="F261" s="1">
        <f>BDD!F264</f>
        <v>0</v>
      </c>
      <c r="G261" s="25">
        <f>'ButsMPG + Var'!$I$39*IF(C261="A",COUNTIF(BDD!H264:AR264,10)*'ButsMPG + Var'!$K$12+COUNTIF(BDD!H264:AR264,9)*'ButsMPG + Var'!$K$11+COUNTIF(BDD!H264:AR264,8)*'ButsMPG + Var'!$K$10+COUNTIF(BDD!H264:AR264,7)*'ButsMPG + Var'!$K$9+COUNTIF(BDD!H264:AR264,6)*'ButsMPG + Var'!$K$8+COUNTIF(BDD!H264:AR264,5)*'ButsMPG + Var'!$K$7+COUNTIF(BDD!H264:AR264,4)*'ButsMPG + Var'!$K$6+COUNTIF(BDD!H264:AR264,3)*'ButsMPG + Var'!$K$5+COUNTIF(BDD!H264:AR264,2)*'ButsMPG + Var'!$K$4+COUNTIF(BDD!H264:AR264,1)*'ButsMPG + Var'!$K$3,IF(C261="M",COUNTIF(BDD!H264:AR264,10)*'ButsMPG + Var'!$K$22+COUNTIF(BDD!H264:AR264,9)*'ButsMPG + Var'!$K$21+COUNTIF(BDD!H264:AR264,8)*'ButsMPG + Var'!$K$20+COUNTIF(BDD!H264:AR264,7)*'ButsMPG + Var'!$K$19+COUNTIF(BDD!H264:AR264,6)*'ButsMPG + Var'!$K$18+COUNTIF(BDD!H264:AR264,5)*'ButsMPG + Var'!$K$17+COUNTIF(BDD!H264:AR264,4)*'ButsMPG + Var'!$K$16+COUNTIF(BDD!H264:AR264,3)*'ButsMPG + Var'!$K$15+COUNTIF(BDD!H264:AR264,2)*'ButsMPG + Var'!$K$14+COUNTIF(BDD!H264:AR264,1)*'ButsMPG + Var'!$K$13,IF(C261="D",COUNTIF(BDD!H264:AR264,10)*'ButsMPG + Var'!$K$32+COUNTIF(BDD!H264:AR264,9)*'ButsMPG + Var'!$K$31+COUNTIF(BDD!H264:AR264,8)*'ButsMPG + Var'!$K$30+COUNTIF(BDD!H264:AR264,7)*'ButsMPG + Var'!$K$29+COUNTIF(BDD!H264:AR264,6)*'ButsMPG + Var'!$K$28+COUNTIF(BDD!H264:AR264,5)*'ButsMPG + Var'!$K$27+COUNTIF(BDD!H264:AR264,4)*'ButsMPG + Var'!$K$26+COUNTIF(BDD!H264:AR264,3)*'ButsMPG + Var'!$K$25+COUNTIF(BDD!H264:AR264,2)*'ButsMPG + Var'!$K$24+COUNTIF(BDD!H264:AR264,1)*'ButsMPG + Var'!$K$23,0)))</f>
        <v>0</v>
      </c>
      <c r="H261" s="25">
        <f t="shared" si="5"/>
        <v>0</v>
      </c>
      <c r="I261" s="25">
        <f>BDD!G264</f>
        <v>0</v>
      </c>
      <c r="J261" s="25">
        <f>SUMPRODUCT(BDD!H264:AS264,'ButsMPG + Var'!$B$46:$AM$46)</f>
        <v>0</v>
      </c>
      <c r="K261" s="25" t="e">
        <f>10*('ButsMPG + Var'!$H$37*J261/MAX(J:J)+'ButsMPG + Var'!$G$37*H261/MAX(H:H))</f>
        <v>#DIV/0!</v>
      </c>
      <c r="L261" s="1">
        <f>IF(ISNA(VLOOKUP(B261,PrixMini!$B$3:$E$573,4,FALSE)),1,VLOOKUP(B261,PrixMini!$B$3:$E$573,4,FALSE))</f>
        <v>1</v>
      </c>
      <c r="M261" s="25" t="e">
        <f>IF(ROUND(CalculCotation!$D$3*EXP(CalculCotation!$C$3*K261)-CalculCotation!$D$3+1,0)&gt;L261,ROUND(CalculCotation!$D$3*EXP(CalculCotation!$C$3*K261)-CalculCotation!$D$3+1,0),L261)</f>
        <v>#DIV/0!</v>
      </c>
    </row>
    <row r="262" spans="2:13" x14ac:dyDescent="0.3">
      <c r="B262" s="1">
        <f>BDD!C265</f>
        <v>0</v>
      </c>
      <c r="C262" s="1">
        <f>BDD!B265</f>
        <v>0</v>
      </c>
      <c r="D262" s="1">
        <f>BDD!A265</f>
        <v>0</v>
      </c>
      <c r="E262" s="1">
        <f>BDD!D265</f>
        <v>0</v>
      </c>
      <c r="F262" s="1">
        <f>BDD!F265</f>
        <v>0</v>
      </c>
      <c r="G262" s="25">
        <f>'ButsMPG + Var'!$I$39*IF(C262="A",COUNTIF(BDD!H265:AR265,10)*'ButsMPG + Var'!$K$12+COUNTIF(BDD!H265:AR265,9)*'ButsMPG + Var'!$K$11+COUNTIF(BDD!H265:AR265,8)*'ButsMPG + Var'!$K$10+COUNTIF(BDD!H265:AR265,7)*'ButsMPG + Var'!$K$9+COUNTIF(BDD!H265:AR265,6)*'ButsMPG + Var'!$K$8+COUNTIF(BDD!H265:AR265,5)*'ButsMPG + Var'!$K$7+COUNTIF(BDD!H265:AR265,4)*'ButsMPG + Var'!$K$6+COUNTIF(BDD!H265:AR265,3)*'ButsMPG + Var'!$K$5+COUNTIF(BDD!H265:AR265,2)*'ButsMPG + Var'!$K$4+COUNTIF(BDD!H265:AR265,1)*'ButsMPG + Var'!$K$3,IF(C262="M",COUNTIF(BDD!H265:AR265,10)*'ButsMPG + Var'!$K$22+COUNTIF(BDD!H265:AR265,9)*'ButsMPG + Var'!$K$21+COUNTIF(BDD!H265:AR265,8)*'ButsMPG + Var'!$K$20+COUNTIF(BDD!H265:AR265,7)*'ButsMPG + Var'!$K$19+COUNTIF(BDD!H265:AR265,6)*'ButsMPG + Var'!$K$18+COUNTIF(BDD!H265:AR265,5)*'ButsMPG + Var'!$K$17+COUNTIF(BDD!H265:AR265,4)*'ButsMPG + Var'!$K$16+COUNTIF(BDD!H265:AR265,3)*'ButsMPG + Var'!$K$15+COUNTIF(BDD!H265:AR265,2)*'ButsMPG + Var'!$K$14+COUNTIF(BDD!H265:AR265,1)*'ButsMPG + Var'!$K$13,IF(C262="D",COUNTIF(BDD!H265:AR265,10)*'ButsMPG + Var'!$K$32+COUNTIF(BDD!H265:AR265,9)*'ButsMPG + Var'!$K$31+COUNTIF(BDD!H265:AR265,8)*'ButsMPG + Var'!$K$30+COUNTIF(BDD!H265:AR265,7)*'ButsMPG + Var'!$K$29+COUNTIF(BDD!H265:AR265,6)*'ButsMPG + Var'!$K$28+COUNTIF(BDD!H265:AR265,5)*'ButsMPG + Var'!$K$27+COUNTIF(BDD!H265:AR265,4)*'ButsMPG + Var'!$K$26+COUNTIF(BDD!H265:AR265,3)*'ButsMPG + Var'!$K$25+COUNTIF(BDD!H265:AR265,2)*'ButsMPG + Var'!$K$24+COUNTIF(BDD!H265:AR265,1)*'ButsMPG + Var'!$K$23,0)))</f>
        <v>0</v>
      </c>
      <c r="H262" s="25">
        <f t="shared" si="5"/>
        <v>0</v>
      </c>
      <c r="I262" s="25">
        <f>BDD!G265</f>
        <v>0</v>
      </c>
      <c r="J262" s="25">
        <f>SUMPRODUCT(BDD!H265:AS265,'ButsMPG + Var'!$B$46:$AM$46)</f>
        <v>0</v>
      </c>
      <c r="K262" s="25" t="e">
        <f>10*('ButsMPG + Var'!$H$37*J262/MAX(J:J)+'ButsMPG + Var'!$G$37*H262/MAX(H:H))</f>
        <v>#DIV/0!</v>
      </c>
      <c r="L262" s="1">
        <f>IF(ISNA(VLOOKUP(B262,PrixMini!$B$3:$E$573,4,FALSE)),1,VLOOKUP(B262,PrixMini!$B$3:$E$573,4,FALSE))</f>
        <v>1</v>
      </c>
      <c r="M262" s="25" t="e">
        <f>IF(ROUND(CalculCotation!$D$3*EXP(CalculCotation!$C$3*K262)-CalculCotation!$D$3+1,0)&gt;L262,ROUND(CalculCotation!$D$3*EXP(CalculCotation!$C$3*K262)-CalculCotation!$D$3+1,0),L262)</f>
        <v>#DIV/0!</v>
      </c>
    </row>
    <row r="263" spans="2:13" x14ac:dyDescent="0.3">
      <c r="B263" s="1">
        <f>BDD!C266</f>
        <v>0</v>
      </c>
      <c r="C263" s="1">
        <f>BDD!B266</f>
        <v>0</v>
      </c>
      <c r="D263" s="1">
        <f>BDD!A266</f>
        <v>0</v>
      </c>
      <c r="E263" s="1">
        <f>BDD!D266</f>
        <v>0</v>
      </c>
      <c r="F263" s="1">
        <f>BDD!F266</f>
        <v>0</v>
      </c>
      <c r="G263" s="25">
        <f>'ButsMPG + Var'!$I$39*IF(C263="A",COUNTIF(BDD!H266:AR266,10)*'ButsMPG + Var'!$K$12+COUNTIF(BDD!H266:AR266,9)*'ButsMPG + Var'!$K$11+COUNTIF(BDD!H266:AR266,8)*'ButsMPG + Var'!$K$10+COUNTIF(BDD!H266:AR266,7)*'ButsMPG + Var'!$K$9+COUNTIF(BDD!H266:AR266,6)*'ButsMPG + Var'!$K$8+COUNTIF(BDD!H266:AR266,5)*'ButsMPG + Var'!$K$7+COUNTIF(BDD!H266:AR266,4)*'ButsMPG + Var'!$K$6+COUNTIF(BDD!H266:AR266,3)*'ButsMPG + Var'!$K$5+COUNTIF(BDD!H266:AR266,2)*'ButsMPG + Var'!$K$4+COUNTIF(BDD!H266:AR266,1)*'ButsMPG + Var'!$K$3,IF(C263="M",COUNTIF(BDD!H266:AR266,10)*'ButsMPG + Var'!$K$22+COUNTIF(BDD!H266:AR266,9)*'ButsMPG + Var'!$K$21+COUNTIF(BDD!H266:AR266,8)*'ButsMPG + Var'!$K$20+COUNTIF(BDD!H266:AR266,7)*'ButsMPG + Var'!$K$19+COUNTIF(BDD!H266:AR266,6)*'ButsMPG + Var'!$K$18+COUNTIF(BDD!H266:AR266,5)*'ButsMPG + Var'!$K$17+COUNTIF(BDD!H266:AR266,4)*'ButsMPG + Var'!$K$16+COUNTIF(BDD!H266:AR266,3)*'ButsMPG + Var'!$K$15+COUNTIF(BDD!H266:AR266,2)*'ButsMPG + Var'!$K$14+COUNTIF(BDD!H266:AR266,1)*'ButsMPG + Var'!$K$13,IF(C263="D",COUNTIF(BDD!H266:AR266,10)*'ButsMPG + Var'!$K$32+COUNTIF(BDD!H266:AR266,9)*'ButsMPG + Var'!$K$31+COUNTIF(BDD!H266:AR266,8)*'ButsMPG + Var'!$K$30+COUNTIF(BDD!H266:AR266,7)*'ButsMPG + Var'!$K$29+COUNTIF(BDD!H266:AR266,6)*'ButsMPG + Var'!$K$28+COUNTIF(BDD!H266:AR266,5)*'ButsMPG + Var'!$K$27+COUNTIF(BDD!H266:AR266,4)*'ButsMPG + Var'!$K$26+COUNTIF(BDD!H266:AR266,3)*'ButsMPG + Var'!$K$25+COUNTIF(BDD!H266:AR266,2)*'ButsMPG + Var'!$K$24+COUNTIF(BDD!H266:AR266,1)*'ButsMPG + Var'!$K$23,0)))</f>
        <v>0</v>
      </c>
      <c r="H263" s="25">
        <f t="shared" si="5"/>
        <v>0</v>
      </c>
      <c r="I263" s="25">
        <f>BDD!G266</f>
        <v>0</v>
      </c>
      <c r="J263" s="25">
        <f>SUMPRODUCT(BDD!H266:AS266,'ButsMPG + Var'!$B$46:$AM$46)</f>
        <v>0</v>
      </c>
      <c r="K263" s="25" t="e">
        <f>10*('ButsMPG + Var'!$H$37*J263/MAX(J:J)+'ButsMPG + Var'!$G$37*H263/MAX(H:H))</f>
        <v>#DIV/0!</v>
      </c>
      <c r="L263" s="1">
        <f>IF(ISNA(VLOOKUP(B263,PrixMini!$B$3:$E$573,4,FALSE)),1,VLOOKUP(B263,PrixMini!$B$3:$E$573,4,FALSE))</f>
        <v>1</v>
      </c>
      <c r="M263" s="25" t="e">
        <f>IF(ROUND(CalculCotation!$D$3*EXP(CalculCotation!$C$3*K263)-CalculCotation!$D$3+1,0)&gt;L263,ROUND(CalculCotation!$D$3*EXP(CalculCotation!$C$3*K263)-CalculCotation!$D$3+1,0),L263)</f>
        <v>#DIV/0!</v>
      </c>
    </row>
    <row r="264" spans="2:13" x14ac:dyDescent="0.3">
      <c r="B264" s="1">
        <f>BDD!C267</f>
        <v>0</v>
      </c>
      <c r="C264" s="1">
        <f>BDD!B267</f>
        <v>0</v>
      </c>
      <c r="D264" s="1">
        <f>BDD!A267</f>
        <v>0</v>
      </c>
      <c r="E264" s="1">
        <f>BDD!D267</f>
        <v>0</v>
      </c>
      <c r="F264" s="1">
        <f>BDD!F267</f>
        <v>0</v>
      </c>
      <c r="G264" s="25">
        <f>'ButsMPG + Var'!$I$39*IF(C264="A",COUNTIF(BDD!H267:AR267,10)*'ButsMPG + Var'!$K$12+COUNTIF(BDD!H267:AR267,9)*'ButsMPG + Var'!$K$11+COUNTIF(BDD!H267:AR267,8)*'ButsMPG + Var'!$K$10+COUNTIF(BDD!H267:AR267,7)*'ButsMPG + Var'!$K$9+COUNTIF(BDD!H267:AR267,6)*'ButsMPG + Var'!$K$8+COUNTIF(BDD!H267:AR267,5)*'ButsMPG + Var'!$K$7+COUNTIF(BDD!H267:AR267,4)*'ButsMPG + Var'!$K$6+COUNTIF(BDD!H267:AR267,3)*'ButsMPG + Var'!$K$5+COUNTIF(BDD!H267:AR267,2)*'ButsMPG + Var'!$K$4+COUNTIF(BDD!H267:AR267,1)*'ButsMPG + Var'!$K$3,IF(C264="M",COUNTIF(BDD!H267:AR267,10)*'ButsMPG + Var'!$K$22+COUNTIF(BDD!H267:AR267,9)*'ButsMPG + Var'!$K$21+COUNTIF(BDD!H267:AR267,8)*'ButsMPG + Var'!$K$20+COUNTIF(BDD!H267:AR267,7)*'ButsMPG + Var'!$K$19+COUNTIF(BDD!H267:AR267,6)*'ButsMPG + Var'!$K$18+COUNTIF(BDD!H267:AR267,5)*'ButsMPG + Var'!$K$17+COUNTIF(BDD!H267:AR267,4)*'ButsMPG + Var'!$K$16+COUNTIF(BDD!H267:AR267,3)*'ButsMPG + Var'!$K$15+COUNTIF(BDD!H267:AR267,2)*'ButsMPG + Var'!$K$14+COUNTIF(BDD!H267:AR267,1)*'ButsMPG + Var'!$K$13,IF(C264="D",COUNTIF(BDD!H267:AR267,10)*'ButsMPG + Var'!$K$32+COUNTIF(BDD!H267:AR267,9)*'ButsMPG + Var'!$K$31+COUNTIF(BDD!H267:AR267,8)*'ButsMPG + Var'!$K$30+COUNTIF(BDD!H267:AR267,7)*'ButsMPG + Var'!$K$29+COUNTIF(BDD!H267:AR267,6)*'ButsMPG + Var'!$K$28+COUNTIF(BDD!H267:AR267,5)*'ButsMPG + Var'!$K$27+COUNTIF(BDD!H267:AR267,4)*'ButsMPG + Var'!$K$26+COUNTIF(BDD!H267:AR267,3)*'ButsMPG + Var'!$K$25+COUNTIF(BDD!H267:AR267,2)*'ButsMPG + Var'!$K$24+COUNTIF(BDD!H267:AR267,1)*'ButsMPG + Var'!$K$23,0)))</f>
        <v>0</v>
      </c>
      <c r="H264" s="25">
        <f t="shared" si="5"/>
        <v>0</v>
      </c>
      <c r="I264" s="25">
        <f>BDD!G267</f>
        <v>0</v>
      </c>
      <c r="J264" s="25">
        <f>SUMPRODUCT(BDD!H267:AS267,'ButsMPG + Var'!$B$46:$AM$46)</f>
        <v>0</v>
      </c>
      <c r="K264" s="25" t="e">
        <f>10*('ButsMPG + Var'!$H$37*J264/MAX(J:J)+'ButsMPG + Var'!$G$37*H264/MAX(H:H))</f>
        <v>#DIV/0!</v>
      </c>
      <c r="L264" s="1">
        <f>IF(ISNA(VLOOKUP(B264,PrixMini!$B$3:$E$573,4,FALSE)),1,VLOOKUP(B264,PrixMini!$B$3:$E$573,4,FALSE))</f>
        <v>1</v>
      </c>
      <c r="M264" s="25" t="e">
        <f>IF(ROUND(CalculCotation!$D$3*EXP(CalculCotation!$C$3*K264)-CalculCotation!$D$3+1,0)&gt;L264,ROUND(CalculCotation!$D$3*EXP(CalculCotation!$C$3*K264)-CalculCotation!$D$3+1,0),L264)</f>
        <v>#DIV/0!</v>
      </c>
    </row>
    <row r="265" spans="2:13" x14ac:dyDescent="0.3">
      <c r="B265" s="1">
        <f>BDD!C268</f>
        <v>0</v>
      </c>
      <c r="C265" s="1">
        <f>BDD!B268</f>
        <v>0</v>
      </c>
      <c r="D265" s="1">
        <f>BDD!A268</f>
        <v>0</v>
      </c>
      <c r="E265" s="1">
        <f>BDD!D268</f>
        <v>0</v>
      </c>
      <c r="F265" s="1">
        <f>BDD!F268</f>
        <v>0</v>
      </c>
      <c r="G265" s="25">
        <f>'ButsMPG + Var'!$I$39*IF(C265="A",COUNTIF(BDD!H268:AR268,10)*'ButsMPG + Var'!$K$12+COUNTIF(BDD!H268:AR268,9)*'ButsMPG + Var'!$K$11+COUNTIF(BDD!H268:AR268,8)*'ButsMPG + Var'!$K$10+COUNTIF(BDD!H268:AR268,7)*'ButsMPG + Var'!$K$9+COUNTIF(BDD!H268:AR268,6)*'ButsMPG + Var'!$K$8+COUNTIF(BDD!H268:AR268,5)*'ButsMPG + Var'!$K$7+COUNTIF(BDD!H268:AR268,4)*'ButsMPG + Var'!$K$6+COUNTIF(BDD!H268:AR268,3)*'ButsMPG + Var'!$K$5+COUNTIF(BDD!H268:AR268,2)*'ButsMPG + Var'!$K$4+COUNTIF(BDD!H268:AR268,1)*'ButsMPG + Var'!$K$3,IF(C265="M",COUNTIF(BDD!H268:AR268,10)*'ButsMPG + Var'!$K$22+COUNTIF(BDD!H268:AR268,9)*'ButsMPG + Var'!$K$21+COUNTIF(BDD!H268:AR268,8)*'ButsMPG + Var'!$K$20+COUNTIF(BDD!H268:AR268,7)*'ButsMPG + Var'!$K$19+COUNTIF(BDD!H268:AR268,6)*'ButsMPG + Var'!$K$18+COUNTIF(BDD!H268:AR268,5)*'ButsMPG + Var'!$K$17+COUNTIF(BDD!H268:AR268,4)*'ButsMPG + Var'!$K$16+COUNTIF(BDD!H268:AR268,3)*'ButsMPG + Var'!$K$15+COUNTIF(BDD!H268:AR268,2)*'ButsMPG + Var'!$K$14+COUNTIF(BDD!H268:AR268,1)*'ButsMPG + Var'!$K$13,IF(C265="D",COUNTIF(BDD!H268:AR268,10)*'ButsMPG + Var'!$K$32+COUNTIF(BDD!H268:AR268,9)*'ButsMPG + Var'!$K$31+COUNTIF(BDD!H268:AR268,8)*'ButsMPG + Var'!$K$30+COUNTIF(BDD!H268:AR268,7)*'ButsMPG + Var'!$K$29+COUNTIF(BDD!H268:AR268,6)*'ButsMPG + Var'!$K$28+COUNTIF(BDD!H268:AR268,5)*'ButsMPG + Var'!$K$27+COUNTIF(BDD!H268:AR268,4)*'ButsMPG + Var'!$K$26+COUNTIF(BDD!H268:AR268,3)*'ButsMPG + Var'!$K$25+COUNTIF(BDD!H268:AR268,2)*'ButsMPG + Var'!$K$24+COUNTIF(BDD!H268:AR268,1)*'ButsMPG + Var'!$K$23,0)))</f>
        <v>0</v>
      </c>
      <c r="H265" s="25">
        <f t="shared" si="5"/>
        <v>0</v>
      </c>
      <c r="I265" s="25">
        <f>BDD!G268</f>
        <v>0</v>
      </c>
      <c r="J265" s="25">
        <f>SUMPRODUCT(BDD!H268:AS268,'ButsMPG + Var'!$B$46:$AM$46)</f>
        <v>0</v>
      </c>
      <c r="K265" s="25" t="e">
        <f>10*('ButsMPG + Var'!$H$37*J265/MAX(J:J)+'ButsMPG + Var'!$G$37*H265/MAX(H:H))</f>
        <v>#DIV/0!</v>
      </c>
      <c r="L265" s="1">
        <f>IF(ISNA(VLOOKUP(B265,PrixMini!$B$3:$E$573,4,FALSE)),1,VLOOKUP(B265,PrixMini!$B$3:$E$573,4,FALSE))</f>
        <v>1</v>
      </c>
      <c r="M265" s="25" t="e">
        <f>IF(ROUND(CalculCotation!$D$3*EXP(CalculCotation!$C$3*K265)-CalculCotation!$D$3+1,0)&gt;L265,ROUND(CalculCotation!$D$3*EXP(CalculCotation!$C$3*K265)-CalculCotation!$D$3+1,0),L265)</f>
        <v>#DIV/0!</v>
      </c>
    </row>
    <row r="266" spans="2:13" x14ac:dyDescent="0.3">
      <c r="B266" s="1">
        <f>BDD!C269</f>
        <v>0</v>
      </c>
      <c r="C266" s="1">
        <f>BDD!B269</f>
        <v>0</v>
      </c>
      <c r="D266" s="1">
        <f>BDD!A269</f>
        <v>0</v>
      </c>
      <c r="E266" s="1">
        <f>BDD!D269</f>
        <v>0</v>
      </c>
      <c r="F266" s="1">
        <f>BDD!F269</f>
        <v>0</v>
      </c>
      <c r="G266" s="25">
        <f>'ButsMPG + Var'!$I$39*IF(C266="A",COUNTIF(BDD!H269:AR269,10)*'ButsMPG + Var'!$K$12+COUNTIF(BDD!H269:AR269,9)*'ButsMPG + Var'!$K$11+COUNTIF(BDD!H269:AR269,8)*'ButsMPG + Var'!$K$10+COUNTIF(BDD!H269:AR269,7)*'ButsMPG + Var'!$K$9+COUNTIF(BDD!H269:AR269,6)*'ButsMPG + Var'!$K$8+COUNTIF(BDD!H269:AR269,5)*'ButsMPG + Var'!$K$7+COUNTIF(BDD!H269:AR269,4)*'ButsMPG + Var'!$K$6+COUNTIF(BDD!H269:AR269,3)*'ButsMPG + Var'!$K$5+COUNTIF(BDD!H269:AR269,2)*'ButsMPG + Var'!$K$4+COUNTIF(BDD!H269:AR269,1)*'ButsMPG + Var'!$K$3,IF(C266="M",COUNTIF(BDD!H269:AR269,10)*'ButsMPG + Var'!$K$22+COUNTIF(BDD!H269:AR269,9)*'ButsMPG + Var'!$K$21+COUNTIF(BDD!H269:AR269,8)*'ButsMPG + Var'!$K$20+COUNTIF(BDD!H269:AR269,7)*'ButsMPG + Var'!$K$19+COUNTIF(BDD!H269:AR269,6)*'ButsMPG + Var'!$K$18+COUNTIF(BDD!H269:AR269,5)*'ButsMPG + Var'!$K$17+COUNTIF(BDD!H269:AR269,4)*'ButsMPG + Var'!$K$16+COUNTIF(BDD!H269:AR269,3)*'ButsMPG + Var'!$K$15+COUNTIF(BDD!H269:AR269,2)*'ButsMPG + Var'!$K$14+COUNTIF(BDD!H269:AR269,1)*'ButsMPG + Var'!$K$13,IF(C266="D",COUNTIF(BDD!H269:AR269,10)*'ButsMPG + Var'!$K$32+COUNTIF(BDD!H269:AR269,9)*'ButsMPG + Var'!$K$31+COUNTIF(BDD!H269:AR269,8)*'ButsMPG + Var'!$K$30+COUNTIF(BDD!H269:AR269,7)*'ButsMPG + Var'!$K$29+COUNTIF(BDD!H269:AR269,6)*'ButsMPG + Var'!$K$28+COUNTIF(BDD!H269:AR269,5)*'ButsMPG + Var'!$K$27+COUNTIF(BDD!H269:AR269,4)*'ButsMPG + Var'!$K$26+COUNTIF(BDD!H269:AR269,3)*'ButsMPG + Var'!$K$25+COUNTIF(BDD!H269:AR269,2)*'ButsMPG + Var'!$K$24+COUNTIF(BDD!H269:AR269,1)*'ButsMPG + Var'!$K$23,0)))</f>
        <v>0</v>
      </c>
      <c r="H266" s="25">
        <f t="shared" si="5"/>
        <v>0</v>
      </c>
      <c r="I266" s="25">
        <f>BDD!G269</f>
        <v>0</v>
      </c>
      <c r="J266" s="25">
        <f>SUMPRODUCT(BDD!H269:AS269,'ButsMPG + Var'!$B$46:$AM$46)</f>
        <v>0</v>
      </c>
      <c r="K266" s="25" t="e">
        <f>10*('ButsMPG + Var'!$H$37*J266/MAX(J:J)+'ButsMPG + Var'!$G$37*H266/MAX(H:H))</f>
        <v>#DIV/0!</v>
      </c>
      <c r="L266" s="1">
        <f>IF(ISNA(VLOOKUP(B266,PrixMini!$B$3:$E$573,4,FALSE)),1,VLOOKUP(B266,PrixMini!$B$3:$E$573,4,FALSE))</f>
        <v>1</v>
      </c>
      <c r="M266" s="25" t="e">
        <f>IF(ROUND(CalculCotation!$D$3*EXP(CalculCotation!$C$3*K266)-CalculCotation!$D$3+1,0)&gt;L266,ROUND(CalculCotation!$D$3*EXP(CalculCotation!$C$3*K266)-CalculCotation!$D$3+1,0),L266)</f>
        <v>#DIV/0!</v>
      </c>
    </row>
    <row r="267" spans="2:13" x14ac:dyDescent="0.3">
      <c r="B267" s="1">
        <f>BDD!C270</f>
        <v>0</v>
      </c>
      <c r="C267" s="1">
        <f>BDD!B270</f>
        <v>0</v>
      </c>
      <c r="D267" s="1">
        <f>BDD!A270</f>
        <v>0</v>
      </c>
      <c r="E267" s="1">
        <f>BDD!D270</f>
        <v>0</v>
      </c>
      <c r="F267" s="1">
        <f>BDD!F270</f>
        <v>0</v>
      </c>
      <c r="G267" s="25">
        <f>'ButsMPG + Var'!$I$39*IF(C267="A",COUNTIF(BDD!H270:AR270,10)*'ButsMPG + Var'!$K$12+COUNTIF(BDD!H270:AR270,9)*'ButsMPG + Var'!$K$11+COUNTIF(BDD!H270:AR270,8)*'ButsMPG + Var'!$K$10+COUNTIF(BDD!H270:AR270,7)*'ButsMPG + Var'!$K$9+COUNTIF(BDD!H270:AR270,6)*'ButsMPG + Var'!$K$8+COUNTIF(BDD!H270:AR270,5)*'ButsMPG + Var'!$K$7+COUNTIF(BDD!H270:AR270,4)*'ButsMPG + Var'!$K$6+COUNTIF(BDD!H270:AR270,3)*'ButsMPG + Var'!$K$5+COUNTIF(BDD!H270:AR270,2)*'ButsMPG + Var'!$K$4+COUNTIF(BDD!H270:AR270,1)*'ButsMPG + Var'!$K$3,IF(C267="M",COUNTIF(BDD!H270:AR270,10)*'ButsMPG + Var'!$K$22+COUNTIF(BDD!H270:AR270,9)*'ButsMPG + Var'!$K$21+COUNTIF(BDD!H270:AR270,8)*'ButsMPG + Var'!$K$20+COUNTIF(BDD!H270:AR270,7)*'ButsMPG + Var'!$K$19+COUNTIF(BDD!H270:AR270,6)*'ButsMPG + Var'!$K$18+COUNTIF(BDD!H270:AR270,5)*'ButsMPG + Var'!$K$17+COUNTIF(BDD!H270:AR270,4)*'ButsMPG + Var'!$K$16+COUNTIF(BDD!H270:AR270,3)*'ButsMPG + Var'!$K$15+COUNTIF(BDD!H270:AR270,2)*'ButsMPG + Var'!$K$14+COUNTIF(BDD!H270:AR270,1)*'ButsMPG + Var'!$K$13,IF(C267="D",COUNTIF(BDD!H270:AR270,10)*'ButsMPG + Var'!$K$32+COUNTIF(BDD!H270:AR270,9)*'ButsMPG + Var'!$K$31+COUNTIF(BDD!H270:AR270,8)*'ButsMPG + Var'!$K$30+COUNTIF(BDD!H270:AR270,7)*'ButsMPG + Var'!$K$29+COUNTIF(BDD!H270:AR270,6)*'ButsMPG + Var'!$K$28+COUNTIF(BDD!H270:AR270,5)*'ButsMPG + Var'!$K$27+COUNTIF(BDD!H270:AR270,4)*'ButsMPG + Var'!$K$26+COUNTIF(BDD!H270:AR270,3)*'ButsMPG + Var'!$K$25+COUNTIF(BDD!H270:AR270,2)*'ButsMPG + Var'!$K$24+COUNTIF(BDD!H270:AR270,1)*'ButsMPG + Var'!$K$23,0)))</f>
        <v>0</v>
      </c>
      <c r="H267" s="25">
        <f t="shared" si="5"/>
        <v>0</v>
      </c>
      <c r="I267" s="25">
        <f>BDD!G270</f>
        <v>0</v>
      </c>
      <c r="J267" s="25">
        <f>SUMPRODUCT(BDD!H270:AS270,'ButsMPG + Var'!$B$46:$AM$46)</f>
        <v>0</v>
      </c>
      <c r="K267" s="25" t="e">
        <f>10*('ButsMPG + Var'!$H$37*J267/MAX(J:J)+'ButsMPG + Var'!$G$37*H267/MAX(H:H))</f>
        <v>#DIV/0!</v>
      </c>
      <c r="L267" s="1">
        <f>IF(ISNA(VLOOKUP(B267,PrixMini!$B$3:$E$573,4,FALSE)),1,VLOOKUP(B267,PrixMini!$B$3:$E$573,4,FALSE))</f>
        <v>1</v>
      </c>
      <c r="M267" s="25" t="e">
        <f>IF(ROUND(CalculCotation!$D$3*EXP(CalculCotation!$C$3*K267)-CalculCotation!$D$3+1,0)&gt;L267,ROUND(CalculCotation!$D$3*EXP(CalculCotation!$C$3*K267)-CalculCotation!$D$3+1,0),L267)</f>
        <v>#DIV/0!</v>
      </c>
    </row>
    <row r="268" spans="2:13" x14ac:dyDescent="0.3">
      <c r="B268" s="1">
        <f>BDD!C271</f>
        <v>0</v>
      </c>
      <c r="C268" s="1">
        <f>BDD!B271</f>
        <v>0</v>
      </c>
      <c r="D268" s="1">
        <f>BDD!A271</f>
        <v>0</v>
      </c>
      <c r="E268" s="1">
        <f>BDD!D271</f>
        <v>0</v>
      </c>
      <c r="F268" s="1">
        <f>BDD!F271</f>
        <v>0</v>
      </c>
      <c r="G268" s="25">
        <f>'ButsMPG + Var'!$I$39*IF(C268="A",COUNTIF(BDD!H271:AR271,10)*'ButsMPG + Var'!$K$12+COUNTIF(BDD!H271:AR271,9)*'ButsMPG + Var'!$K$11+COUNTIF(BDD!H271:AR271,8)*'ButsMPG + Var'!$K$10+COUNTIF(BDD!H271:AR271,7)*'ButsMPG + Var'!$K$9+COUNTIF(BDD!H271:AR271,6)*'ButsMPG + Var'!$K$8+COUNTIF(BDD!H271:AR271,5)*'ButsMPG + Var'!$K$7+COUNTIF(BDD!H271:AR271,4)*'ButsMPG + Var'!$K$6+COUNTIF(BDD!H271:AR271,3)*'ButsMPG + Var'!$K$5+COUNTIF(BDD!H271:AR271,2)*'ButsMPG + Var'!$K$4+COUNTIF(BDD!H271:AR271,1)*'ButsMPG + Var'!$K$3,IF(C268="M",COUNTIF(BDD!H271:AR271,10)*'ButsMPG + Var'!$K$22+COUNTIF(BDD!H271:AR271,9)*'ButsMPG + Var'!$K$21+COUNTIF(BDD!H271:AR271,8)*'ButsMPG + Var'!$K$20+COUNTIF(BDD!H271:AR271,7)*'ButsMPG + Var'!$K$19+COUNTIF(BDD!H271:AR271,6)*'ButsMPG + Var'!$K$18+COUNTIF(BDD!H271:AR271,5)*'ButsMPG + Var'!$K$17+COUNTIF(BDD!H271:AR271,4)*'ButsMPG + Var'!$K$16+COUNTIF(BDD!H271:AR271,3)*'ButsMPG + Var'!$K$15+COUNTIF(BDD!H271:AR271,2)*'ButsMPG + Var'!$K$14+COUNTIF(BDD!H271:AR271,1)*'ButsMPG + Var'!$K$13,IF(C268="D",COUNTIF(BDD!H271:AR271,10)*'ButsMPG + Var'!$K$32+COUNTIF(BDD!H271:AR271,9)*'ButsMPG + Var'!$K$31+COUNTIF(BDD!H271:AR271,8)*'ButsMPG + Var'!$K$30+COUNTIF(BDD!H271:AR271,7)*'ButsMPG + Var'!$K$29+COUNTIF(BDD!H271:AR271,6)*'ButsMPG + Var'!$K$28+COUNTIF(BDD!H271:AR271,5)*'ButsMPG + Var'!$K$27+COUNTIF(BDD!H271:AR271,4)*'ButsMPG + Var'!$K$26+COUNTIF(BDD!H271:AR271,3)*'ButsMPG + Var'!$K$25+COUNTIF(BDD!H271:AR271,2)*'ButsMPG + Var'!$K$24+COUNTIF(BDD!H271:AR271,1)*'ButsMPG + Var'!$K$23,0)))</f>
        <v>0</v>
      </c>
      <c r="H268" s="25">
        <f t="shared" si="5"/>
        <v>0</v>
      </c>
      <c r="I268" s="25">
        <f>BDD!G271</f>
        <v>0</v>
      </c>
      <c r="J268" s="25">
        <f>SUMPRODUCT(BDD!H271:AS271,'ButsMPG + Var'!$B$46:$AM$46)</f>
        <v>0</v>
      </c>
      <c r="K268" s="25" t="e">
        <f>10*('ButsMPG + Var'!$H$37*J268/MAX(J:J)+'ButsMPG + Var'!$G$37*H268/MAX(H:H))</f>
        <v>#DIV/0!</v>
      </c>
      <c r="L268" s="1">
        <f>IF(ISNA(VLOOKUP(B268,PrixMini!$B$3:$E$573,4,FALSE)),1,VLOOKUP(B268,PrixMini!$B$3:$E$573,4,FALSE))</f>
        <v>1</v>
      </c>
      <c r="M268" s="25" t="e">
        <f>IF(ROUND(CalculCotation!$D$3*EXP(CalculCotation!$C$3*K268)-CalculCotation!$D$3+1,0)&gt;L268,ROUND(CalculCotation!$D$3*EXP(CalculCotation!$C$3*K268)-CalculCotation!$D$3+1,0),L268)</f>
        <v>#DIV/0!</v>
      </c>
    </row>
    <row r="269" spans="2:13" x14ac:dyDescent="0.3">
      <c r="B269" s="1">
        <f>BDD!C272</f>
        <v>0</v>
      </c>
      <c r="C269" s="1">
        <f>BDD!B272</f>
        <v>0</v>
      </c>
      <c r="D269" s="1">
        <f>BDD!A272</f>
        <v>0</v>
      </c>
      <c r="E269" s="1">
        <f>BDD!D272</f>
        <v>0</v>
      </c>
      <c r="F269" s="1">
        <f>BDD!F272</f>
        <v>0</v>
      </c>
      <c r="G269" s="25">
        <f>'ButsMPG + Var'!$I$39*IF(C269="A",COUNTIF(BDD!H272:AR272,10)*'ButsMPG + Var'!$K$12+COUNTIF(BDD!H272:AR272,9)*'ButsMPG + Var'!$K$11+COUNTIF(BDD!H272:AR272,8)*'ButsMPG + Var'!$K$10+COUNTIF(BDD!H272:AR272,7)*'ButsMPG + Var'!$K$9+COUNTIF(BDD!H272:AR272,6)*'ButsMPG + Var'!$K$8+COUNTIF(BDD!H272:AR272,5)*'ButsMPG + Var'!$K$7+COUNTIF(BDD!H272:AR272,4)*'ButsMPG + Var'!$K$6+COUNTIF(BDD!H272:AR272,3)*'ButsMPG + Var'!$K$5+COUNTIF(BDD!H272:AR272,2)*'ButsMPG + Var'!$K$4+COUNTIF(BDD!H272:AR272,1)*'ButsMPG + Var'!$K$3,IF(C269="M",COUNTIF(BDD!H272:AR272,10)*'ButsMPG + Var'!$K$22+COUNTIF(BDD!H272:AR272,9)*'ButsMPG + Var'!$K$21+COUNTIF(BDD!H272:AR272,8)*'ButsMPG + Var'!$K$20+COUNTIF(BDD!H272:AR272,7)*'ButsMPG + Var'!$K$19+COUNTIF(BDD!H272:AR272,6)*'ButsMPG + Var'!$K$18+COUNTIF(BDD!H272:AR272,5)*'ButsMPG + Var'!$K$17+COUNTIF(BDD!H272:AR272,4)*'ButsMPG + Var'!$K$16+COUNTIF(BDD!H272:AR272,3)*'ButsMPG + Var'!$K$15+COUNTIF(BDD!H272:AR272,2)*'ButsMPG + Var'!$K$14+COUNTIF(BDD!H272:AR272,1)*'ButsMPG + Var'!$K$13,IF(C269="D",COUNTIF(BDD!H272:AR272,10)*'ButsMPG + Var'!$K$32+COUNTIF(BDD!H272:AR272,9)*'ButsMPG + Var'!$K$31+COUNTIF(BDD!H272:AR272,8)*'ButsMPG + Var'!$K$30+COUNTIF(BDD!H272:AR272,7)*'ButsMPG + Var'!$K$29+COUNTIF(BDD!H272:AR272,6)*'ButsMPG + Var'!$K$28+COUNTIF(BDD!H272:AR272,5)*'ButsMPG + Var'!$K$27+COUNTIF(BDD!H272:AR272,4)*'ButsMPG + Var'!$K$26+COUNTIF(BDD!H272:AR272,3)*'ButsMPG + Var'!$K$25+COUNTIF(BDD!H272:AR272,2)*'ButsMPG + Var'!$K$24+COUNTIF(BDD!H272:AR272,1)*'ButsMPG + Var'!$K$23,0)))</f>
        <v>0</v>
      </c>
      <c r="H269" s="25">
        <f t="shared" si="5"/>
        <v>0</v>
      </c>
      <c r="I269" s="25">
        <f>BDD!G272</f>
        <v>0</v>
      </c>
      <c r="J269" s="25">
        <f>SUMPRODUCT(BDD!H272:AS272,'ButsMPG + Var'!$B$46:$AM$46)</f>
        <v>0</v>
      </c>
      <c r="K269" s="25" t="e">
        <f>10*('ButsMPG + Var'!$H$37*J269/MAX(J:J)+'ButsMPG + Var'!$G$37*H269/MAX(H:H))</f>
        <v>#DIV/0!</v>
      </c>
      <c r="L269" s="1">
        <f>IF(ISNA(VLOOKUP(B269,PrixMini!$B$3:$E$573,4,FALSE)),1,VLOOKUP(B269,PrixMini!$B$3:$E$573,4,FALSE))</f>
        <v>1</v>
      </c>
      <c r="M269" s="25" t="e">
        <f>IF(ROUND(CalculCotation!$D$3*EXP(CalculCotation!$C$3*K269)-CalculCotation!$D$3+1,0)&gt;L269,ROUND(CalculCotation!$D$3*EXP(CalculCotation!$C$3*K269)-CalculCotation!$D$3+1,0),L269)</f>
        <v>#DIV/0!</v>
      </c>
    </row>
    <row r="270" spans="2:13" x14ac:dyDescent="0.3">
      <c r="B270" s="1">
        <f>BDD!C273</f>
        <v>0</v>
      </c>
      <c r="C270" s="1">
        <f>BDD!B273</f>
        <v>0</v>
      </c>
      <c r="D270" s="1">
        <f>BDD!A273</f>
        <v>0</v>
      </c>
      <c r="E270" s="1">
        <f>BDD!D273</f>
        <v>0</v>
      </c>
      <c r="F270" s="1">
        <f>BDD!F273</f>
        <v>0</v>
      </c>
      <c r="G270" s="25">
        <f>'ButsMPG + Var'!$I$39*IF(C270="A",COUNTIF(BDD!H273:AR273,10)*'ButsMPG + Var'!$K$12+COUNTIF(BDD!H273:AR273,9)*'ButsMPG + Var'!$K$11+COUNTIF(BDD!H273:AR273,8)*'ButsMPG + Var'!$K$10+COUNTIF(BDD!H273:AR273,7)*'ButsMPG + Var'!$K$9+COUNTIF(BDD!H273:AR273,6)*'ButsMPG + Var'!$K$8+COUNTIF(BDD!H273:AR273,5)*'ButsMPG + Var'!$K$7+COUNTIF(BDD!H273:AR273,4)*'ButsMPG + Var'!$K$6+COUNTIF(BDD!H273:AR273,3)*'ButsMPG + Var'!$K$5+COUNTIF(BDD!H273:AR273,2)*'ButsMPG + Var'!$K$4+COUNTIF(BDD!H273:AR273,1)*'ButsMPG + Var'!$K$3,IF(C270="M",COUNTIF(BDD!H273:AR273,10)*'ButsMPG + Var'!$K$22+COUNTIF(BDD!H273:AR273,9)*'ButsMPG + Var'!$K$21+COUNTIF(BDD!H273:AR273,8)*'ButsMPG + Var'!$K$20+COUNTIF(BDD!H273:AR273,7)*'ButsMPG + Var'!$K$19+COUNTIF(BDD!H273:AR273,6)*'ButsMPG + Var'!$K$18+COUNTIF(BDD!H273:AR273,5)*'ButsMPG + Var'!$K$17+COUNTIF(BDD!H273:AR273,4)*'ButsMPG + Var'!$K$16+COUNTIF(BDD!H273:AR273,3)*'ButsMPG + Var'!$K$15+COUNTIF(BDD!H273:AR273,2)*'ButsMPG + Var'!$K$14+COUNTIF(BDD!H273:AR273,1)*'ButsMPG + Var'!$K$13,IF(C270="D",COUNTIF(BDD!H273:AR273,10)*'ButsMPG + Var'!$K$32+COUNTIF(BDD!H273:AR273,9)*'ButsMPG + Var'!$K$31+COUNTIF(BDD!H273:AR273,8)*'ButsMPG + Var'!$K$30+COUNTIF(BDD!H273:AR273,7)*'ButsMPG + Var'!$K$29+COUNTIF(BDD!H273:AR273,6)*'ButsMPG + Var'!$K$28+COUNTIF(BDD!H273:AR273,5)*'ButsMPG + Var'!$K$27+COUNTIF(BDD!H273:AR273,4)*'ButsMPG + Var'!$K$26+COUNTIF(BDD!H273:AR273,3)*'ButsMPG + Var'!$K$25+COUNTIF(BDD!H273:AR273,2)*'ButsMPG + Var'!$K$24+COUNTIF(BDD!H273:AR273,1)*'ButsMPG + Var'!$K$23,0)))</f>
        <v>0</v>
      </c>
      <c r="H270" s="25">
        <f t="shared" si="5"/>
        <v>0</v>
      </c>
      <c r="I270" s="25">
        <f>BDD!G273</f>
        <v>0</v>
      </c>
      <c r="J270" s="25">
        <f>SUMPRODUCT(BDD!H273:AS273,'ButsMPG + Var'!$B$46:$AM$46)</f>
        <v>0</v>
      </c>
      <c r="K270" s="25" t="e">
        <f>10*('ButsMPG + Var'!$H$37*J270/MAX(J:J)+'ButsMPG + Var'!$G$37*H270/MAX(H:H))</f>
        <v>#DIV/0!</v>
      </c>
      <c r="L270" s="1">
        <f>IF(ISNA(VLOOKUP(B270,PrixMini!$B$3:$E$573,4,FALSE)),1,VLOOKUP(B270,PrixMini!$B$3:$E$573,4,FALSE))</f>
        <v>1</v>
      </c>
      <c r="M270" s="25" t="e">
        <f>IF(ROUND(CalculCotation!$D$3*EXP(CalculCotation!$C$3*K270)-CalculCotation!$D$3+1,0)&gt;L270,ROUND(CalculCotation!$D$3*EXP(CalculCotation!$C$3*K270)-CalculCotation!$D$3+1,0),L270)</f>
        <v>#DIV/0!</v>
      </c>
    </row>
    <row r="271" spans="2:13" x14ac:dyDescent="0.3">
      <c r="B271" s="1">
        <f>BDD!C274</f>
        <v>0</v>
      </c>
      <c r="C271" s="1">
        <f>BDD!B274</f>
        <v>0</v>
      </c>
      <c r="D271" s="1">
        <f>BDD!A274</f>
        <v>0</v>
      </c>
      <c r="E271" s="1">
        <f>BDD!D274</f>
        <v>0</v>
      </c>
      <c r="F271" s="1">
        <f>BDD!F274</f>
        <v>0</v>
      </c>
      <c r="G271" s="25">
        <f>'ButsMPG + Var'!$I$39*IF(C271="A",COUNTIF(BDD!H274:AR274,10)*'ButsMPG + Var'!$K$12+COUNTIF(BDD!H274:AR274,9)*'ButsMPG + Var'!$K$11+COUNTIF(BDD!H274:AR274,8)*'ButsMPG + Var'!$K$10+COUNTIF(BDD!H274:AR274,7)*'ButsMPG + Var'!$K$9+COUNTIF(BDD!H274:AR274,6)*'ButsMPG + Var'!$K$8+COUNTIF(BDD!H274:AR274,5)*'ButsMPG + Var'!$K$7+COUNTIF(BDD!H274:AR274,4)*'ButsMPG + Var'!$K$6+COUNTIF(BDD!H274:AR274,3)*'ButsMPG + Var'!$K$5+COUNTIF(BDD!H274:AR274,2)*'ButsMPG + Var'!$K$4+COUNTIF(BDD!H274:AR274,1)*'ButsMPG + Var'!$K$3,IF(C271="M",COUNTIF(BDD!H274:AR274,10)*'ButsMPG + Var'!$K$22+COUNTIF(BDD!H274:AR274,9)*'ButsMPG + Var'!$K$21+COUNTIF(BDD!H274:AR274,8)*'ButsMPG + Var'!$K$20+COUNTIF(BDD!H274:AR274,7)*'ButsMPG + Var'!$K$19+COUNTIF(BDD!H274:AR274,6)*'ButsMPG + Var'!$K$18+COUNTIF(BDD!H274:AR274,5)*'ButsMPG + Var'!$K$17+COUNTIF(BDD!H274:AR274,4)*'ButsMPG + Var'!$K$16+COUNTIF(BDD!H274:AR274,3)*'ButsMPG + Var'!$K$15+COUNTIF(BDD!H274:AR274,2)*'ButsMPG + Var'!$K$14+COUNTIF(BDD!H274:AR274,1)*'ButsMPG + Var'!$K$13,IF(C271="D",COUNTIF(BDD!H274:AR274,10)*'ButsMPG + Var'!$K$32+COUNTIF(BDD!H274:AR274,9)*'ButsMPG + Var'!$K$31+COUNTIF(BDD!H274:AR274,8)*'ButsMPG + Var'!$K$30+COUNTIF(BDD!H274:AR274,7)*'ButsMPG + Var'!$K$29+COUNTIF(BDD!H274:AR274,6)*'ButsMPG + Var'!$K$28+COUNTIF(BDD!H274:AR274,5)*'ButsMPG + Var'!$K$27+COUNTIF(BDD!H274:AR274,4)*'ButsMPG + Var'!$K$26+COUNTIF(BDD!H274:AR274,3)*'ButsMPG + Var'!$K$25+COUNTIF(BDD!H274:AR274,2)*'ButsMPG + Var'!$K$24+COUNTIF(BDD!H274:AR274,1)*'ButsMPG + Var'!$K$23,0)))</f>
        <v>0</v>
      </c>
      <c r="H271" s="25">
        <f t="shared" si="5"/>
        <v>0</v>
      </c>
      <c r="I271" s="25">
        <f>BDD!G274</f>
        <v>0</v>
      </c>
      <c r="J271" s="25">
        <f>SUMPRODUCT(BDD!H274:AS274,'ButsMPG + Var'!$B$46:$AM$46)</f>
        <v>0</v>
      </c>
      <c r="K271" s="25" t="e">
        <f>10*('ButsMPG + Var'!$H$37*J271/MAX(J:J)+'ButsMPG + Var'!$G$37*H271/MAX(H:H))</f>
        <v>#DIV/0!</v>
      </c>
      <c r="L271" s="1">
        <f>IF(ISNA(VLOOKUP(B271,PrixMini!$B$3:$E$573,4,FALSE)),1,VLOOKUP(B271,PrixMini!$B$3:$E$573,4,FALSE))</f>
        <v>1</v>
      </c>
      <c r="M271" s="25" t="e">
        <f>IF(ROUND(CalculCotation!$D$3*EXP(CalculCotation!$C$3*K271)-CalculCotation!$D$3+1,0)&gt;L271,ROUND(CalculCotation!$D$3*EXP(CalculCotation!$C$3*K271)-CalculCotation!$D$3+1,0),L271)</f>
        <v>#DIV/0!</v>
      </c>
    </row>
    <row r="272" spans="2:13" x14ac:dyDescent="0.3">
      <c r="B272" s="1">
        <f>BDD!C275</f>
        <v>0</v>
      </c>
      <c r="C272" s="1">
        <f>BDD!B275</f>
        <v>0</v>
      </c>
      <c r="D272" s="1">
        <f>BDD!A275</f>
        <v>0</v>
      </c>
      <c r="E272" s="1">
        <f>BDD!D275</f>
        <v>0</v>
      </c>
      <c r="F272" s="1">
        <f>BDD!F275</f>
        <v>0</v>
      </c>
      <c r="G272" s="25">
        <f>'ButsMPG + Var'!$I$39*IF(C272="A",COUNTIF(BDD!H275:AR275,10)*'ButsMPG + Var'!$K$12+COUNTIF(BDD!H275:AR275,9)*'ButsMPG + Var'!$K$11+COUNTIF(BDD!H275:AR275,8)*'ButsMPG + Var'!$K$10+COUNTIF(BDD!H275:AR275,7)*'ButsMPG + Var'!$K$9+COUNTIF(BDD!H275:AR275,6)*'ButsMPG + Var'!$K$8+COUNTIF(BDD!H275:AR275,5)*'ButsMPG + Var'!$K$7+COUNTIF(BDD!H275:AR275,4)*'ButsMPG + Var'!$K$6+COUNTIF(BDD!H275:AR275,3)*'ButsMPG + Var'!$K$5+COUNTIF(BDD!H275:AR275,2)*'ButsMPG + Var'!$K$4+COUNTIF(BDD!H275:AR275,1)*'ButsMPG + Var'!$K$3,IF(C272="M",COUNTIF(BDD!H275:AR275,10)*'ButsMPG + Var'!$K$22+COUNTIF(BDD!H275:AR275,9)*'ButsMPG + Var'!$K$21+COUNTIF(BDD!H275:AR275,8)*'ButsMPG + Var'!$K$20+COUNTIF(BDD!H275:AR275,7)*'ButsMPG + Var'!$K$19+COUNTIF(BDD!H275:AR275,6)*'ButsMPG + Var'!$K$18+COUNTIF(BDD!H275:AR275,5)*'ButsMPG + Var'!$K$17+COUNTIF(BDD!H275:AR275,4)*'ButsMPG + Var'!$K$16+COUNTIF(BDD!H275:AR275,3)*'ButsMPG + Var'!$K$15+COUNTIF(BDD!H275:AR275,2)*'ButsMPG + Var'!$K$14+COUNTIF(BDD!H275:AR275,1)*'ButsMPG + Var'!$K$13,IF(C272="D",COUNTIF(BDD!H275:AR275,10)*'ButsMPG + Var'!$K$32+COUNTIF(BDD!H275:AR275,9)*'ButsMPG + Var'!$K$31+COUNTIF(BDD!H275:AR275,8)*'ButsMPG + Var'!$K$30+COUNTIF(BDD!H275:AR275,7)*'ButsMPG + Var'!$K$29+COUNTIF(BDD!H275:AR275,6)*'ButsMPG + Var'!$K$28+COUNTIF(BDD!H275:AR275,5)*'ButsMPG + Var'!$K$27+COUNTIF(BDD!H275:AR275,4)*'ButsMPG + Var'!$K$26+COUNTIF(BDD!H275:AR275,3)*'ButsMPG + Var'!$K$25+COUNTIF(BDD!H275:AR275,2)*'ButsMPG + Var'!$K$24+COUNTIF(BDD!H275:AR275,1)*'ButsMPG + Var'!$K$23,0)))</f>
        <v>0</v>
      </c>
      <c r="H272" s="25">
        <f t="shared" si="5"/>
        <v>0</v>
      </c>
      <c r="I272" s="25">
        <f>BDD!G275</f>
        <v>0</v>
      </c>
      <c r="J272" s="25">
        <f>SUMPRODUCT(BDD!H275:AS275,'ButsMPG + Var'!$B$46:$AM$46)</f>
        <v>0</v>
      </c>
      <c r="K272" s="25" t="e">
        <f>10*('ButsMPG + Var'!$H$37*J272/MAX(J:J)+'ButsMPG + Var'!$G$37*H272/MAX(H:H))</f>
        <v>#DIV/0!</v>
      </c>
      <c r="L272" s="1">
        <f>IF(ISNA(VLOOKUP(B272,PrixMini!$B$3:$E$573,4,FALSE)),1,VLOOKUP(B272,PrixMini!$B$3:$E$573,4,FALSE))</f>
        <v>1</v>
      </c>
      <c r="M272" s="25" t="e">
        <f>IF(ROUND(CalculCotation!$D$3*EXP(CalculCotation!$C$3*K272)-CalculCotation!$D$3+1,0)&gt;L272,ROUND(CalculCotation!$D$3*EXP(CalculCotation!$C$3*K272)-CalculCotation!$D$3+1,0),L272)</f>
        <v>#DIV/0!</v>
      </c>
    </row>
    <row r="273" spans="2:13" x14ac:dyDescent="0.3">
      <c r="B273" s="1">
        <f>BDD!C276</f>
        <v>0</v>
      </c>
      <c r="C273" s="1">
        <f>BDD!B276</f>
        <v>0</v>
      </c>
      <c r="D273" s="1">
        <f>BDD!A276</f>
        <v>0</v>
      </c>
      <c r="E273" s="1">
        <f>BDD!D276</f>
        <v>0</v>
      </c>
      <c r="F273" s="1">
        <f>BDD!F276</f>
        <v>0</v>
      </c>
      <c r="G273" s="25">
        <f>'ButsMPG + Var'!$I$39*IF(C273="A",COUNTIF(BDD!H276:AR276,10)*'ButsMPG + Var'!$K$12+COUNTIF(BDD!H276:AR276,9)*'ButsMPG + Var'!$K$11+COUNTIF(BDD!H276:AR276,8)*'ButsMPG + Var'!$K$10+COUNTIF(BDD!H276:AR276,7)*'ButsMPG + Var'!$K$9+COUNTIF(BDD!H276:AR276,6)*'ButsMPG + Var'!$K$8+COUNTIF(BDD!H276:AR276,5)*'ButsMPG + Var'!$K$7+COUNTIF(BDD!H276:AR276,4)*'ButsMPG + Var'!$K$6+COUNTIF(BDD!H276:AR276,3)*'ButsMPG + Var'!$K$5+COUNTIF(BDD!H276:AR276,2)*'ButsMPG + Var'!$K$4+COUNTIF(BDD!H276:AR276,1)*'ButsMPG + Var'!$K$3,IF(C273="M",COUNTIF(BDD!H276:AR276,10)*'ButsMPG + Var'!$K$22+COUNTIF(BDD!H276:AR276,9)*'ButsMPG + Var'!$K$21+COUNTIF(BDD!H276:AR276,8)*'ButsMPG + Var'!$K$20+COUNTIF(BDD!H276:AR276,7)*'ButsMPG + Var'!$K$19+COUNTIF(BDD!H276:AR276,6)*'ButsMPG + Var'!$K$18+COUNTIF(BDD!H276:AR276,5)*'ButsMPG + Var'!$K$17+COUNTIF(BDD!H276:AR276,4)*'ButsMPG + Var'!$K$16+COUNTIF(BDD!H276:AR276,3)*'ButsMPG + Var'!$K$15+COUNTIF(BDD!H276:AR276,2)*'ButsMPG + Var'!$K$14+COUNTIF(BDD!H276:AR276,1)*'ButsMPG + Var'!$K$13,IF(C273="D",COUNTIF(BDD!H276:AR276,10)*'ButsMPG + Var'!$K$32+COUNTIF(BDD!H276:AR276,9)*'ButsMPG + Var'!$K$31+COUNTIF(BDD!H276:AR276,8)*'ButsMPG + Var'!$K$30+COUNTIF(BDD!H276:AR276,7)*'ButsMPG + Var'!$K$29+COUNTIF(BDD!H276:AR276,6)*'ButsMPG + Var'!$K$28+COUNTIF(BDD!H276:AR276,5)*'ButsMPG + Var'!$K$27+COUNTIF(BDD!H276:AR276,4)*'ButsMPG + Var'!$K$26+COUNTIF(BDD!H276:AR276,3)*'ButsMPG + Var'!$K$25+COUNTIF(BDD!H276:AR276,2)*'ButsMPG + Var'!$K$24+COUNTIF(BDD!H276:AR276,1)*'ButsMPG + Var'!$K$23,0)))</f>
        <v>0</v>
      </c>
      <c r="H273" s="25">
        <f t="shared" si="5"/>
        <v>0</v>
      </c>
      <c r="I273" s="25">
        <f>BDD!G276</f>
        <v>0</v>
      </c>
      <c r="J273" s="25">
        <f>SUMPRODUCT(BDD!H276:AS276,'ButsMPG + Var'!$B$46:$AM$46)</f>
        <v>0</v>
      </c>
      <c r="K273" s="25" t="e">
        <f>10*('ButsMPG + Var'!$H$37*J273/MAX(J:J)+'ButsMPG + Var'!$G$37*H273/MAX(H:H))</f>
        <v>#DIV/0!</v>
      </c>
      <c r="L273" s="1">
        <f>IF(ISNA(VLOOKUP(B273,PrixMini!$B$3:$E$573,4,FALSE)),1,VLOOKUP(B273,PrixMini!$B$3:$E$573,4,FALSE))</f>
        <v>1</v>
      </c>
      <c r="M273" s="25" t="e">
        <f>IF(ROUND(CalculCotation!$D$3*EXP(CalculCotation!$C$3*K273)-CalculCotation!$D$3+1,0)&gt;L273,ROUND(CalculCotation!$D$3*EXP(CalculCotation!$C$3*K273)-CalculCotation!$D$3+1,0),L273)</f>
        <v>#DIV/0!</v>
      </c>
    </row>
    <row r="274" spans="2:13" x14ac:dyDescent="0.3">
      <c r="B274" s="1">
        <f>BDD!C277</f>
        <v>0</v>
      </c>
      <c r="C274" s="1">
        <f>BDD!B277</f>
        <v>0</v>
      </c>
      <c r="D274" s="1">
        <f>BDD!A277</f>
        <v>0</v>
      </c>
      <c r="E274" s="1">
        <f>BDD!D277</f>
        <v>0</v>
      </c>
      <c r="F274" s="1">
        <f>BDD!F277</f>
        <v>0</v>
      </c>
      <c r="G274" s="25">
        <f>'ButsMPG + Var'!$I$39*IF(C274="A",COUNTIF(BDD!H277:AR277,10)*'ButsMPG + Var'!$K$12+COUNTIF(BDD!H277:AR277,9)*'ButsMPG + Var'!$K$11+COUNTIF(BDD!H277:AR277,8)*'ButsMPG + Var'!$K$10+COUNTIF(BDD!H277:AR277,7)*'ButsMPG + Var'!$K$9+COUNTIF(BDD!H277:AR277,6)*'ButsMPG + Var'!$K$8+COUNTIF(BDD!H277:AR277,5)*'ButsMPG + Var'!$K$7+COUNTIF(BDD!H277:AR277,4)*'ButsMPG + Var'!$K$6+COUNTIF(BDD!H277:AR277,3)*'ButsMPG + Var'!$K$5+COUNTIF(BDD!H277:AR277,2)*'ButsMPG + Var'!$K$4+COUNTIF(BDD!H277:AR277,1)*'ButsMPG + Var'!$K$3,IF(C274="M",COUNTIF(BDD!H277:AR277,10)*'ButsMPG + Var'!$K$22+COUNTIF(BDD!H277:AR277,9)*'ButsMPG + Var'!$K$21+COUNTIF(BDD!H277:AR277,8)*'ButsMPG + Var'!$K$20+COUNTIF(BDD!H277:AR277,7)*'ButsMPG + Var'!$K$19+COUNTIF(BDD!H277:AR277,6)*'ButsMPG + Var'!$K$18+COUNTIF(BDD!H277:AR277,5)*'ButsMPG + Var'!$K$17+COUNTIF(BDD!H277:AR277,4)*'ButsMPG + Var'!$K$16+COUNTIF(BDD!H277:AR277,3)*'ButsMPG + Var'!$K$15+COUNTIF(BDD!H277:AR277,2)*'ButsMPG + Var'!$K$14+COUNTIF(BDD!H277:AR277,1)*'ButsMPG + Var'!$K$13,IF(C274="D",COUNTIF(BDD!H277:AR277,10)*'ButsMPG + Var'!$K$32+COUNTIF(BDD!H277:AR277,9)*'ButsMPG + Var'!$K$31+COUNTIF(BDD!H277:AR277,8)*'ButsMPG + Var'!$K$30+COUNTIF(BDD!H277:AR277,7)*'ButsMPG + Var'!$K$29+COUNTIF(BDD!H277:AR277,6)*'ButsMPG + Var'!$K$28+COUNTIF(BDD!H277:AR277,5)*'ButsMPG + Var'!$K$27+COUNTIF(BDD!H277:AR277,4)*'ButsMPG + Var'!$K$26+COUNTIF(BDD!H277:AR277,3)*'ButsMPG + Var'!$K$25+COUNTIF(BDD!H277:AR277,2)*'ButsMPG + Var'!$K$24+COUNTIF(BDD!H277:AR277,1)*'ButsMPG + Var'!$K$23,0)))</f>
        <v>0</v>
      </c>
      <c r="H274" s="25">
        <f t="shared" si="5"/>
        <v>0</v>
      </c>
      <c r="I274" s="25">
        <f>BDD!G277</f>
        <v>0</v>
      </c>
      <c r="J274" s="25">
        <f>SUMPRODUCT(BDD!H277:AS277,'ButsMPG + Var'!$B$46:$AM$46)</f>
        <v>0</v>
      </c>
      <c r="K274" s="25" t="e">
        <f>10*('ButsMPG + Var'!$H$37*J274/MAX(J:J)+'ButsMPG + Var'!$G$37*H274/MAX(H:H))</f>
        <v>#DIV/0!</v>
      </c>
      <c r="L274" s="1">
        <f>IF(ISNA(VLOOKUP(B274,PrixMini!$B$3:$E$573,4,FALSE)),1,VLOOKUP(B274,PrixMini!$B$3:$E$573,4,FALSE))</f>
        <v>1</v>
      </c>
      <c r="M274" s="25" t="e">
        <f>IF(ROUND(CalculCotation!$D$3*EXP(CalculCotation!$C$3*K274)-CalculCotation!$D$3+1,0)&gt;L274,ROUND(CalculCotation!$D$3*EXP(CalculCotation!$C$3*K274)-CalculCotation!$D$3+1,0),L274)</f>
        <v>#DIV/0!</v>
      </c>
    </row>
    <row r="275" spans="2:13" x14ac:dyDescent="0.3">
      <c r="B275" s="1">
        <f>BDD!C278</f>
        <v>0</v>
      </c>
      <c r="C275" s="1">
        <f>BDD!B278</f>
        <v>0</v>
      </c>
      <c r="D275" s="1">
        <f>BDD!A278</f>
        <v>0</v>
      </c>
      <c r="E275" s="1">
        <f>BDD!D278</f>
        <v>0</v>
      </c>
      <c r="F275" s="1">
        <f>BDD!F278</f>
        <v>0</v>
      </c>
      <c r="G275" s="25">
        <f>'ButsMPG + Var'!$I$39*IF(C275="A",COUNTIF(BDD!H278:AR278,10)*'ButsMPG + Var'!$K$12+COUNTIF(BDD!H278:AR278,9)*'ButsMPG + Var'!$K$11+COUNTIF(BDD!H278:AR278,8)*'ButsMPG + Var'!$K$10+COUNTIF(BDD!H278:AR278,7)*'ButsMPG + Var'!$K$9+COUNTIF(BDD!H278:AR278,6)*'ButsMPG + Var'!$K$8+COUNTIF(BDD!H278:AR278,5)*'ButsMPG + Var'!$K$7+COUNTIF(BDD!H278:AR278,4)*'ButsMPG + Var'!$K$6+COUNTIF(BDD!H278:AR278,3)*'ButsMPG + Var'!$K$5+COUNTIF(BDD!H278:AR278,2)*'ButsMPG + Var'!$K$4+COUNTIF(BDD!H278:AR278,1)*'ButsMPG + Var'!$K$3,IF(C275="M",COUNTIF(BDD!H278:AR278,10)*'ButsMPG + Var'!$K$22+COUNTIF(BDD!H278:AR278,9)*'ButsMPG + Var'!$K$21+COUNTIF(BDD!H278:AR278,8)*'ButsMPG + Var'!$K$20+COUNTIF(BDD!H278:AR278,7)*'ButsMPG + Var'!$K$19+COUNTIF(BDD!H278:AR278,6)*'ButsMPG + Var'!$K$18+COUNTIF(BDD!H278:AR278,5)*'ButsMPG + Var'!$K$17+COUNTIF(BDD!H278:AR278,4)*'ButsMPG + Var'!$K$16+COUNTIF(BDD!H278:AR278,3)*'ButsMPG + Var'!$K$15+COUNTIF(BDD!H278:AR278,2)*'ButsMPG + Var'!$K$14+COUNTIF(BDD!H278:AR278,1)*'ButsMPG + Var'!$K$13,IF(C275="D",COUNTIF(BDD!H278:AR278,10)*'ButsMPG + Var'!$K$32+COUNTIF(BDD!H278:AR278,9)*'ButsMPG + Var'!$K$31+COUNTIF(BDD!H278:AR278,8)*'ButsMPG + Var'!$K$30+COUNTIF(BDD!H278:AR278,7)*'ButsMPG + Var'!$K$29+COUNTIF(BDD!H278:AR278,6)*'ButsMPG + Var'!$K$28+COUNTIF(BDD!H278:AR278,5)*'ButsMPG + Var'!$K$27+COUNTIF(BDD!H278:AR278,4)*'ButsMPG + Var'!$K$26+COUNTIF(BDD!H278:AR278,3)*'ButsMPG + Var'!$K$25+COUNTIF(BDD!H278:AR278,2)*'ButsMPG + Var'!$K$24+COUNTIF(BDD!H278:AR278,1)*'ButsMPG + Var'!$K$23,0)))</f>
        <v>0</v>
      </c>
      <c r="H275" s="25">
        <f t="shared" si="5"/>
        <v>0</v>
      </c>
      <c r="I275" s="25">
        <f>BDD!G278</f>
        <v>0</v>
      </c>
      <c r="J275" s="25">
        <f>SUMPRODUCT(BDD!H278:AS278,'ButsMPG + Var'!$B$46:$AM$46)</f>
        <v>0</v>
      </c>
      <c r="K275" s="25" t="e">
        <f>10*('ButsMPG + Var'!$H$37*J275/MAX(J:J)+'ButsMPG + Var'!$G$37*H275/MAX(H:H))</f>
        <v>#DIV/0!</v>
      </c>
      <c r="L275" s="1">
        <f>IF(ISNA(VLOOKUP(B275,PrixMini!$B$3:$E$573,4,FALSE)),1,VLOOKUP(B275,PrixMini!$B$3:$E$573,4,FALSE))</f>
        <v>1</v>
      </c>
      <c r="M275" s="25" t="e">
        <f>IF(ROUND(CalculCotation!$D$3*EXP(CalculCotation!$C$3*K275)-CalculCotation!$D$3+1,0)&gt;L275,ROUND(CalculCotation!$D$3*EXP(CalculCotation!$C$3*K275)-CalculCotation!$D$3+1,0),L275)</f>
        <v>#DIV/0!</v>
      </c>
    </row>
    <row r="276" spans="2:13" x14ac:dyDescent="0.3">
      <c r="B276" s="1">
        <f>BDD!C279</f>
        <v>0</v>
      </c>
      <c r="C276" s="1">
        <f>BDD!B279</f>
        <v>0</v>
      </c>
      <c r="D276" s="1">
        <f>BDD!A279</f>
        <v>0</v>
      </c>
      <c r="E276" s="1">
        <f>BDD!D279</f>
        <v>0</v>
      </c>
      <c r="F276" s="1">
        <f>BDD!F279</f>
        <v>0</v>
      </c>
      <c r="G276" s="25">
        <f>'ButsMPG + Var'!$I$39*IF(C276="A",COUNTIF(BDD!H279:AR279,10)*'ButsMPG + Var'!$K$12+COUNTIF(BDD!H279:AR279,9)*'ButsMPG + Var'!$K$11+COUNTIF(BDD!H279:AR279,8)*'ButsMPG + Var'!$K$10+COUNTIF(BDD!H279:AR279,7)*'ButsMPG + Var'!$K$9+COUNTIF(BDD!H279:AR279,6)*'ButsMPG + Var'!$K$8+COUNTIF(BDD!H279:AR279,5)*'ButsMPG + Var'!$K$7+COUNTIF(BDD!H279:AR279,4)*'ButsMPG + Var'!$K$6+COUNTIF(BDD!H279:AR279,3)*'ButsMPG + Var'!$K$5+COUNTIF(BDD!H279:AR279,2)*'ButsMPG + Var'!$K$4+COUNTIF(BDD!H279:AR279,1)*'ButsMPG + Var'!$K$3,IF(C276="M",COUNTIF(BDD!H279:AR279,10)*'ButsMPG + Var'!$K$22+COUNTIF(BDD!H279:AR279,9)*'ButsMPG + Var'!$K$21+COUNTIF(BDD!H279:AR279,8)*'ButsMPG + Var'!$K$20+COUNTIF(BDD!H279:AR279,7)*'ButsMPG + Var'!$K$19+COUNTIF(BDD!H279:AR279,6)*'ButsMPG + Var'!$K$18+COUNTIF(BDD!H279:AR279,5)*'ButsMPG + Var'!$K$17+COUNTIF(BDD!H279:AR279,4)*'ButsMPG + Var'!$K$16+COUNTIF(BDD!H279:AR279,3)*'ButsMPG + Var'!$K$15+COUNTIF(BDD!H279:AR279,2)*'ButsMPG + Var'!$K$14+COUNTIF(BDD!H279:AR279,1)*'ButsMPG + Var'!$K$13,IF(C276="D",COUNTIF(BDD!H279:AR279,10)*'ButsMPG + Var'!$K$32+COUNTIF(BDD!H279:AR279,9)*'ButsMPG + Var'!$K$31+COUNTIF(BDD!H279:AR279,8)*'ButsMPG + Var'!$K$30+COUNTIF(BDD!H279:AR279,7)*'ButsMPG + Var'!$K$29+COUNTIF(BDD!H279:AR279,6)*'ButsMPG + Var'!$K$28+COUNTIF(BDD!H279:AR279,5)*'ButsMPG + Var'!$K$27+COUNTIF(BDD!H279:AR279,4)*'ButsMPG + Var'!$K$26+COUNTIF(BDD!H279:AR279,3)*'ButsMPG + Var'!$K$25+COUNTIF(BDD!H279:AR279,2)*'ButsMPG + Var'!$K$24+COUNTIF(BDD!H279:AR279,1)*'ButsMPG + Var'!$K$23,0)))</f>
        <v>0</v>
      </c>
      <c r="H276" s="25">
        <f t="shared" si="5"/>
        <v>0</v>
      </c>
      <c r="I276" s="25">
        <f>BDD!G279</f>
        <v>0</v>
      </c>
      <c r="J276" s="25">
        <f>SUMPRODUCT(BDD!H279:AS279,'ButsMPG + Var'!$B$46:$AM$46)</f>
        <v>0</v>
      </c>
      <c r="K276" s="25" t="e">
        <f>10*('ButsMPG + Var'!$H$37*J276/MAX(J:J)+'ButsMPG + Var'!$G$37*H276/MAX(H:H))</f>
        <v>#DIV/0!</v>
      </c>
      <c r="L276" s="1">
        <f>IF(ISNA(VLOOKUP(B276,PrixMini!$B$3:$E$573,4,FALSE)),1,VLOOKUP(B276,PrixMini!$B$3:$E$573,4,FALSE))</f>
        <v>1</v>
      </c>
      <c r="M276" s="25" t="e">
        <f>IF(ROUND(CalculCotation!$D$3*EXP(CalculCotation!$C$3*K276)-CalculCotation!$D$3+1,0)&gt;L276,ROUND(CalculCotation!$D$3*EXP(CalculCotation!$C$3*K276)-CalculCotation!$D$3+1,0),L276)</f>
        <v>#DIV/0!</v>
      </c>
    </row>
    <row r="277" spans="2:13" x14ac:dyDescent="0.3">
      <c r="B277" s="1">
        <f>BDD!C280</f>
        <v>0</v>
      </c>
      <c r="C277" s="1">
        <f>BDD!B280</f>
        <v>0</v>
      </c>
      <c r="D277" s="1">
        <f>BDD!A280</f>
        <v>0</v>
      </c>
      <c r="E277" s="1">
        <f>BDD!D280</f>
        <v>0</v>
      </c>
      <c r="F277" s="1">
        <f>BDD!F280</f>
        <v>0</v>
      </c>
      <c r="G277" s="25">
        <f>'ButsMPG + Var'!$I$39*IF(C277="A",COUNTIF(BDD!H280:AR280,10)*'ButsMPG + Var'!$K$12+COUNTIF(BDD!H280:AR280,9)*'ButsMPG + Var'!$K$11+COUNTIF(BDD!H280:AR280,8)*'ButsMPG + Var'!$K$10+COUNTIF(BDD!H280:AR280,7)*'ButsMPG + Var'!$K$9+COUNTIF(BDD!H280:AR280,6)*'ButsMPG + Var'!$K$8+COUNTIF(BDD!H280:AR280,5)*'ButsMPG + Var'!$K$7+COUNTIF(BDD!H280:AR280,4)*'ButsMPG + Var'!$K$6+COUNTIF(BDD!H280:AR280,3)*'ButsMPG + Var'!$K$5+COUNTIF(BDD!H280:AR280,2)*'ButsMPG + Var'!$K$4+COUNTIF(BDD!H280:AR280,1)*'ButsMPG + Var'!$K$3,IF(C277="M",COUNTIF(BDD!H280:AR280,10)*'ButsMPG + Var'!$K$22+COUNTIF(BDD!H280:AR280,9)*'ButsMPG + Var'!$K$21+COUNTIF(BDD!H280:AR280,8)*'ButsMPG + Var'!$K$20+COUNTIF(BDD!H280:AR280,7)*'ButsMPG + Var'!$K$19+COUNTIF(BDD!H280:AR280,6)*'ButsMPG + Var'!$K$18+COUNTIF(BDD!H280:AR280,5)*'ButsMPG + Var'!$K$17+COUNTIF(BDD!H280:AR280,4)*'ButsMPG + Var'!$K$16+COUNTIF(BDD!H280:AR280,3)*'ButsMPG + Var'!$K$15+COUNTIF(BDD!H280:AR280,2)*'ButsMPG + Var'!$K$14+COUNTIF(BDD!H280:AR280,1)*'ButsMPG + Var'!$K$13,IF(C277="D",COUNTIF(BDD!H280:AR280,10)*'ButsMPG + Var'!$K$32+COUNTIF(BDD!H280:AR280,9)*'ButsMPG + Var'!$K$31+COUNTIF(BDD!H280:AR280,8)*'ButsMPG + Var'!$K$30+COUNTIF(BDD!H280:AR280,7)*'ButsMPG + Var'!$K$29+COUNTIF(BDD!H280:AR280,6)*'ButsMPG + Var'!$K$28+COUNTIF(BDD!H280:AR280,5)*'ButsMPG + Var'!$K$27+COUNTIF(BDD!H280:AR280,4)*'ButsMPG + Var'!$K$26+COUNTIF(BDD!H280:AR280,3)*'ButsMPG + Var'!$K$25+COUNTIF(BDD!H280:AR280,2)*'ButsMPG + Var'!$K$24+COUNTIF(BDD!H280:AR280,1)*'ButsMPG + Var'!$K$23,0)))</f>
        <v>0</v>
      </c>
      <c r="H277" s="25">
        <f t="shared" si="5"/>
        <v>0</v>
      </c>
      <c r="I277" s="25">
        <f>BDD!G280</f>
        <v>0</v>
      </c>
      <c r="J277" s="25">
        <f>SUMPRODUCT(BDD!H280:AS280,'ButsMPG + Var'!$B$46:$AM$46)</f>
        <v>0</v>
      </c>
      <c r="K277" s="25" t="e">
        <f>10*('ButsMPG + Var'!$H$37*J277/MAX(J:J)+'ButsMPG + Var'!$G$37*H277/MAX(H:H))</f>
        <v>#DIV/0!</v>
      </c>
      <c r="L277" s="1">
        <f>IF(ISNA(VLOOKUP(B277,PrixMini!$B$3:$E$573,4,FALSE)),1,VLOOKUP(B277,PrixMini!$B$3:$E$573,4,FALSE))</f>
        <v>1</v>
      </c>
      <c r="M277" s="25" t="e">
        <f>IF(ROUND(CalculCotation!$D$3*EXP(CalculCotation!$C$3*K277)-CalculCotation!$D$3+1,0)&gt;L277,ROUND(CalculCotation!$D$3*EXP(CalculCotation!$C$3*K277)-CalculCotation!$D$3+1,0),L277)</f>
        <v>#DIV/0!</v>
      </c>
    </row>
    <row r="278" spans="2:13" x14ac:dyDescent="0.3">
      <c r="B278" s="1">
        <f>BDD!C281</f>
        <v>0</v>
      </c>
      <c r="C278" s="1">
        <f>BDD!B281</f>
        <v>0</v>
      </c>
      <c r="D278" s="1">
        <f>BDD!A281</f>
        <v>0</v>
      </c>
      <c r="E278" s="1">
        <f>BDD!D281</f>
        <v>0</v>
      </c>
      <c r="F278" s="1">
        <f>BDD!F281</f>
        <v>0</v>
      </c>
      <c r="G278" s="25">
        <f>'ButsMPG + Var'!$I$39*IF(C278="A",COUNTIF(BDD!H281:AR281,10)*'ButsMPG + Var'!$K$12+COUNTIF(BDD!H281:AR281,9)*'ButsMPG + Var'!$K$11+COUNTIF(BDD!H281:AR281,8)*'ButsMPG + Var'!$K$10+COUNTIF(BDD!H281:AR281,7)*'ButsMPG + Var'!$K$9+COUNTIF(BDD!H281:AR281,6)*'ButsMPG + Var'!$K$8+COUNTIF(BDD!H281:AR281,5)*'ButsMPG + Var'!$K$7+COUNTIF(BDD!H281:AR281,4)*'ButsMPG + Var'!$K$6+COUNTIF(BDD!H281:AR281,3)*'ButsMPG + Var'!$K$5+COUNTIF(BDD!H281:AR281,2)*'ButsMPG + Var'!$K$4+COUNTIF(BDD!H281:AR281,1)*'ButsMPG + Var'!$K$3,IF(C278="M",COUNTIF(BDD!H281:AR281,10)*'ButsMPG + Var'!$K$22+COUNTIF(BDD!H281:AR281,9)*'ButsMPG + Var'!$K$21+COUNTIF(BDD!H281:AR281,8)*'ButsMPG + Var'!$K$20+COUNTIF(BDD!H281:AR281,7)*'ButsMPG + Var'!$K$19+COUNTIF(BDD!H281:AR281,6)*'ButsMPG + Var'!$K$18+COUNTIF(BDD!H281:AR281,5)*'ButsMPG + Var'!$K$17+COUNTIF(BDD!H281:AR281,4)*'ButsMPG + Var'!$K$16+COUNTIF(BDD!H281:AR281,3)*'ButsMPG + Var'!$K$15+COUNTIF(BDD!H281:AR281,2)*'ButsMPG + Var'!$K$14+COUNTIF(BDD!H281:AR281,1)*'ButsMPG + Var'!$K$13,IF(C278="D",COUNTIF(BDD!H281:AR281,10)*'ButsMPG + Var'!$K$32+COUNTIF(BDD!H281:AR281,9)*'ButsMPG + Var'!$K$31+COUNTIF(BDD!H281:AR281,8)*'ButsMPG + Var'!$K$30+COUNTIF(BDD!H281:AR281,7)*'ButsMPG + Var'!$K$29+COUNTIF(BDD!H281:AR281,6)*'ButsMPG + Var'!$K$28+COUNTIF(BDD!H281:AR281,5)*'ButsMPG + Var'!$K$27+COUNTIF(BDD!H281:AR281,4)*'ButsMPG + Var'!$K$26+COUNTIF(BDD!H281:AR281,3)*'ButsMPG + Var'!$K$25+COUNTIF(BDD!H281:AR281,2)*'ButsMPG + Var'!$K$24+COUNTIF(BDD!H281:AR281,1)*'ButsMPG + Var'!$K$23,0)))</f>
        <v>0</v>
      </c>
      <c r="H278" s="25">
        <f t="shared" si="5"/>
        <v>0</v>
      </c>
      <c r="I278" s="25">
        <f>BDD!G281</f>
        <v>0</v>
      </c>
      <c r="J278" s="25">
        <f>SUMPRODUCT(BDD!H281:AS281,'ButsMPG + Var'!$B$46:$AM$46)</f>
        <v>0</v>
      </c>
      <c r="K278" s="25" t="e">
        <f>10*('ButsMPG + Var'!$H$37*J278/MAX(J:J)+'ButsMPG + Var'!$G$37*H278/MAX(H:H))</f>
        <v>#DIV/0!</v>
      </c>
      <c r="L278" s="1">
        <f>IF(ISNA(VLOOKUP(B278,PrixMini!$B$3:$E$573,4,FALSE)),1,VLOOKUP(B278,PrixMini!$B$3:$E$573,4,FALSE))</f>
        <v>1</v>
      </c>
      <c r="M278" s="25" t="e">
        <f>IF(ROUND(CalculCotation!$D$3*EXP(CalculCotation!$C$3*K278)-CalculCotation!$D$3+1,0)&gt;L278,ROUND(CalculCotation!$D$3*EXP(CalculCotation!$C$3*K278)-CalculCotation!$D$3+1,0),L278)</f>
        <v>#DIV/0!</v>
      </c>
    </row>
    <row r="279" spans="2:13" x14ac:dyDescent="0.3">
      <c r="B279" s="1">
        <f>BDD!C282</f>
        <v>0</v>
      </c>
      <c r="C279" s="1">
        <f>BDD!B282</f>
        <v>0</v>
      </c>
      <c r="D279" s="1">
        <f>BDD!A282</f>
        <v>0</v>
      </c>
      <c r="E279" s="1">
        <f>BDD!D282</f>
        <v>0</v>
      </c>
      <c r="F279" s="1">
        <f>BDD!F282</f>
        <v>0</v>
      </c>
      <c r="G279" s="25">
        <f>'ButsMPG + Var'!$I$39*IF(C279="A",COUNTIF(BDD!H282:AR282,10)*'ButsMPG + Var'!$K$12+COUNTIF(BDD!H282:AR282,9)*'ButsMPG + Var'!$K$11+COUNTIF(BDD!H282:AR282,8)*'ButsMPG + Var'!$K$10+COUNTIF(BDD!H282:AR282,7)*'ButsMPG + Var'!$K$9+COUNTIF(BDD!H282:AR282,6)*'ButsMPG + Var'!$K$8+COUNTIF(BDD!H282:AR282,5)*'ButsMPG + Var'!$K$7+COUNTIF(BDD!H282:AR282,4)*'ButsMPG + Var'!$K$6+COUNTIF(BDD!H282:AR282,3)*'ButsMPG + Var'!$K$5+COUNTIF(BDD!H282:AR282,2)*'ButsMPG + Var'!$K$4+COUNTIF(BDD!H282:AR282,1)*'ButsMPG + Var'!$K$3,IF(C279="M",COUNTIF(BDD!H282:AR282,10)*'ButsMPG + Var'!$K$22+COUNTIF(BDD!H282:AR282,9)*'ButsMPG + Var'!$K$21+COUNTIF(BDD!H282:AR282,8)*'ButsMPG + Var'!$K$20+COUNTIF(BDD!H282:AR282,7)*'ButsMPG + Var'!$K$19+COUNTIF(BDD!H282:AR282,6)*'ButsMPG + Var'!$K$18+COUNTIF(BDD!H282:AR282,5)*'ButsMPG + Var'!$K$17+COUNTIF(BDD!H282:AR282,4)*'ButsMPG + Var'!$K$16+COUNTIF(BDD!H282:AR282,3)*'ButsMPG + Var'!$K$15+COUNTIF(BDD!H282:AR282,2)*'ButsMPG + Var'!$K$14+COUNTIF(BDD!H282:AR282,1)*'ButsMPG + Var'!$K$13,IF(C279="D",COUNTIF(BDD!H282:AR282,10)*'ButsMPG + Var'!$K$32+COUNTIF(BDD!H282:AR282,9)*'ButsMPG + Var'!$K$31+COUNTIF(BDD!H282:AR282,8)*'ButsMPG + Var'!$K$30+COUNTIF(BDD!H282:AR282,7)*'ButsMPG + Var'!$K$29+COUNTIF(BDD!H282:AR282,6)*'ButsMPG + Var'!$K$28+COUNTIF(BDD!H282:AR282,5)*'ButsMPG + Var'!$K$27+COUNTIF(BDD!H282:AR282,4)*'ButsMPG + Var'!$K$26+COUNTIF(BDD!H282:AR282,3)*'ButsMPG + Var'!$K$25+COUNTIF(BDD!H282:AR282,2)*'ButsMPG + Var'!$K$24+COUNTIF(BDD!H282:AR282,1)*'ButsMPG + Var'!$K$23,0)))</f>
        <v>0</v>
      </c>
      <c r="H279" s="25">
        <f t="shared" si="5"/>
        <v>0</v>
      </c>
      <c r="I279" s="25">
        <f>BDD!G282</f>
        <v>0</v>
      </c>
      <c r="J279" s="25">
        <f>SUMPRODUCT(BDD!H282:AS282,'ButsMPG + Var'!$B$46:$AM$46)</f>
        <v>0</v>
      </c>
      <c r="K279" s="25" t="e">
        <f>10*('ButsMPG + Var'!$H$37*J279/MAX(J:J)+'ButsMPG + Var'!$G$37*H279/MAX(H:H))</f>
        <v>#DIV/0!</v>
      </c>
      <c r="L279" s="1">
        <f>IF(ISNA(VLOOKUP(B279,PrixMini!$B$3:$E$573,4,FALSE)),1,VLOOKUP(B279,PrixMini!$B$3:$E$573,4,FALSE))</f>
        <v>1</v>
      </c>
      <c r="M279" s="25" t="e">
        <f>IF(ROUND(CalculCotation!$D$3*EXP(CalculCotation!$C$3*K279)-CalculCotation!$D$3+1,0)&gt;L279,ROUND(CalculCotation!$D$3*EXP(CalculCotation!$C$3*K279)-CalculCotation!$D$3+1,0),L279)</f>
        <v>#DIV/0!</v>
      </c>
    </row>
    <row r="280" spans="2:13" x14ac:dyDescent="0.3">
      <c r="B280" s="1">
        <f>BDD!C283</f>
        <v>0</v>
      </c>
      <c r="C280" s="1">
        <f>BDD!B283</f>
        <v>0</v>
      </c>
      <c r="D280" s="1">
        <f>BDD!A283</f>
        <v>0</v>
      </c>
      <c r="E280" s="1">
        <f>BDD!D283</f>
        <v>0</v>
      </c>
      <c r="F280" s="1">
        <f>BDD!F283</f>
        <v>0</v>
      </c>
      <c r="G280" s="25">
        <f>'ButsMPG + Var'!$I$39*IF(C280="A",COUNTIF(BDD!H283:AR283,10)*'ButsMPG + Var'!$K$12+COUNTIF(BDD!H283:AR283,9)*'ButsMPG + Var'!$K$11+COUNTIF(BDD!H283:AR283,8)*'ButsMPG + Var'!$K$10+COUNTIF(BDD!H283:AR283,7)*'ButsMPG + Var'!$K$9+COUNTIF(BDD!H283:AR283,6)*'ButsMPG + Var'!$K$8+COUNTIF(BDD!H283:AR283,5)*'ButsMPG + Var'!$K$7+COUNTIF(BDD!H283:AR283,4)*'ButsMPG + Var'!$K$6+COUNTIF(BDD!H283:AR283,3)*'ButsMPG + Var'!$K$5+COUNTIF(BDD!H283:AR283,2)*'ButsMPG + Var'!$K$4+COUNTIF(BDD!H283:AR283,1)*'ButsMPG + Var'!$K$3,IF(C280="M",COUNTIF(BDD!H283:AR283,10)*'ButsMPG + Var'!$K$22+COUNTIF(BDD!H283:AR283,9)*'ButsMPG + Var'!$K$21+COUNTIF(BDD!H283:AR283,8)*'ButsMPG + Var'!$K$20+COUNTIF(BDD!H283:AR283,7)*'ButsMPG + Var'!$K$19+COUNTIF(BDD!H283:AR283,6)*'ButsMPG + Var'!$K$18+COUNTIF(BDD!H283:AR283,5)*'ButsMPG + Var'!$K$17+COUNTIF(BDD!H283:AR283,4)*'ButsMPG + Var'!$K$16+COUNTIF(BDD!H283:AR283,3)*'ButsMPG + Var'!$K$15+COUNTIF(BDD!H283:AR283,2)*'ButsMPG + Var'!$K$14+COUNTIF(BDD!H283:AR283,1)*'ButsMPG + Var'!$K$13,IF(C280="D",COUNTIF(BDD!H283:AR283,10)*'ButsMPG + Var'!$K$32+COUNTIF(BDD!H283:AR283,9)*'ButsMPG + Var'!$K$31+COUNTIF(BDD!H283:AR283,8)*'ButsMPG + Var'!$K$30+COUNTIF(BDD!H283:AR283,7)*'ButsMPG + Var'!$K$29+COUNTIF(BDD!H283:AR283,6)*'ButsMPG + Var'!$K$28+COUNTIF(BDD!H283:AR283,5)*'ButsMPG + Var'!$K$27+COUNTIF(BDD!H283:AR283,4)*'ButsMPG + Var'!$K$26+COUNTIF(BDD!H283:AR283,3)*'ButsMPG + Var'!$K$25+COUNTIF(BDD!H283:AR283,2)*'ButsMPG + Var'!$K$24+COUNTIF(BDD!H283:AR283,1)*'ButsMPG + Var'!$K$23,0)))</f>
        <v>0</v>
      </c>
      <c r="H280" s="25">
        <f t="shared" si="5"/>
        <v>0</v>
      </c>
      <c r="I280" s="25">
        <f>BDD!G283</f>
        <v>0</v>
      </c>
      <c r="J280" s="25">
        <f>SUMPRODUCT(BDD!H283:AS283,'ButsMPG + Var'!$B$46:$AM$46)</f>
        <v>0</v>
      </c>
      <c r="K280" s="25" t="e">
        <f>10*('ButsMPG + Var'!$H$37*J280/MAX(J:J)+'ButsMPG + Var'!$G$37*H280/MAX(H:H))</f>
        <v>#DIV/0!</v>
      </c>
      <c r="L280" s="1">
        <f>IF(ISNA(VLOOKUP(B280,PrixMini!$B$3:$E$573,4,FALSE)),1,VLOOKUP(B280,PrixMini!$B$3:$E$573,4,FALSE))</f>
        <v>1</v>
      </c>
      <c r="M280" s="25" t="e">
        <f>IF(ROUND(CalculCotation!$D$3*EXP(CalculCotation!$C$3*K280)-CalculCotation!$D$3+1,0)&gt;L280,ROUND(CalculCotation!$D$3*EXP(CalculCotation!$C$3*K280)-CalculCotation!$D$3+1,0),L280)</f>
        <v>#DIV/0!</v>
      </c>
    </row>
    <row r="281" spans="2:13" x14ac:dyDescent="0.3">
      <c r="B281" s="1">
        <f>BDD!C284</f>
        <v>0</v>
      </c>
      <c r="C281" s="1">
        <f>BDD!B284</f>
        <v>0</v>
      </c>
      <c r="D281" s="1">
        <f>BDD!A284</f>
        <v>0</v>
      </c>
      <c r="E281" s="1">
        <f>BDD!D284</f>
        <v>0</v>
      </c>
      <c r="F281" s="1">
        <f>BDD!F284</f>
        <v>0</v>
      </c>
      <c r="G281" s="25">
        <f>'ButsMPG + Var'!$I$39*IF(C281="A",COUNTIF(BDD!H284:AR284,10)*'ButsMPG + Var'!$K$12+COUNTIF(BDD!H284:AR284,9)*'ButsMPG + Var'!$K$11+COUNTIF(BDD!H284:AR284,8)*'ButsMPG + Var'!$K$10+COUNTIF(BDD!H284:AR284,7)*'ButsMPG + Var'!$K$9+COUNTIF(BDD!H284:AR284,6)*'ButsMPG + Var'!$K$8+COUNTIF(BDD!H284:AR284,5)*'ButsMPG + Var'!$K$7+COUNTIF(BDD!H284:AR284,4)*'ButsMPG + Var'!$K$6+COUNTIF(BDD!H284:AR284,3)*'ButsMPG + Var'!$K$5+COUNTIF(BDD!H284:AR284,2)*'ButsMPG + Var'!$K$4+COUNTIF(BDD!H284:AR284,1)*'ButsMPG + Var'!$K$3,IF(C281="M",COUNTIF(BDD!H284:AR284,10)*'ButsMPG + Var'!$K$22+COUNTIF(BDD!H284:AR284,9)*'ButsMPG + Var'!$K$21+COUNTIF(BDD!H284:AR284,8)*'ButsMPG + Var'!$K$20+COUNTIF(BDD!H284:AR284,7)*'ButsMPG + Var'!$K$19+COUNTIF(BDD!H284:AR284,6)*'ButsMPG + Var'!$K$18+COUNTIF(BDD!H284:AR284,5)*'ButsMPG + Var'!$K$17+COUNTIF(BDD!H284:AR284,4)*'ButsMPG + Var'!$K$16+COUNTIF(BDD!H284:AR284,3)*'ButsMPG + Var'!$K$15+COUNTIF(BDD!H284:AR284,2)*'ButsMPG + Var'!$K$14+COUNTIF(BDD!H284:AR284,1)*'ButsMPG + Var'!$K$13,IF(C281="D",COUNTIF(BDD!H284:AR284,10)*'ButsMPG + Var'!$K$32+COUNTIF(BDD!H284:AR284,9)*'ButsMPG + Var'!$K$31+COUNTIF(BDD!H284:AR284,8)*'ButsMPG + Var'!$K$30+COUNTIF(BDD!H284:AR284,7)*'ButsMPG + Var'!$K$29+COUNTIF(BDD!H284:AR284,6)*'ButsMPG + Var'!$K$28+COUNTIF(BDD!H284:AR284,5)*'ButsMPG + Var'!$K$27+COUNTIF(BDD!H284:AR284,4)*'ButsMPG + Var'!$K$26+COUNTIF(BDD!H284:AR284,3)*'ButsMPG + Var'!$K$25+COUNTIF(BDD!H284:AR284,2)*'ButsMPG + Var'!$K$24+COUNTIF(BDD!H284:AR284,1)*'ButsMPG + Var'!$K$23,0)))</f>
        <v>0</v>
      </c>
      <c r="H281" s="25">
        <f t="shared" si="5"/>
        <v>0</v>
      </c>
      <c r="I281" s="25">
        <f>BDD!G284</f>
        <v>0</v>
      </c>
      <c r="J281" s="25">
        <f>SUMPRODUCT(BDD!H284:AS284,'ButsMPG + Var'!$B$46:$AM$46)</f>
        <v>0</v>
      </c>
      <c r="K281" s="25" t="e">
        <f>10*('ButsMPG + Var'!$H$37*J281/MAX(J:J)+'ButsMPG + Var'!$G$37*H281/MAX(H:H))</f>
        <v>#DIV/0!</v>
      </c>
      <c r="L281" s="1">
        <f>IF(ISNA(VLOOKUP(B281,PrixMini!$B$3:$E$573,4,FALSE)),1,VLOOKUP(B281,PrixMini!$B$3:$E$573,4,FALSE))</f>
        <v>1</v>
      </c>
      <c r="M281" s="25" t="e">
        <f>IF(ROUND(CalculCotation!$D$3*EXP(CalculCotation!$C$3*K281)-CalculCotation!$D$3+1,0)&gt;L281,ROUND(CalculCotation!$D$3*EXP(CalculCotation!$C$3*K281)-CalculCotation!$D$3+1,0),L281)</f>
        <v>#DIV/0!</v>
      </c>
    </row>
    <row r="282" spans="2:13" x14ac:dyDescent="0.3">
      <c r="B282" s="1">
        <f>BDD!C285</f>
        <v>0</v>
      </c>
      <c r="C282" s="1">
        <f>BDD!B285</f>
        <v>0</v>
      </c>
      <c r="D282" s="1">
        <f>BDD!A285</f>
        <v>0</v>
      </c>
      <c r="E282" s="1">
        <f>BDD!D285</f>
        <v>0</v>
      </c>
      <c r="F282" s="1">
        <f>BDD!F285</f>
        <v>0</v>
      </c>
      <c r="G282" s="25">
        <f>'ButsMPG + Var'!$I$39*IF(C282="A",COUNTIF(BDD!H285:AR285,10)*'ButsMPG + Var'!$K$12+COUNTIF(BDD!H285:AR285,9)*'ButsMPG + Var'!$K$11+COUNTIF(BDD!H285:AR285,8)*'ButsMPG + Var'!$K$10+COUNTIF(BDD!H285:AR285,7)*'ButsMPG + Var'!$K$9+COUNTIF(BDD!H285:AR285,6)*'ButsMPG + Var'!$K$8+COUNTIF(BDD!H285:AR285,5)*'ButsMPG + Var'!$K$7+COUNTIF(BDD!H285:AR285,4)*'ButsMPG + Var'!$K$6+COUNTIF(BDD!H285:AR285,3)*'ButsMPG + Var'!$K$5+COUNTIF(BDD!H285:AR285,2)*'ButsMPG + Var'!$K$4+COUNTIF(BDD!H285:AR285,1)*'ButsMPG + Var'!$K$3,IF(C282="M",COUNTIF(BDD!H285:AR285,10)*'ButsMPG + Var'!$K$22+COUNTIF(BDD!H285:AR285,9)*'ButsMPG + Var'!$K$21+COUNTIF(BDD!H285:AR285,8)*'ButsMPG + Var'!$K$20+COUNTIF(BDD!H285:AR285,7)*'ButsMPG + Var'!$K$19+COUNTIF(BDD!H285:AR285,6)*'ButsMPG + Var'!$K$18+COUNTIF(BDD!H285:AR285,5)*'ButsMPG + Var'!$K$17+COUNTIF(BDD!H285:AR285,4)*'ButsMPG + Var'!$K$16+COUNTIF(BDD!H285:AR285,3)*'ButsMPG + Var'!$K$15+COUNTIF(BDD!H285:AR285,2)*'ButsMPG + Var'!$K$14+COUNTIF(BDD!H285:AR285,1)*'ButsMPG + Var'!$K$13,IF(C282="D",COUNTIF(BDD!H285:AR285,10)*'ButsMPG + Var'!$K$32+COUNTIF(BDD!H285:AR285,9)*'ButsMPG + Var'!$K$31+COUNTIF(BDD!H285:AR285,8)*'ButsMPG + Var'!$K$30+COUNTIF(BDD!H285:AR285,7)*'ButsMPG + Var'!$K$29+COUNTIF(BDD!H285:AR285,6)*'ButsMPG + Var'!$K$28+COUNTIF(BDD!H285:AR285,5)*'ButsMPG + Var'!$K$27+COUNTIF(BDD!H285:AR285,4)*'ButsMPG + Var'!$K$26+COUNTIF(BDD!H285:AR285,3)*'ButsMPG + Var'!$K$25+COUNTIF(BDD!H285:AR285,2)*'ButsMPG + Var'!$K$24+COUNTIF(BDD!H285:AR285,1)*'ButsMPG + Var'!$K$23,0)))</f>
        <v>0</v>
      </c>
      <c r="H282" s="25">
        <f t="shared" si="5"/>
        <v>0</v>
      </c>
      <c r="I282" s="25">
        <f>BDD!G285</f>
        <v>0</v>
      </c>
      <c r="J282" s="25">
        <f>SUMPRODUCT(BDD!H285:AS285,'ButsMPG + Var'!$B$46:$AM$46)</f>
        <v>0</v>
      </c>
      <c r="K282" s="25" t="e">
        <f>10*('ButsMPG + Var'!$H$37*J282/MAX(J:J)+'ButsMPG + Var'!$G$37*H282/MAX(H:H))</f>
        <v>#DIV/0!</v>
      </c>
      <c r="L282" s="1">
        <f>IF(ISNA(VLOOKUP(B282,PrixMini!$B$3:$E$573,4,FALSE)),1,VLOOKUP(B282,PrixMini!$B$3:$E$573,4,FALSE))</f>
        <v>1</v>
      </c>
      <c r="M282" s="25" t="e">
        <f>IF(ROUND(CalculCotation!$D$3*EXP(CalculCotation!$C$3*K282)-CalculCotation!$D$3+1,0)&gt;L282,ROUND(CalculCotation!$D$3*EXP(CalculCotation!$C$3*K282)-CalculCotation!$D$3+1,0),L282)</f>
        <v>#DIV/0!</v>
      </c>
    </row>
    <row r="283" spans="2:13" x14ac:dyDescent="0.3">
      <c r="B283" s="1">
        <f>BDD!C286</f>
        <v>0</v>
      </c>
      <c r="C283" s="1">
        <f>BDD!B286</f>
        <v>0</v>
      </c>
      <c r="D283" s="1">
        <f>BDD!A286</f>
        <v>0</v>
      </c>
      <c r="E283" s="1">
        <f>BDD!D286</f>
        <v>0</v>
      </c>
      <c r="F283" s="1">
        <f>BDD!F286</f>
        <v>0</v>
      </c>
      <c r="G283" s="25">
        <f>'ButsMPG + Var'!$I$39*IF(C283="A",COUNTIF(BDD!H286:AR286,10)*'ButsMPG + Var'!$K$12+COUNTIF(BDD!H286:AR286,9)*'ButsMPG + Var'!$K$11+COUNTIF(BDD!H286:AR286,8)*'ButsMPG + Var'!$K$10+COUNTIF(BDD!H286:AR286,7)*'ButsMPG + Var'!$K$9+COUNTIF(BDD!H286:AR286,6)*'ButsMPG + Var'!$K$8+COUNTIF(BDD!H286:AR286,5)*'ButsMPG + Var'!$K$7+COUNTIF(BDD!H286:AR286,4)*'ButsMPG + Var'!$K$6+COUNTIF(BDD!H286:AR286,3)*'ButsMPG + Var'!$K$5+COUNTIF(BDD!H286:AR286,2)*'ButsMPG + Var'!$K$4+COUNTIF(BDD!H286:AR286,1)*'ButsMPG + Var'!$K$3,IF(C283="M",COUNTIF(BDD!H286:AR286,10)*'ButsMPG + Var'!$K$22+COUNTIF(BDD!H286:AR286,9)*'ButsMPG + Var'!$K$21+COUNTIF(BDD!H286:AR286,8)*'ButsMPG + Var'!$K$20+COUNTIF(BDD!H286:AR286,7)*'ButsMPG + Var'!$K$19+COUNTIF(BDD!H286:AR286,6)*'ButsMPG + Var'!$K$18+COUNTIF(BDD!H286:AR286,5)*'ButsMPG + Var'!$K$17+COUNTIF(BDD!H286:AR286,4)*'ButsMPG + Var'!$K$16+COUNTIF(BDD!H286:AR286,3)*'ButsMPG + Var'!$K$15+COUNTIF(BDD!H286:AR286,2)*'ButsMPG + Var'!$K$14+COUNTIF(BDD!H286:AR286,1)*'ButsMPG + Var'!$K$13,IF(C283="D",COUNTIF(BDD!H286:AR286,10)*'ButsMPG + Var'!$K$32+COUNTIF(BDD!H286:AR286,9)*'ButsMPG + Var'!$K$31+COUNTIF(BDD!H286:AR286,8)*'ButsMPG + Var'!$K$30+COUNTIF(BDD!H286:AR286,7)*'ButsMPG + Var'!$K$29+COUNTIF(BDD!H286:AR286,6)*'ButsMPG + Var'!$K$28+COUNTIF(BDD!H286:AR286,5)*'ButsMPG + Var'!$K$27+COUNTIF(BDD!H286:AR286,4)*'ButsMPG + Var'!$K$26+COUNTIF(BDD!H286:AR286,3)*'ButsMPG + Var'!$K$25+COUNTIF(BDD!H286:AR286,2)*'ButsMPG + Var'!$K$24+COUNTIF(BDD!H286:AR286,1)*'ButsMPG + Var'!$K$23,0)))</f>
        <v>0</v>
      </c>
      <c r="H283" s="25">
        <f t="shared" si="5"/>
        <v>0</v>
      </c>
      <c r="I283" s="25">
        <f>BDD!G286</f>
        <v>0</v>
      </c>
      <c r="J283" s="25">
        <f>SUMPRODUCT(BDD!H286:AS286,'ButsMPG + Var'!$B$46:$AM$46)</f>
        <v>0</v>
      </c>
      <c r="K283" s="25" t="e">
        <f>10*('ButsMPG + Var'!$H$37*J283/MAX(J:J)+'ButsMPG + Var'!$G$37*H283/MAX(H:H))</f>
        <v>#DIV/0!</v>
      </c>
      <c r="L283" s="1">
        <f>IF(ISNA(VLOOKUP(B283,PrixMini!$B$3:$E$573,4,FALSE)),1,VLOOKUP(B283,PrixMini!$B$3:$E$573,4,FALSE))</f>
        <v>1</v>
      </c>
      <c r="M283" s="25" t="e">
        <f>IF(ROUND(CalculCotation!$D$3*EXP(CalculCotation!$C$3*K283)-CalculCotation!$D$3+1,0)&gt;L283,ROUND(CalculCotation!$D$3*EXP(CalculCotation!$C$3*K283)-CalculCotation!$D$3+1,0),L283)</f>
        <v>#DIV/0!</v>
      </c>
    </row>
    <row r="284" spans="2:13" x14ac:dyDescent="0.3">
      <c r="B284" s="1">
        <f>BDD!C287</f>
        <v>0</v>
      </c>
      <c r="C284" s="1">
        <f>BDD!B287</f>
        <v>0</v>
      </c>
      <c r="D284" s="1">
        <f>BDD!A287</f>
        <v>0</v>
      </c>
      <c r="E284" s="1">
        <f>BDD!D287</f>
        <v>0</v>
      </c>
      <c r="F284" s="1">
        <f>BDD!F287</f>
        <v>0</v>
      </c>
      <c r="G284" s="25">
        <f>'ButsMPG + Var'!$I$39*IF(C284="A",COUNTIF(BDD!H287:AR287,10)*'ButsMPG + Var'!$K$12+COUNTIF(BDD!H287:AR287,9)*'ButsMPG + Var'!$K$11+COUNTIF(BDD!H287:AR287,8)*'ButsMPG + Var'!$K$10+COUNTIF(BDD!H287:AR287,7)*'ButsMPG + Var'!$K$9+COUNTIF(BDD!H287:AR287,6)*'ButsMPG + Var'!$K$8+COUNTIF(BDD!H287:AR287,5)*'ButsMPG + Var'!$K$7+COUNTIF(BDD!H287:AR287,4)*'ButsMPG + Var'!$K$6+COUNTIF(BDD!H287:AR287,3)*'ButsMPG + Var'!$K$5+COUNTIF(BDD!H287:AR287,2)*'ButsMPG + Var'!$K$4+COUNTIF(BDD!H287:AR287,1)*'ButsMPG + Var'!$K$3,IF(C284="M",COUNTIF(BDD!H287:AR287,10)*'ButsMPG + Var'!$K$22+COUNTIF(BDD!H287:AR287,9)*'ButsMPG + Var'!$K$21+COUNTIF(BDD!H287:AR287,8)*'ButsMPG + Var'!$K$20+COUNTIF(BDD!H287:AR287,7)*'ButsMPG + Var'!$K$19+COUNTIF(BDD!H287:AR287,6)*'ButsMPG + Var'!$K$18+COUNTIF(BDD!H287:AR287,5)*'ButsMPG + Var'!$K$17+COUNTIF(BDD!H287:AR287,4)*'ButsMPG + Var'!$K$16+COUNTIF(BDD!H287:AR287,3)*'ButsMPG + Var'!$K$15+COUNTIF(BDD!H287:AR287,2)*'ButsMPG + Var'!$K$14+COUNTIF(BDD!H287:AR287,1)*'ButsMPG + Var'!$K$13,IF(C284="D",COUNTIF(BDD!H287:AR287,10)*'ButsMPG + Var'!$K$32+COUNTIF(BDD!H287:AR287,9)*'ButsMPG + Var'!$K$31+COUNTIF(BDD!H287:AR287,8)*'ButsMPG + Var'!$K$30+COUNTIF(BDD!H287:AR287,7)*'ButsMPG + Var'!$K$29+COUNTIF(BDD!H287:AR287,6)*'ButsMPG + Var'!$K$28+COUNTIF(BDD!H287:AR287,5)*'ButsMPG + Var'!$K$27+COUNTIF(BDD!H287:AR287,4)*'ButsMPG + Var'!$K$26+COUNTIF(BDD!H287:AR287,3)*'ButsMPG + Var'!$K$25+COUNTIF(BDD!H287:AR287,2)*'ButsMPG + Var'!$K$24+COUNTIF(BDD!H287:AR287,1)*'ButsMPG + Var'!$K$23,0)))</f>
        <v>0</v>
      </c>
      <c r="H284" s="25">
        <f t="shared" si="5"/>
        <v>0</v>
      </c>
      <c r="I284" s="25">
        <f>BDD!G287</f>
        <v>0</v>
      </c>
      <c r="J284" s="25">
        <f>SUMPRODUCT(BDD!H287:AS287,'ButsMPG + Var'!$B$46:$AM$46)</f>
        <v>0</v>
      </c>
      <c r="K284" s="25" t="e">
        <f>10*('ButsMPG + Var'!$H$37*J284/MAX(J:J)+'ButsMPG + Var'!$G$37*H284/MAX(H:H))</f>
        <v>#DIV/0!</v>
      </c>
      <c r="L284" s="1">
        <f>IF(ISNA(VLOOKUP(B284,PrixMini!$B$3:$E$573,4,FALSE)),1,VLOOKUP(B284,PrixMini!$B$3:$E$573,4,FALSE))</f>
        <v>1</v>
      </c>
      <c r="M284" s="25" t="e">
        <f>IF(ROUND(CalculCotation!$D$3*EXP(CalculCotation!$C$3*K284)-CalculCotation!$D$3+1,0)&gt;L284,ROUND(CalculCotation!$D$3*EXP(CalculCotation!$C$3*K284)-CalculCotation!$D$3+1,0),L284)</f>
        <v>#DIV/0!</v>
      </c>
    </row>
    <row r="285" spans="2:13" x14ac:dyDescent="0.3">
      <c r="B285" s="1">
        <f>BDD!C288</f>
        <v>0</v>
      </c>
      <c r="C285" s="1">
        <f>BDD!B288</f>
        <v>0</v>
      </c>
      <c r="D285" s="1">
        <f>BDD!A288</f>
        <v>0</v>
      </c>
      <c r="E285" s="1">
        <f>BDD!D288</f>
        <v>0</v>
      </c>
      <c r="F285" s="1">
        <f>BDD!F288</f>
        <v>0</v>
      </c>
      <c r="G285" s="25">
        <f>'ButsMPG + Var'!$I$39*IF(C285="A",COUNTIF(BDD!H288:AR288,10)*'ButsMPG + Var'!$K$12+COUNTIF(BDD!H288:AR288,9)*'ButsMPG + Var'!$K$11+COUNTIF(BDD!H288:AR288,8)*'ButsMPG + Var'!$K$10+COUNTIF(BDD!H288:AR288,7)*'ButsMPG + Var'!$K$9+COUNTIF(BDD!H288:AR288,6)*'ButsMPG + Var'!$K$8+COUNTIF(BDD!H288:AR288,5)*'ButsMPG + Var'!$K$7+COUNTIF(BDD!H288:AR288,4)*'ButsMPG + Var'!$K$6+COUNTIF(BDD!H288:AR288,3)*'ButsMPG + Var'!$K$5+COUNTIF(BDD!H288:AR288,2)*'ButsMPG + Var'!$K$4+COUNTIF(BDD!H288:AR288,1)*'ButsMPG + Var'!$K$3,IF(C285="M",COUNTIF(BDD!H288:AR288,10)*'ButsMPG + Var'!$K$22+COUNTIF(BDD!H288:AR288,9)*'ButsMPG + Var'!$K$21+COUNTIF(BDD!H288:AR288,8)*'ButsMPG + Var'!$K$20+COUNTIF(BDD!H288:AR288,7)*'ButsMPG + Var'!$K$19+COUNTIF(BDD!H288:AR288,6)*'ButsMPG + Var'!$K$18+COUNTIF(BDD!H288:AR288,5)*'ButsMPG + Var'!$K$17+COUNTIF(BDD!H288:AR288,4)*'ButsMPG + Var'!$K$16+COUNTIF(BDD!H288:AR288,3)*'ButsMPG + Var'!$K$15+COUNTIF(BDD!H288:AR288,2)*'ButsMPG + Var'!$K$14+COUNTIF(BDD!H288:AR288,1)*'ButsMPG + Var'!$K$13,IF(C285="D",COUNTIF(BDD!H288:AR288,10)*'ButsMPG + Var'!$K$32+COUNTIF(BDD!H288:AR288,9)*'ButsMPG + Var'!$K$31+COUNTIF(BDD!H288:AR288,8)*'ButsMPG + Var'!$K$30+COUNTIF(BDD!H288:AR288,7)*'ButsMPG + Var'!$K$29+COUNTIF(BDD!H288:AR288,6)*'ButsMPG + Var'!$K$28+COUNTIF(BDD!H288:AR288,5)*'ButsMPG + Var'!$K$27+COUNTIF(BDD!H288:AR288,4)*'ButsMPG + Var'!$K$26+COUNTIF(BDD!H288:AR288,3)*'ButsMPG + Var'!$K$25+COUNTIF(BDD!H288:AR288,2)*'ButsMPG + Var'!$K$24+COUNTIF(BDD!H288:AR288,1)*'ButsMPG + Var'!$K$23,0)))</f>
        <v>0</v>
      </c>
      <c r="H285" s="25">
        <f t="shared" si="5"/>
        <v>0</v>
      </c>
      <c r="I285" s="25">
        <f>BDD!G288</f>
        <v>0</v>
      </c>
      <c r="J285" s="25">
        <f>SUMPRODUCT(BDD!H288:AS288,'ButsMPG + Var'!$B$46:$AM$46)</f>
        <v>0</v>
      </c>
      <c r="K285" s="25" t="e">
        <f>10*('ButsMPG + Var'!$H$37*J285/MAX(J:J)+'ButsMPG + Var'!$G$37*H285/MAX(H:H))</f>
        <v>#DIV/0!</v>
      </c>
      <c r="L285" s="1">
        <f>IF(ISNA(VLOOKUP(B285,PrixMini!$B$3:$E$573,4,FALSE)),1,VLOOKUP(B285,PrixMini!$B$3:$E$573,4,FALSE))</f>
        <v>1</v>
      </c>
      <c r="M285" s="25" t="e">
        <f>IF(ROUND(CalculCotation!$D$3*EXP(CalculCotation!$C$3*K285)-CalculCotation!$D$3+1,0)&gt;L285,ROUND(CalculCotation!$D$3*EXP(CalculCotation!$C$3*K285)-CalculCotation!$D$3+1,0),L285)</f>
        <v>#DIV/0!</v>
      </c>
    </row>
    <row r="286" spans="2:13" x14ac:dyDescent="0.3">
      <c r="B286" s="1">
        <f>BDD!C289</f>
        <v>0</v>
      </c>
      <c r="C286" s="1">
        <f>BDD!B289</f>
        <v>0</v>
      </c>
      <c r="D286" s="1">
        <f>BDD!A289</f>
        <v>0</v>
      </c>
      <c r="E286" s="1">
        <f>BDD!D289</f>
        <v>0</v>
      </c>
      <c r="F286" s="1">
        <f>BDD!F289</f>
        <v>0</v>
      </c>
      <c r="G286" s="25">
        <f>'ButsMPG + Var'!$I$39*IF(C286="A",COUNTIF(BDD!H289:AR289,10)*'ButsMPG + Var'!$K$12+COUNTIF(BDD!H289:AR289,9)*'ButsMPG + Var'!$K$11+COUNTIF(BDD!H289:AR289,8)*'ButsMPG + Var'!$K$10+COUNTIF(BDD!H289:AR289,7)*'ButsMPG + Var'!$K$9+COUNTIF(BDD!H289:AR289,6)*'ButsMPG + Var'!$K$8+COUNTIF(BDD!H289:AR289,5)*'ButsMPG + Var'!$K$7+COUNTIF(BDD!H289:AR289,4)*'ButsMPG + Var'!$K$6+COUNTIF(BDD!H289:AR289,3)*'ButsMPG + Var'!$K$5+COUNTIF(BDD!H289:AR289,2)*'ButsMPG + Var'!$K$4+COUNTIF(BDD!H289:AR289,1)*'ButsMPG + Var'!$K$3,IF(C286="M",COUNTIF(BDD!H289:AR289,10)*'ButsMPG + Var'!$K$22+COUNTIF(BDD!H289:AR289,9)*'ButsMPG + Var'!$K$21+COUNTIF(BDD!H289:AR289,8)*'ButsMPG + Var'!$K$20+COUNTIF(BDD!H289:AR289,7)*'ButsMPG + Var'!$K$19+COUNTIF(BDD!H289:AR289,6)*'ButsMPG + Var'!$K$18+COUNTIF(BDD!H289:AR289,5)*'ButsMPG + Var'!$K$17+COUNTIF(BDD!H289:AR289,4)*'ButsMPG + Var'!$K$16+COUNTIF(BDD!H289:AR289,3)*'ButsMPG + Var'!$K$15+COUNTIF(BDD!H289:AR289,2)*'ButsMPG + Var'!$K$14+COUNTIF(BDD!H289:AR289,1)*'ButsMPG + Var'!$K$13,IF(C286="D",COUNTIF(BDD!H289:AR289,10)*'ButsMPG + Var'!$K$32+COUNTIF(BDD!H289:AR289,9)*'ButsMPG + Var'!$K$31+COUNTIF(BDD!H289:AR289,8)*'ButsMPG + Var'!$K$30+COUNTIF(BDD!H289:AR289,7)*'ButsMPG + Var'!$K$29+COUNTIF(BDD!H289:AR289,6)*'ButsMPG + Var'!$K$28+COUNTIF(BDD!H289:AR289,5)*'ButsMPG + Var'!$K$27+COUNTIF(BDD!H289:AR289,4)*'ButsMPG + Var'!$K$26+COUNTIF(BDD!H289:AR289,3)*'ButsMPG + Var'!$K$25+COUNTIF(BDD!H289:AR289,2)*'ButsMPG + Var'!$K$24+COUNTIF(BDD!H289:AR289,1)*'ButsMPG + Var'!$K$23,0)))</f>
        <v>0</v>
      </c>
      <c r="H286" s="25">
        <f t="shared" si="5"/>
        <v>0</v>
      </c>
      <c r="I286" s="25">
        <f>BDD!G289</f>
        <v>0</v>
      </c>
      <c r="J286" s="25">
        <f>SUMPRODUCT(BDD!H289:AS289,'ButsMPG + Var'!$B$46:$AM$46)</f>
        <v>0</v>
      </c>
      <c r="K286" s="25" t="e">
        <f>10*('ButsMPG + Var'!$H$37*J286/MAX(J:J)+'ButsMPG + Var'!$G$37*H286/MAX(H:H))</f>
        <v>#DIV/0!</v>
      </c>
      <c r="L286" s="1">
        <f>IF(ISNA(VLOOKUP(B286,PrixMini!$B$3:$E$573,4,FALSE)),1,VLOOKUP(B286,PrixMini!$B$3:$E$573,4,FALSE))</f>
        <v>1</v>
      </c>
      <c r="M286" s="25" t="e">
        <f>IF(ROUND(CalculCotation!$D$3*EXP(CalculCotation!$C$3*K286)-CalculCotation!$D$3+1,0)&gt;L286,ROUND(CalculCotation!$D$3*EXP(CalculCotation!$C$3*K286)-CalculCotation!$D$3+1,0),L286)</f>
        <v>#DIV/0!</v>
      </c>
    </row>
    <row r="287" spans="2:13" x14ac:dyDescent="0.3">
      <c r="B287" s="1">
        <f>BDD!C290</f>
        <v>0</v>
      </c>
      <c r="C287" s="1">
        <f>BDD!B290</f>
        <v>0</v>
      </c>
      <c r="D287" s="1">
        <f>BDD!A290</f>
        <v>0</v>
      </c>
      <c r="E287" s="1">
        <f>BDD!D290</f>
        <v>0</v>
      </c>
      <c r="F287" s="1">
        <f>BDD!F290</f>
        <v>0</v>
      </c>
      <c r="G287" s="25">
        <f>'ButsMPG + Var'!$I$39*IF(C287="A",COUNTIF(BDD!H290:AR290,10)*'ButsMPG + Var'!$K$12+COUNTIF(BDD!H290:AR290,9)*'ButsMPG + Var'!$K$11+COUNTIF(BDD!H290:AR290,8)*'ButsMPG + Var'!$K$10+COUNTIF(BDD!H290:AR290,7)*'ButsMPG + Var'!$K$9+COUNTIF(BDD!H290:AR290,6)*'ButsMPG + Var'!$K$8+COUNTIF(BDD!H290:AR290,5)*'ButsMPG + Var'!$K$7+COUNTIF(BDD!H290:AR290,4)*'ButsMPG + Var'!$K$6+COUNTIF(BDD!H290:AR290,3)*'ButsMPG + Var'!$K$5+COUNTIF(BDD!H290:AR290,2)*'ButsMPG + Var'!$K$4+COUNTIF(BDD!H290:AR290,1)*'ButsMPG + Var'!$K$3,IF(C287="M",COUNTIF(BDD!H290:AR290,10)*'ButsMPG + Var'!$K$22+COUNTIF(BDD!H290:AR290,9)*'ButsMPG + Var'!$K$21+COUNTIF(BDD!H290:AR290,8)*'ButsMPG + Var'!$K$20+COUNTIF(BDD!H290:AR290,7)*'ButsMPG + Var'!$K$19+COUNTIF(BDD!H290:AR290,6)*'ButsMPG + Var'!$K$18+COUNTIF(BDD!H290:AR290,5)*'ButsMPG + Var'!$K$17+COUNTIF(BDD!H290:AR290,4)*'ButsMPG + Var'!$K$16+COUNTIF(BDD!H290:AR290,3)*'ButsMPG + Var'!$K$15+COUNTIF(BDD!H290:AR290,2)*'ButsMPG + Var'!$K$14+COUNTIF(BDD!H290:AR290,1)*'ButsMPG + Var'!$K$13,IF(C287="D",COUNTIF(BDD!H290:AR290,10)*'ButsMPG + Var'!$K$32+COUNTIF(BDD!H290:AR290,9)*'ButsMPG + Var'!$K$31+COUNTIF(BDD!H290:AR290,8)*'ButsMPG + Var'!$K$30+COUNTIF(BDD!H290:AR290,7)*'ButsMPG + Var'!$K$29+COUNTIF(BDD!H290:AR290,6)*'ButsMPG + Var'!$K$28+COUNTIF(BDD!H290:AR290,5)*'ButsMPG + Var'!$K$27+COUNTIF(BDD!H290:AR290,4)*'ButsMPG + Var'!$K$26+COUNTIF(BDD!H290:AR290,3)*'ButsMPG + Var'!$K$25+COUNTIF(BDD!H290:AR290,2)*'ButsMPG + Var'!$K$24+COUNTIF(BDD!H290:AR290,1)*'ButsMPG + Var'!$K$23,0)))</f>
        <v>0</v>
      </c>
      <c r="H287" s="25">
        <f t="shared" si="5"/>
        <v>0</v>
      </c>
      <c r="I287" s="25">
        <f>BDD!G290</f>
        <v>0</v>
      </c>
      <c r="J287" s="25">
        <f>SUMPRODUCT(BDD!H290:AS290,'ButsMPG + Var'!$B$46:$AM$46)</f>
        <v>0</v>
      </c>
      <c r="K287" s="25" t="e">
        <f>10*('ButsMPG + Var'!$H$37*J287/MAX(J:J)+'ButsMPG + Var'!$G$37*H287/MAX(H:H))</f>
        <v>#DIV/0!</v>
      </c>
      <c r="L287" s="1">
        <f>IF(ISNA(VLOOKUP(B287,PrixMini!$B$3:$E$573,4,FALSE)),1,VLOOKUP(B287,PrixMini!$B$3:$E$573,4,FALSE))</f>
        <v>1</v>
      </c>
      <c r="M287" s="25" t="e">
        <f>IF(ROUND(CalculCotation!$D$3*EXP(CalculCotation!$C$3*K287)-CalculCotation!$D$3+1,0)&gt;L287,ROUND(CalculCotation!$D$3*EXP(CalculCotation!$C$3*K287)-CalculCotation!$D$3+1,0),L287)</f>
        <v>#DIV/0!</v>
      </c>
    </row>
    <row r="288" spans="2:13" x14ac:dyDescent="0.3">
      <c r="B288" s="1">
        <f>BDD!C291</f>
        <v>0</v>
      </c>
      <c r="C288" s="1">
        <f>BDD!B291</f>
        <v>0</v>
      </c>
      <c r="D288" s="1">
        <f>BDD!A291</f>
        <v>0</v>
      </c>
      <c r="E288" s="1">
        <f>BDD!D291</f>
        <v>0</v>
      </c>
      <c r="F288" s="1">
        <f>BDD!F291</f>
        <v>0</v>
      </c>
      <c r="G288" s="25">
        <f>'ButsMPG + Var'!$I$39*IF(C288="A",COUNTIF(BDD!H291:AR291,10)*'ButsMPG + Var'!$K$12+COUNTIF(BDD!H291:AR291,9)*'ButsMPG + Var'!$K$11+COUNTIF(BDD!H291:AR291,8)*'ButsMPG + Var'!$K$10+COUNTIF(BDD!H291:AR291,7)*'ButsMPG + Var'!$K$9+COUNTIF(BDD!H291:AR291,6)*'ButsMPG + Var'!$K$8+COUNTIF(BDD!H291:AR291,5)*'ButsMPG + Var'!$K$7+COUNTIF(BDD!H291:AR291,4)*'ButsMPG + Var'!$K$6+COUNTIF(BDD!H291:AR291,3)*'ButsMPG + Var'!$K$5+COUNTIF(BDD!H291:AR291,2)*'ButsMPG + Var'!$K$4+COUNTIF(BDD!H291:AR291,1)*'ButsMPG + Var'!$K$3,IF(C288="M",COUNTIF(BDD!H291:AR291,10)*'ButsMPG + Var'!$K$22+COUNTIF(BDD!H291:AR291,9)*'ButsMPG + Var'!$K$21+COUNTIF(BDD!H291:AR291,8)*'ButsMPG + Var'!$K$20+COUNTIF(BDD!H291:AR291,7)*'ButsMPG + Var'!$K$19+COUNTIF(BDD!H291:AR291,6)*'ButsMPG + Var'!$K$18+COUNTIF(BDD!H291:AR291,5)*'ButsMPG + Var'!$K$17+COUNTIF(BDD!H291:AR291,4)*'ButsMPG + Var'!$K$16+COUNTIF(BDD!H291:AR291,3)*'ButsMPG + Var'!$K$15+COUNTIF(BDD!H291:AR291,2)*'ButsMPG + Var'!$K$14+COUNTIF(BDD!H291:AR291,1)*'ButsMPG + Var'!$K$13,IF(C288="D",COUNTIF(BDD!H291:AR291,10)*'ButsMPG + Var'!$K$32+COUNTIF(BDD!H291:AR291,9)*'ButsMPG + Var'!$K$31+COUNTIF(BDD!H291:AR291,8)*'ButsMPG + Var'!$K$30+COUNTIF(BDD!H291:AR291,7)*'ButsMPG + Var'!$K$29+COUNTIF(BDD!H291:AR291,6)*'ButsMPG + Var'!$K$28+COUNTIF(BDD!H291:AR291,5)*'ButsMPG + Var'!$K$27+COUNTIF(BDD!H291:AR291,4)*'ButsMPG + Var'!$K$26+COUNTIF(BDD!H291:AR291,3)*'ButsMPG + Var'!$K$25+COUNTIF(BDD!H291:AR291,2)*'ButsMPG + Var'!$K$24+COUNTIF(BDD!H291:AR291,1)*'ButsMPG + Var'!$K$23,0)))</f>
        <v>0</v>
      </c>
      <c r="H288" s="25">
        <f t="shared" si="5"/>
        <v>0</v>
      </c>
      <c r="I288" s="25">
        <f>BDD!G291</f>
        <v>0</v>
      </c>
      <c r="J288" s="25">
        <f>SUMPRODUCT(BDD!H291:AS291,'ButsMPG + Var'!$B$46:$AM$46)</f>
        <v>0</v>
      </c>
      <c r="K288" s="25" t="e">
        <f>10*('ButsMPG + Var'!$H$37*J288/MAX(J:J)+'ButsMPG + Var'!$G$37*H288/MAX(H:H))</f>
        <v>#DIV/0!</v>
      </c>
      <c r="L288" s="1">
        <f>IF(ISNA(VLOOKUP(B288,PrixMini!$B$3:$E$573,4,FALSE)),1,VLOOKUP(B288,PrixMini!$B$3:$E$573,4,FALSE))</f>
        <v>1</v>
      </c>
      <c r="M288" s="25" t="e">
        <f>IF(ROUND(CalculCotation!$D$3*EXP(CalculCotation!$C$3*K288)-CalculCotation!$D$3+1,0)&gt;L288,ROUND(CalculCotation!$D$3*EXP(CalculCotation!$C$3*K288)-CalculCotation!$D$3+1,0),L288)</f>
        <v>#DIV/0!</v>
      </c>
    </row>
    <row r="289" spans="2:13" x14ac:dyDescent="0.3">
      <c r="B289" s="1">
        <f>BDD!C292</f>
        <v>0</v>
      </c>
      <c r="C289" s="1">
        <f>BDD!B292</f>
        <v>0</v>
      </c>
      <c r="D289" s="1">
        <f>BDD!A292</f>
        <v>0</v>
      </c>
      <c r="E289" s="1">
        <f>BDD!D292</f>
        <v>0</v>
      </c>
      <c r="F289" s="1">
        <f>BDD!F292</f>
        <v>0</v>
      </c>
      <c r="G289" s="25">
        <f>'ButsMPG + Var'!$I$39*IF(C289="A",COUNTIF(BDD!H292:AR292,10)*'ButsMPG + Var'!$K$12+COUNTIF(BDD!H292:AR292,9)*'ButsMPG + Var'!$K$11+COUNTIF(BDD!H292:AR292,8)*'ButsMPG + Var'!$K$10+COUNTIF(BDD!H292:AR292,7)*'ButsMPG + Var'!$K$9+COUNTIF(BDD!H292:AR292,6)*'ButsMPG + Var'!$K$8+COUNTIF(BDD!H292:AR292,5)*'ButsMPG + Var'!$K$7+COUNTIF(BDD!H292:AR292,4)*'ButsMPG + Var'!$K$6+COUNTIF(BDD!H292:AR292,3)*'ButsMPG + Var'!$K$5+COUNTIF(BDD!H292:AR292,2)*'ButsMPG + Var'!$K$4+COUNTIF(BDD!H292:AR292,1)*'ButsMPG + Var'!$K$3,IF(C289="M",COUNTIF(BDD!H292:AR292,10)*'ButsMPG + Var'!$K$22+COUNTIF(BDD!H292:AR292,9)*'ButsMPG + Var'!$K$21+COUNTIF(BDD!H292:AR292,8)*'ButsMPG + Var'!$K$20+COUNTIF(BDD!H292:AR292,7)*'ButsMPG + Var'!$K$19+COUNTIF(BDD!H292:AR292,6)*'ButsMPG + Var'!$K$18+COUNTIF(BDD!H292:AR292,5)*'ButsMPG + Var'!$K$17+COUNTIF(BDD!H292:AR292,4)*'ButsMPG + Var'!$K$16+COUNTIF(BDD!H292:AR292,3)*'ButsMPG + Var'!$K$15+COUNTIF(BDD!H292:AR292,2)*'ButsMPG + Var'!$K$14+COUNTIF(BDD!H292:AR292,1)*'ButsMPG + Var'!$K$13,IF(C289="D",COUNTIF(BDD!H292:AR292,10)*'ButsMPG + Var'!$K$32+COUNTIF(BDD!H292:AR292,9)*'ButsMPG + Var'!$K$31+COUNTIF(BDD!H292:AR292,8)*'ButsMPG + Var'!$K$30+COUNTIF(BDD!H292:AR292,7)*'ButsMPG + Var'!$K$29+COUNTIF(BDD!H292:AR292,6)*'ButsMPG + Var'!$K$28+COUNTIF(BDD!H292:AR292,5)*'ButsMPG + Var'!$K$27+COUNTIF(BDD!H292:AR292,4)*'ButsMPG + Var'!$K$26+COUNTIF(BDD!H292:AR292,3)*'ButsMPG + Var'!$K$25+COUNTIF(BDD!H292:AR292,2)*'ButsMPG + Var'!$K$24+COUNTIF(BDD!H292:AR292,1)*'ButsMPG + Var'!$K$23,0)))</f>
        <v>0</v>
      </c>
      <c r="H289" s="25">
        <f t="shared" si="5"/>
        <v>0</v>
      </c>
      <c r="I289" s="25">
        <f>BDD!G292</f>
        <v>0</v>
      </c>
      <c r="J289" s="25">
        <f>SUMPRODUCT(BDD!H292:AS292,'ButsMPG + Var'!$B$46:$AM$46)</f>
        <v>0</v>
      </c>
      <c r="K289" s="25" t="e">
        <f>10*('ButsMPG + Var'!$H$37*J289/MAX(J:J)+'ButsMPG + Var'!$G$37*H289/MAX(H:H))</f>
        <v>#DIV/0!</v>
      </c>
      <c r="L289" s="1">
        <f>IF(ISNA(VLOOKUP(B289,PrixMini!$B$3:$E$573,4,FALSE)),1,VLOOKUP(B289,PrixMini!$B$3:$E$573,4,FALSE))</f>
        <v>1</v>
      </c>
      <c r="M289" s="25" t="e">
        <f>IF(ROUND(CalculCotation!$D$3*EXP(CalculCotation!$C$3*K289)-CalculCotation!$D$3+1,0)&gt;L289,ROUND(CalculCotation!$D$3*EXP(CalculCotation!$C$3*K289)-CalculCotation!$D$3+1,0),L289)</f>
        <v>#DIV/0!</v>
      </c>
    </row>
    <row r="290" spans="2:13" x14ac:dyDescent="0.3">
      <c r="B290" s="1">
        <f>BDD!C293</f>
        <v>0</v>
      </c>
      <c r="C290" s="1">
        <f>BDD!B293</f>
        <v>0</v>
      </c>
      <c r="D290" s="1">
        <f>BDD!A293</f>
        <v>0</v>
      </c>
      <c r="E290" s="1">
        <f>BDD!D293</f>
        <v>0</v>
      </c>
      <c r="F290" s="1">
        <f>BDD!F293</f>
        <v>0</v>
      </c>
      <c r="G290" s="25">
        <f>'ButsMPG + Var'!$I$39*IF(C290="A",COUNTIF(BDD!H293:AR293,10)*'ButsMPG + Var'!$K$12+COUNTIF(BDD!H293:AR293,9)*'ButsMPG + Var'!$K$11+COUNTIF(BDD!H293:AR293,8)*'ButsMPG + Var'!$K$10+COUNTIF(BDD!H293:AR293,7)*'ButsMPG + Var'!$K$9+COUNTIF(BDD!H293:AR293,6)*'ButsMPG + Var'!$K$8+COUNTIF(BDD!H293:AR293,5)*'ButsMPG + Var'!$K$7+COUNTIF(BDD!H293:AR293,4)*'ButsMPG + Var'!$K$6+COUNTIF(BDD!H293:AR293,3)*'ButsMPG + Var'!$K$5+COUNTIF(BDD!H293:AR293,2)*'ButsMPG + Var'!$K$4+COUNTIF(BDD!H293:AR293,1)*'ButsMPG + Var'!$K$3,IF(C290="M",COUNTIF(BDD!H293:AR293,10)*'ButsMPG + Var'!$K$22+COUNTIF(BDD!H293:AR293,9)*'ButsMPG + Var'!$K$21+COUNTIF(BDD!H293:AR293,8)*'ButsMPG + Var'!$K$20+COUNTIF(BDD!H293:AR293,7)*'ButsMPG + Var'!$K$19+COUNTIF(BDD!H293:AR293,6)*'ButsMPG + Var'!$K$18+COUNTIF(BDD!H293:AR293,5)*'ButsMPG + Var'!$K$17+COUNTIF(BDD!H293:AR293,4)*'ButsMPG + Var'!$K$16+COUNTIF(BDD!H293:AR293,3)*'ButsMPG + Var'!$K$15+COUNTIF(BDD!H293:AR293,2)*'ButsMPG + Var'!$K$14+COUNTIF(BDD!H293:AR293,1)*'ButsMPG + Var'!$K$13,IF(C290="D",COUNTIF(BDD!H293:AR293,10)*'ButsMPG + Var'!$K$32+COUNTIF(BDD!H293:AR293,9)*'ButsMPG + Var'!$K$31+COUNTIF(BDD!H293:AR293,8)*'ButsMPG + Var'!$K$30+COUNTIF(BDD!H293:AR293,7)*'ButsMPG + Var'!$K$29+COUNTIF(BDD!H293:AR293,6)*'ButsMPG + Var'!$K$28+COUNTIF(BDD!H293:AR293,5)*'ButsMPG + Var'!$K$27+COUNTIF(BDD!H293:AR293,4)*'ButsMPG + Var'!$K$26+COUNTIF(BDD!H293:AR293,3)*'ButsMPG + Var'!$K$25+COUNTIF(BDD!H293:AR293,2)*'ButsMPG + Var'!$K$24+COUNTIF(BDD!H293:AR293,1)*'ButsMPG + Var'!$K$23,0)))</f>
        <v>0</v>
      </c>
      <c r="H290" s="25">
        <f t="shared" si="5"/>
        <v>0</v>
      </c>
      <c r="I290" s="25">
        <f>BDD!G293</f>
        <v>0</v>
      </c>
      <c r="J290" s="25">
        <f>SUMPRODUCT(BDD!H293:AS293,'ButsMPG + Var'!$B$46:$AM$46)</f>
        <v>0</v>
      </c>
      <c r="K290" s="25" t="e">
        <f>10*('ButsMPG + Var'!$H$37*J290/MAX(J:J)+'ButsMPG + Var'!$G$37*H290/MAX(H:H))</f>
        <v>#DIV/0!</v>
      </c>
      <c r="L290" s="1">
        <f>IF(ISNA(VLOOKUP(B290,PrixMini!$B$3:$E$573,4,FALSE)),1,VLOOKUP(B290,PrixMini!$B$3:$E$573,4,FALSE))</f>
        <v>1</v>
      </c>
      <c r="M290" s="25" t="e">
        <f>IF(ROUND(CalculCotation!$D$3*EXP(CalculCotation!$C$3*K290)-CalculCotation!$D$3+1,0)&gt;L290,ROUND(CalculCotation!$D$3*EXP(CalculCotation!$C$3*K290)-CalculCotation!$D$3+1,0),L290)</f>
        <v>#DIV/0!</v>
      </c>
    </row>
    <row r="291" spans="2:13" x14ac:dyDescent="0.3">
      <c r="B291" s="1">
        <f>BDD!C294</f>
        <v>0</v>
      </c>
      <c r="C291" s="1">
        <f>BDD!B294</f>
        <v>0</v>
      </c>
      <c r="D291" s="1">
        <f>BDD!A294</f>
        <v>0</v>
      </c>
      <c r="E291" s="1">
        <f>BDD!D294</f>
        <v>0</v>
      </c>
      <c r="F291" s="1">
        <f>BDD!F294</f>
        <v>0</v>
      </c>
      <c r="G291" s="25">
        <f>'ButsMPG + Var'!$I$39*IF(C291="A",COUNTIF(BDD!H294:AR294,10)*'ButsMPG + Var'!$K$12+COUNTIF(BDD!H294:AR294,9)*'ButsMPG + Var'!$K$11+COUNTIF(BDD!H294:AR294,8)*'ButsMPG + Var'!$K$10+COUNTIF(BDD!H294:AR294,7)*'ButsMPG + Var'!$K$9+COUNTIF(BDD!H294:AR294,6)*'ButsMPG + Var'!$K$8+COUNTIF(BDD!H294:AR294,5)*'ButsMPG + Var'!$K$7+COUNTIF(BDD!H294:AR294,4)*'ButsMPG + Var'!$K$6+COUNTIF(BDD!H294:AR294,3)*'ButsMPG + Var'!$K$5+COUNTIF(BDD!H294:AR294,2)*'ButsMPG + Var'!$K$4+COUNTIF(BDD!H294:AR294,1)*'ButsMPG + Var'!$K$3,IF(C291="M",COUNTIF(BDD!H294:AR294,10)*'ButsMPG + Var'!$K$22+COUNTIF(BDD!H294:AR294,9)*'ButsMPG + Var'!$K$21+COUNTIF(BDD!H294:AR294,8)*'ButsMPG + Var'!$K$20+COUNTIF(BDD!H294:AR294,7)*'ButsMPG + Var'!$K$19+COUNTIF(BDD!H294:AR294,6)*'ButsMPG + Var'!$K$18+COUNTIF(BDD!H294:AR294,5)*'ButsMPG + Var'!$K$17+COUNTIF(BDD!H294:AR294,4)*'ButsMPG + Var'!$K$16+COUNTIF(BDD!H294:AR294,3)*'ButsMPG + Var'!$K$15+COUNTIF(BDD!H294:AR294,2)*'ButsMPG + Var'!$K$14+COUNTIF(BDD!H294:AR294,1)*'ButsMPG + Var'!$K$13,IF(C291="D",COUNTIF(BDD!H294:AR294,10)*'ButsMPG + Var'!$K$32+COUNTIF(BDD!H294:AR294,9)*'ButsMPG + Var'!$K$31+COUNTIF(BDD!H294:AR294,8)*'ButsMPG + Var'!$K$30+COUNTIF(BDD!H294:AR294,7)*'ButsMPG + Var'!$K$29+COUNTIF(BDD!H294:AR294,6)*'ButsMPG + Var'!$K$28+COUNTIF(BDD!H294:AR294,5)*'ButsMPG + Var'!$K$27+COUNTIF(BDD!H294:AR294,4)*'ButsMPG + Var'!$K$26+COUNTIF(BDD!H294:AR294,3)*'ButsMPG + Var'!$K$25+COUNTIF(BDD!H294:AR294,2)*'ButsMPG + Var'!$K$24+COUNTIF(BDD!H294:AR294,1)*'ButsMPG + Var'!$K$23,0)))</f>
        <v>0</v>
      </c>
      <c r="H291" s="25">
        <f t="shared" si="5"/>
        <v>0</v>
      </c>
      <c r="I291" s="25">
        <f>BDD!G294</f>
        <v>0</v>
      </c>
      <c r="J291" s="25">
        <f>SUMPRODUCT(BDD!H294:AS294,'ButsMPG + Var'!$B$46:$AM$46)</f>
        <v>0</v>
      </c>
      <c r="K291" s="25" t="e">
        <f>10*('ButsMPG + Var'!$H$37*J291/MAX(J:J)+'ButsMPG + Var'!$G$37*H291/MAX(H:H))</f>
        <v>#DIV/0!</v>
      </c>
      <c r="L291" s="1">
        <f>IF(ISNA(VLOOKUP(B291,PrixMini!$B$3:$E$573,4,FALSE)),1,VLOOKUP(B291,PrixMini!$B$3:$E$573,4,FALSE))</f>
        <v>1</v>
      </c>
      <c r="M291" s="25" t="e">
        <f>IF(ROUND(CalculCotation!$D$3*EXP(CalculCotation!$C$3*K291)-CalculCotation!$D$3+1,0)&gt;L291,ROUND(CalculCotation!$D$3*EXP(CalculCotation!$C$3*K291)-CalculCotation!$D$3+1,0),L291)</f>
        <v>#DIV/0!</v>
      </c>
    </row>
    <row r="292" spans="2:13" x14ac:dyDescent="0.3">
      <c r="B292" s="1">
        <f>BDD!C295</f>
        <v>0</v>
      </c>
      <c r="C292" s="1">
        <f>BDD!B295</f>
        <v>0</v>
      </c>
      <c r="D292" s="1">
        <f>BDD!A295</f>
        <v>0</v>
      </c>
      <c r="E292" s="1">
        <f>BDD!D295</f>
        <v>0</v>
      </c>
      <c r="F292" s="1">
        <f>BDD!F295</f>
        <v>0</v>
      </c>
      <c r="G292" s="25">
        <f>'ButsMPG + Var'!$I$39*IF(C292="A",COUNTIF(BDD!H295:AR295,10)*'ButsMPG + Var'!$K$12+COUNTIF(BDD!H295:AR295,9)*'ButsMPG + Var'!$K$11+COUNTIF(BDD!H295:AR295,8)*'ButsMPG + Var'!$K$10+COUNTIF(BDD!H295:AR295,7)*'ButsMPG + Var'!$K$9+COUNTIF(BDD!H295:AR295,6)*'ButsMPG + Var'!$K$8+COUNTIF(BDD!H295:AR295,5)*'ButsMPG + Var'!$K$7+COUNTIF(BDD!H295:AR295,4)*'ButsMPG + Var'!$K$6+COUNTIF(BDD!H295:AR295,3)*'ButsMPG + Var'!$K$5+COUNTIF(BDD!H295:AR295,2)*'ButsMPG + Var'!$K$4+COUNTIF(BDD!H295:AR295,1)*'ButsMPG + Var'!$K$3,IF(C292="M",COUNTIF(BDD!H295:AR295,10)*'ButsMPG + Var'!$K$22+COUNTIF(BDD!H295:AR295,9)*'ButsMPG + Var'!$K$21+COUNTIF(BDD!H295:AR295,8)*'ButsMPG + Var'!$K$20+COUNTIF(BDD!H295:AR295,7)*'ButsMPG + Var'!$K$19+COUNTIF(BDD!H295:AR295,6)*'ButsMPG + Var'!$K$18+COUNTIF(BDD!H295:AR295,5)*'ButsMPG + Var'!$K$17+COUNTIF(BDD!H295:AR295,4)*'ButsMPG + Var'!$K$16+COUNTIF(BDD!H295:AR295,3)*'ButsMPG + Var'!$K$15+COUNTIF(BDD!H295:AR295,2)*'ButsMPG + Var'!$K$14+COUNTIF(BDD!H295:AR295,1)*'ButsMPG + Var'!$K$13,IF(C292="D",COUNTIF(BDD!H295:AR295,10)*'ButsMPG + Var'!$K$32+COUNTIF(BDD!H295:AR295,9)*'ButsMPG + Var'!$K$31+COUNTIF(BDD!H295:AR295,8)*'ButsMPG + Var'!$K$30+COUNTIF(BDD!H295:AR295,7)*'ButsMPG + Var'!$K$29+COUNTIF(BDD!H295:AR295,6)*'ButsMPG + Var'!$K$28+COUNTIF(BDD!H295:AR295,5)*'ButsMPG + Var'!$K$27+COUNTIF(BDD!H295:AR295,4)*'ButsMPG + Var'!$K$26+COUNTIF(BDD!H295:AR295,3)*'ButsMPG + Var'!$K$25+COUNTIF(BDD!H295:AR295,2)*'ButsMPG + Var'!$K$24+COUNTIF(BDD!H295:AR295,1)*'ButsMPG + Var'!$K$23,0)))</f>
        <v>0</v>
      </c>
      <c r="H292" s="25">
        <f t="shared" si="5"/>
        <v>0</v>
      </c>
      <c r="I292" s="25">
        <f>BDD!G295</f>
        <v>0</v>
      </c>
      <c r="J292" s="25">
        <f>SUMPRODUCT(BDD!H295:AS295,'ButsMPG + Var'!$B$46:$AM$46)</f>
        <v>0</v>
      </c>
      <c r="K292" s="25" t="e">
        <f>10*('ButsMPG + Var'!$H$37*J292/MAX(J:J)+'ButsMPG + Var'!$G$37*H292/MAX(H:H))</f>
        <v>#DIV/0!</v>
      </c>
      <c r="L292" s="1">
        <f>IF(ISNA(VLOOKUP(B292,PrixMini!$B$3:$E$573,4,FALSE)),1,VLOOKUP(B292,PrixMini!$B$3:$E$573,4,FALSE))</f>
        <v>1</v>
      </c>
      <c r="M292" s="25" t="e">
        <f>IF(ROUND(CalculCotation!$D$3*EXP(CalculCotation!$C$3*K292)-CalculCotation!$D$3+1,0)&gt;L292,ROUND(CalculCotation!$D$3*EXP(CalculCotation!$C$3*K292)-CalculCotation!$D$3+1,0),L292)</f>
        <v>#DIV/0!</v>
      </c>
    </row>
    <row r="293" spans="2:13" x14ac:dyDescent="0.3">
      <c r="B293" s="1">
        <f>BDD!C296</f>
        <v>0</v>
      </c>
      <c r="C293" s="1">
        <f>BDD!B296</f>
        <v>0</v>
      </c>
      <c r="D293" s="1">
        <f>BDD!A296</f>
        <v>0</v>
      </c>
      <c r="E293" s="1">
        <f>BDD!D296</f>
        <v>0</v>
      </c>
      <c r="F293" s="1">
        <f>BDD!F296</f>
        <v>0</v>
      </c>
      <c r="G293" s="25">
        <f>'ButsMPG + Var'!$I$39*IF(C293="A",COUNTIF(BDD!H296:AR296,10)*'ButsMPG + Var'!$K$12+COUNTIF(BDD!H296:AR296,9)*'ButsMPG + Var'!$K$11+COUNTIF(BDD!H296:AR296,8)*'ButsMPG + Var'!$K$10+COUNTIF(BDD!H296:AR296,7)*'ButsMPG + Var'!$K$9+COUNTIF(BDD!H296:AR296,6)*'ButsMPG + Var'!$K$8+COUNTIF(BDD!H296:AR296,5)*'ButsMPG + Var'!$K$7+COUNTIF(BDD!H296:AR296,4)*'ButsMPG + Var'!$K$6+COUNTIF(BDD!H296:AR296,3)*'ButsMPG + Var'!$K$5+COUNTIF(BDD!H296:AR296,2)*'ButsMPG + Var'!$K$4+COUNTIF(BDD!H296:AR296,1)*'ButsMPG + Var'!$K$3,IF(C293="M",COUNTIF(BDD!H296:AR296,10)*'ButsMPG + Var'!$K$22+COUNTIF(BDD!H296:AR296,9)*'ButsMPG + Var'!$K$21+COUNTIF(BDD!H296:AR296,8)*'ButsMPG + Var'!$K$20+COUNTIF(BDD!H296:AR296,7)*'ButsMPG + Var'!$K$19+COUNTIF(BDD!H296:AR296,6)*'ButsMPG + Var'!$K$18+COUNTIF(BDD!H296:AR296,5)*'ButsMPG + Var'!$K$17+COUNTIF(BDD!H296:AR296,4)*'ButsMPG + Var'!$K$16+COUNTIF(BDD!H296:AR296,3)*'ButsMPG + Var'!$K$15+COUNTIF(BDD!H296:AR296,2)*'ButsMPG + Var'!$K$14+COUNTIF(BDD!H296:AR296,1)*'ButsMPG + Var'!$K$13,IF(C293="D",COUNTIF(BDD!H296:AR296,10)*'ButsMPG + Var'!$K$32+COUNTIF(BDD!H296:AR296,9)*'ButsMPG + Var'!$K$31+COUNTIF(BDD!H296:AR296,8)*'ButsMPG + Var'!$K$30+COUNTIF(BDD!H296:AR296,7)*'ButsMPG + Var'!$K$29+COUNTIF(BDD!H296:AR296,6)*'ButsMPG + Var'!$K$28+COUNTIF(BDD!H296:AR296,5)*'ButsMPG + Var'!$K$27+COUNTIF(BDD!H296:AR296,4)*'ButsMPG + Var'!$K$26+COUNTIF(BDD!H296:AR296,3)*'ButsMPG + Var'!$K$25+COUNTIF(BDD!H296:AR296,2)*'ButsMPG + Var'!$K$24+COUNTIF(BDD!H296:AR296,1)*'ButsMPG + Var'!$K$23,0)))</f>
        <v>0</v>
      </c>
      <c r="H293" s="25">
        <f t="shared" si="5"/>
        <v>0</v>
      </c>
      <c r="I293" s="25">
        <f>BDD!G296</f>
        <v>0</v>
      </c>
      <c r="J293" s="25">
        <f>SUMPRODUCT(BDD!H296:AS296,'ButsMPG + Var'!$B$46:$AM$46)</f>
        <v>0</v>
      </c>
      <c r="K293" s="25" t="e">
        <f>10*('ButsMPG + Var'!$H$37*J293/MAX(J:J)+'ButsMPG + Var'!$G$37*H293/MAX(H:H))</f>
        <v>#DIV/0!</v>
      </c>
      <c r="L293" s="1">
        <f>IF(ISNA(VLOOKUP(B293,PrixMini!$B$3:$E$573,4,FALSE)),1,VLOOKUP(B293,PrixMini!$B$3:$E$573,4,FALSE))</f>
        <v>1</v>
      </c>
      <c r="M293" s="25" t="e">
        <f>IF(ROUND(CalculCotation!$D$3*EXP(CalculCotation!$C$3*K293)-CalculCotation!$D$3+1,0)&gt;L293,ROUND(CalculCotation!$D$3*EXP(CalculCotation!$C$3*K293)-CalculCotation!$D$3+1,0),L293)</f>
        <v>#DIV/0!</v>
      </c>
    </row>
    <row r="294" spans="2:13" x14ac:dyDescent="0.3">
      <c r="B294" s="1">
        <f>BDD!C297</f>
        <v>0</v>
      </c>
      <c r="C294" s="1">
        <f>BDD!B297</f>
        <v>0</v>
      </c>
      <c r="D294" s="1">
        <f>BDD!A297</f>
        <v>0</v>
      </c>
      <c r="E294" s="1">
        <f>BDD!D297</f>
        <v>0</v>
      </c>
      <c r="F294" s="1">
        <f>BDD!F297</f>
        <v>0</v>
      </c>
      <c r="G294" s="25">
        <f>'ButsMPG + Var'!$I$39*IF(C294="A",COUNTIF(BDD!H297:AR297,10)*'ButsMPG + Var'!$K$12+COUNTIF(BDD!H297:AR297,9)*'ButsMPG + Var'!$K$11+COUNTIF(BDD!H297:AR297,8)*'ButsMPG + Var'!$K$10+COUNTIF(BDD!H297:AR297,7)*'ButsMPG + Var'!$K$9+COUNTIF(BDD!H297:AR297,6)*'ButsMPG + Var'!$K$8+COUNTIF(BDD!H297:AR297,5)*'ButsMPG + Var'!$K$7+COUNTIF(BDD!H297:AR297,4)*'ButsMPG + Var'!$K$6+COUNTIF(BDD!H297:AR297,3)*'ButsMPG + Var'!$K$5+COUNTIF(BDD!H297:AR297,2)*'ButsMPG + Var'!$K$4+COUNTIF(BDD!H297:AR297,1)*'ButsMPG + Var'!$K$3,IF(C294="M",COUNTIF(BDD!H297:AR297,10)*'ButsMPG + Var'!$K$22+COUNTIF(BDD!H297:AR297,9)*'ButsMPG + Var'!$K$21+COUNTIF(BDD!H297:AR297,8)*'ButsMPG + Var'!$K$20+COUNTIF(BDD!H297:AR297,7)*'ButsMPG + Var'!$K$19+COUNTIF(BDD!H297:AR297,6)*'ButsMPG + Var'!$K$18+COUNTIF(BDD!H297:AR297,5)*'ButsMPG + Var'!$K$17+COUNTIF(BDD!H297:AR297,4)*'ButsMPG + Var'!$K$16+COUNTIF(BDD!H297:AR297,3)*'ButsMPG + Var'!$K$15+COUNTIF(BDD!H297:AR297,2)*'ButsMPG + Var'!$K$14+COUNTIF(BDD!H297:AR297,1)*'ButsMPG + Var'!$K$13,IF(C294="D",COUNTIF(BDD!H297:AR297,10)*'ButsMPG + Var'!$K$32+COUNTIF(BDD!H297:AR297,9)*'ButsMPG + Var'!$K$31+COUNTIF(BDD!H297:AR297,8)*'ButsMPG + Var'!$K$30+COUNTIF(BDD!H297:AR297,7)*'ButsMPG + Var'!$K$29+COUNTIF(BDD!H297:AR297,6)*'ButsMPG + Var'!$K$28+COUNTIF(BDD!H297:AR297,5)*'ButsMPG + Var'!$K$27+COUNTIF(BDD!H297:AR297,4)*'ButsMPG + Var'!$K$26+COUNTIF(BDD!H297:AR297,3)*'ButsMPG + Var'!$K$25+COUNTIF(BDD!H297:AR297,2)*'ButsMPG + Var'!$K$24+COUNTIF(BDD!H297:AR297,1)*'ButsMPG + Var'!$K$23,0)))</f>
        <v>0</v>
      </c>
      <c r="H294" s="25">
        <f t="shared" si="5"/>
        <v>0</v>
      </c>
      <c r="I294" s="25">
        <f>BDD!G297</f>
        <v>0</v>
      </c>
      <c r="J294" s="25">
        <f>SUMPRODUCT(BDD!H297:AS297,'ButsMPG + Var'!$B$46:$AM$46)</f>
        <v>0</v>
      </c>
      <c r="K294" s="25" t="e">
        <f>10*('ButsMPG + Var'!$H$37*J294/MAX(J:J)+'ButsMPG + Var'!$G$37*H294/MAX(H:H))</f>
        <v>#DIV/0!</v>
      </c>
      <c r="L294" s="1">
        <f>IF(ISNA(VLOOKUP(B294,PrixMini!$B$3:$E$573,4,FALSE)),1,VLOOKUP(B294,PrixMini!$B$3:$E$573,4,FALSE))</f>
        <v>1</v>
      </c>
      <c r="M294" s="25" t="e">
        <f>IF(ROUND(CalculCotation!$D$3*EXP(CalculCotation!$C$3*K294)-CalculCotation!$D$3+1,0)&gt;L294,ROUND(CalculCotation!$D$3*EXP(CalculCotation!$C$3*K294)-CalculCotation!$D$3+1,0),L294)</f>
        <v>#DIV/0!</v>
      </c>
    </row>
    <row r="295" spans="2:13" x14ac:dyDescent="0.3">
      <c r="B295" s="1">
        <f>BDD!C298</f>
        <v>0</v>
      </c>
      <c r="C295" s="1">
        <f>BDD!B298</f>
        <v>0</v>
      </c>
      <c r="D295" s="1">
        <f>BDD!A298</f>
        <v>0</v>
      </c>
      <c r="E295" s="1">
        <f>BDD!D298</f>
        <v>0</v>
      </c>
      <c r="F295" s="1">
        <f>BDD!F298</f>
        <v>0</v>
      </c>
      <c r="G295" s="25">
        <f>'ButsMPG + Var'!$I$39*IF(C295="A",COUNTIF(BDD!H298:AR298,10)*'ButsMPG + Var'!$K$12+COUNTIF(BDD!H298:AR298,9)*'ButsMPG + Var'!$K$11+COUNTIF(BDD!H298:AR298,8)*'ButsMPG + Var'!$K$10+COUNTIF(BDD!H298:AR298,7)*'ButsMPG + Var'!$K$9+COUNTIF(BDD!H298:AR298,6)*'ButsMPG + Var'!$K$8+COUNTIF(BDD!H298:AR298,5)*'ButsMPG + Var'!$K$7+COUNTIF(BDD!H298:AR298,4)*'ButsMPG + Var'!$K$6+COUNTIF(BDD!H298:AR298,3)*'ButsMPG + Var'!$K$5+COUNTIF(BDD!H298:AR298,2)*'ButsMPG + Var'!$K$4+COUNTIF(BDD!H298:AR298,1)*'ButsMPG + Var'!$K$3,IF(C295="M",COUNTIF(BDD!H298:AR298,10)*'ButsMPG + Var'!$K$22+COUNTIF(BDD!H298:AR298,9)*'ButsMPG + Var'!$K$21+COUNTIF(BDD!H298:AR298,8)*'ButsMPG + Var'!$K$20+COUNTIF(BDD!H298:AR298,7)*'ButsMPG + Var'!$K$19+COUNTIF(BDD!H298:AR298,6)*'ButsMPG + Var'!$K$18+COUNTIF(BDD!H298:AR298,5)*'ButsMPG + Var'!$K$17+COUNTIF(BDD!H298:AR298,4)*'ButsMPG + Var'!$K$16+COUNTIF(BDD!H298:AR298,3)*'ButsMPG + Var'!$K$15+COUNTIF(BDD!H298:AR298,2)*'ButsMPG + Var'!$K$14+COUNTIF(BDD!H298:AR298,1)*'ButsMPG + Var'!$K$13,IF(C295="D",COUNTIF(BDD!H298:AR298,10)*'ButsMPG + Var'!$K$32+COUNTIF(BDD!H298:AR298,9)*'ButsMPG + Var'!$K$31+COUNTIF(BDD!H298:AR298,8)*'ButsMPG + Var'!$K$30+COUNTIF(BDD!H298:AR298,7)*'ButsMPG + Var'!$K$29+COUNTIF(BDD!H298:AR298,6)*'ButsMPG + Var'!$K$28+COUNTIF(BDD!H298:AR298,5)*'ButsMPG + Var'!$K$27+COUNTIF(BDD!H298:AR298,4)*'ButsMPG + Var'!$K$26+COUNTIF(BDD!H298:AR298,3)*'ButsMPG + Var'!$K$25+COUNTIF(BDD!H298:AR298,2)*'ButsMPG + Var'!$K$24+COUNTIF(BDD!H298:AR298,1)*'ButsMPG + Var'!$K$23,0)))</f>
        <v>0</v>
      </c>
      <c r="H295" s="25">
        <f t="shared" si="5"/>
        <v>0</v>
      </c>
      <c r="I295" s="25">
        <f>BDD!G298</f>
        <v>0</v>
      </c>
      <c r="J295" s="25">
        <f>SUMPRODUCT(BDD!H298:AS298,'ButsMPG + Var'!$B$46:$AM$46)</f>
        <v>0</v>
      </c>
      <c r="K295" s="25" t="e">
        <f>10*('ButsMPG + Var'!$H$37*J295/MAX(J:J)+'ButsMPG + Var'!$G$37*H295/MAX(H:H))</f>
        <v>#DIV/0!</v>
      </c>
      <c r="L295" s="1">
        <f>IF(ISNA(VLOOKUP(B295,PrixMini!$B$3:$E$573,4,FALSE)),1,VLOOKUP(B295,PrixMini!$B$3:$E$573,4,FALSE))</f>
        <v>1</v>
      </c>
      <c r="M295" s="25" t="e">
        <f>IF(ROUND(CalculCotation!$D$3*EXP(CalculCotation!$C$3*K295)-CalculCotation!$D$3+1,0)&gt;L295,ROUND(CalculCotation!$D$3*EXP(CalculCotation!$C$3*K295)-CalculCotation!$D$3+1,0),L295)</f>
        <v>#DIV/0!</v>
      </c>
    </row>
    <row r="296" spans="2:13" x14ac:dyDescent="0.3">
      <c r="B296" s="1">
        <f>BDD!C299</f>
        <v>0</v>
      </c>
      <c r="C296" s="1">
        <f>BDD!B299</f>
        <v>0</v>
      </c>
      <c r="D296" s="1">
        <f>BDD!A299</f>
        <v>0</v>
      </c>
      <c r="E296" s="1">
        <f>BDD!D299</f>
        <v>0</v>
      </c>
      <c r="F296" s="1">
        <f>BDD!F299</f>
        <v>0</v>
      </c>
      <c r="G296" s="25">
        <f>'ButsMPG + Var'!$I$39*IF(C296="A",COUNTIF(BDD!H299:AR299,10)*'ButsMPG + Var'!$K$12+COUNTIF(BDD!H299:AR299,9)*'ButsMPG + Var'!$K$11+COUNTIF(BDD!H299:AR299,8)*'ButsMPG + Var'!$K$10+COUNTIF(BDD!H299:AR299,7)*'ButsMPG + Var'!$K$9+COUNTIF(BDD!H299:AR299,6)*'ButsMPG + Var'!$K$8+COUNTIF(BDD!H299:AR299,5)*'ButsMPG + Var'!$K$7+COUNTIF(BDD!H299:AR299,4)*'ButsMPG + Var'!$K$6+COUNTIF(BDD!H299:AR299,3)*'ButsMPG + Var'!$K$5+COUNTIF(BDD!H299:AR299,2)*'ButsMPG + Var'!$K$4+COUNTIF(BDD!H299:AR299,1)*'ButsMPG + Var'!$K$3,IF(C296="M",COUNTIF(BDD!H299:AR299,10)*'ButsMPG + Var'!$K$22+COUNTIF(BDD!H299:AR299,9)*'ButsMPG + Var'!$K$21+COUNTIF(BDD!H299:AR299,8)*'ButsMPG + Var'!$K$20+COUNTIF(BDD!H299:AR299,7)*'ButsMPG + Var'!$K$19+COUNTIF(BDD!H299:AR299,6)*'ButsMPG + Var'!$K$18+COUNTIF(BDD!H299:AR299,5)*'ButsMPG + Var'!$K$17+COUNTIF(BDD!H299:AR299,4)*'ButsMPG + Var'!$K$16+COUNTIF(BDD!H299:AR299,3)*'ButsMPG + Var'!$K$15+COUNTIF(BDD!H299:AR299,2)*'ButsMPG + Var'!$K$14+COUNTIF(BDD!H299:AR299,1)*'ButsMPG + Var'!$K$13,IF(C296="D",COUNTIF(BDD!H299:AR299,10)*'ButsMPG + Var'!$K$32+COUNTIF(BDD!H299:AR299,9)*'ButsMPG + Var'!$K$31+COUNTIF(BDD!H299:AR299,8)*'ButsMPG + Var'!$K$30+COUNTIF(BDD!H299:AR299,7)*'ButsMPG + Var'!$K$29+COUNTIF(BDD!H299:AR299,6)*'ButsMPG + Var'!$K$28+COUNTIF(BDD!H299:AR299,5)*'ButsMPG + Var'!$K$27+COUNTIF(BDD!H299:AR299,4)*'ButsMPG + Var'!$K$26+COUNTIF(BDD!H299:AR299,3)*'ButsMPG + Var'!$K$25+COUNTIF(BDD!H299:AR299,2)*'ButsMPG + Var'!$K$24+COUNTIF(BDD!H299:AR299,1)*'ButsMPG + Var'!$K$23,0)))</f>
        <v>0</v>
      </c>
      <c r="H296" s="25">
        <f t="shared" si="5"/>
        <v>0</v>
      </c>
      <c r="I296" s="25">
        <f>BDD!G299</f>
        <v>0</v>
      </c>
      <c r="J296" s="25">
        <f>SUMPRODUCT(BDD!H299:AS299,'ButsMPG + Var'!$B$46:$AM$46)</f>
        <v>0</v>
      </c>
      <c r="K296" s="25" t="e">
        <f>10*('ButsMPG + Var'!$H$37*J296/MAX(J:J)+'ButsMPG + Var'!$G$37*H296/MAX(H:H))</f>
        <v>#DIV/0!</v>
      </c>
      <c r="L296" s="1">
        <f>IF(ISNA(VLOOKUP(B296,PrixMini!$B$3:$E$573,4,FALSE)),1,VLOOKUP(B296,PrixMini!$B$3:$E$573,4,FALSE))</f>
        <v>1</v>
      </c>
      <c r="M296" s="25" t="e">
        <f>IF(ROUND(CalculCotation!$D$3*EXP(CalculCotation!$C$3*K296)-CalculCotation!$D$3+1,0)&gt;L296,ROUND(CalculCotation!$D$3*EXP(CalculCotation!$C$3*K296)-CalculCotation!$D$3+1,0),L296)</f>
        <v>#DIV/0!</v>
      </c>
    </row>
    <row r="297" spans="2:13" x14ac:dyDescent="0.3">
      <c r="B297" s="1">
        <f>BDD!C300</f>
        <v>0</v>
      </c>
      <c r="C297" s="1">
        <f>BDD!B300</f>
        <v>0</v>
      </c>
      <c r="D297" s="1">
        <f>BDD!A300</f>
        <v>0</v>
      </c>
      <c r="E297" s="1">
        <f>BDD!D300</f>
        <v>0</v>
      </c>
      <c r="F297" s="1">
        <f>BDD!F300</f>
        <v>0</v>
      </c>
      <c r="G297" s="25">
        <f>'ButsMPG + Var'!$I$39*IF(C297="A",COUNTIF(BDD!H300:AR300,10)*'ButsMPG + Var'!$K$12+COUNTIF(BDD!H300:AR300,9)*'ButsMPG + Var'!$K$11+COUNTIF(BDD!H300:AR300,8)*'ButsMPG + Var'!$K$10+COUNTIF(BDD!H300:AR300,7)*'ButsMPG + Var'!$K$9+COUNTIF(BDD!H300:AR300,6)*'ButsMPG + Var'!$K$8+COUNTIF(BDD!H300:AR300,5)*'ButsMPG + Var'!$K$7+COUNTIF(BDD!H300:AR300,4)*'ButsMPG + Var'!$K$6+COUNTIF(BDD!H300:AR300,3)*'ButsMPG + Var'!$K$5+COUNTIF(BDD!H300:AR300,2)*'ButsMPG + Var'!$K$4+COUNTIF(BDD!H300:AR300,1)*'ButsMPG + Var'!$K$3,IF(C297="M",COUNTIF(BDD!H300:AR300,10)*'ButsMPG + Var'!$K$22+COUNTIF(BDD!H300:AR300,9)*'ButsMPG + Var'!$K$21+COUNTIF(BDD!H300:AR300,8)*'ButsMPG + Var'!$K$20+COUNTIF(BDD!H300:AR300,7)*'ButsMPG + Var'!$K$19+COUNTIF(BDD!H300:AR300,6)*'ButsMPG + Var'!$K$18+COUNTIF(BDD!H300:AR300,5)*'ButsMPG + Var'!$K$17+COUNTIF(BDD!H300:AR300,4)*'ButsMPG + Var'!$K$16+COUNTIF(BDD!H300:AR300,3)*'ButsMPG + Var'!$K$15+COUNTIF(BDD!H300:AR300,2)*'ButsMPG + Var'!$K$14+COUNTIF(BDD!H300:AR300,1)*'ButsMPG + Var'!$K$13,IF(C297="D",COUNTIF(BDD!H300:AR300,10)*'ButsMPG + Var'!$K$32+COUNTIF(BDD!H300:AR300,9)*'ButsMPG + Var'!$K$31+COUNTIF(BDD!H300:AR300,8)*'ButsMPG + Var'!$K$30+COUNTIF(BDD!H300:AR300,7)*'ButsMPG + Var'!$K$29+COUNTIF(BDD!H300:AR300,6)*'ButsMPG + Var'!$K$28+COUNTIF(BDD!H300:AR300,5)*'ButsMPG + Var'!$K$27+COUNTIF(BDD!H300:AR300,4)*'ButsMPG + Var'!$K$26+COUNTIF(BDD!H300:AR300,3)*'ButsMPG + Var'!$K$25+COUNTIF(BDD!H300:AR300,2)*'ButsMPG + Var'!$K$24+COUNTIF(BDD!H300:AR300,1)*'ButsMPG + Var'!$K$23,0)))</f>
        <v>0</v>
      </c>
      <c r="H297" s="25">
        <f t="shared" si="5"/>
        <v>0</v>
      </c>
      <c r="I297" s="25">
        <f>BDD!G300</f>
        <v>0</v>
      </c>
      <c r="J297" s="25">
        <f>SUMPRODUCT(BDD!H300:AS300,'ButsMPG + Var'!$B$46:$AM$46)</f>
        <v>0</v>
      </c>
      <c r="K297" s="25" t="e">
        <f>10*('ButsMPG + Var'!$H$37*J297/MAX(J:J)+'ButsMPG + Var'!$G$37*H297/MAX(H:H))</f>
        <v>#DIV/0!</v>
      </c>
      <c r="L297" s="1">
        <f>IF(ISNA(VLOOKUP(B297,PrixMini!$B$3:$E$573,4,FALSE)),1,VLOOKUP(B297,PrixMini!$B$3:$E$573,4,FALSE))</f>
        <v>1</v>
      </c>
      <c r="M297" s="25" t="e">
        <f>IF(ROUND(CalculCotation!$D$3*EXP(CalculCotation!$C$3*K297)-CalculCotation!$D$3+1,0)&gt;L297,ROUND(CalculCotation!$D$3*EXP(CalculCotation!$C$3*K297)-CalculCotation!$D$3+1,0),L297)</f>
        <v>#DIV/0!</v>
      </c>
    </row>
    <row r="298" spans="2:13" x14ac:dyDescent="0.3">
      <c r="B298" s="1">
        <f>BDD!C301</f>
        <v>0</v>
      </c>
      <c r="C298" s="1">
        <f>BDD!B301</f>
        <v>0</v>
      </c>
      <c r="D298" s="1">
        <f>BDD!A301</f>
        <v>0</v>
      </c>
      <c r="E298" s="1">
        <f>BDD!D301</f>
        <v>0</v>
      </c>
      <c r="F298" s="1">
        <f>BDD!F301</f>
        <v>0</v>
      </c>
      <c r="G298" s="25">
        <f>'ButsMPG + Var'!$I$39*IF(C298="A",COUNTIF(BDD!H301:AR301,10)*'ButsMPG + Var'!$K$12+COUNTIF(BDD!H301:AR301,9)*'ButsMPG + Var'!$K$11+COUNTIF(BDD!H301:AR301,8)*'ButsMPG + Var'!$K$10+COUNTIF(BDD!H301:AR301,7)*'ButsMPG + Var'!$K$9+COUNTIF(BDD!H301:AR301,6)*'ButsMPG + Var'!$K$8+COUNTIF(BDD!H301:AR301,5)*'ButsMPG + Var'!$K$7+COUNTIF(BDD!H301:AR301,4)*'ButsMPG + Var'!$K$6+COUNTIF(BDD!H301:AR301,3)*'ButsMPG + Var'!$K$5+COUNTIF(BDD!H301:AR301,2)*'ButsMPG + Var'!$K$4+COUNTIF(BDD!H301:AR301,1)*'ButsMPG + Var'!$K$3,IF(C298="M",COUNTIF(BDD!H301:AR301,10)*'ButsMPG + Var'!$K$22+COUNTIF(BDD!H301:AR301,9)*'ButsMPG + Var'!$K$21+COUNTIF(BDD!H301:AR301,8)*'ButsMPG + Var'!$K$20+COUNTIF(BDD!H301:AR301,7)*'ButsMPG + Var'!$K$19+COUNTIF(BDD!H301:AR301,6)*'ButsMPG + Var'!$K$18+COUNTIF(BDD!H301:AR301,5)*'ButsMPG + Var'!$K$17+COUNTIF(BDD!H301:AR301,4)*'ButsMPG + Var'!$K$16+COUNTIF(BDD!H301:AR301,3)*'ButsMPG + Var'!$K$15+COUNTIF(BDD!H301:AR301,2)*'ButsMPG + Var'!$K$14+COUNTIF(BDD!H301:AR301,1)*'ButsMPG + Var'!$K$13,IF(C298="D",COUNTIF(BDD!H301:AR301,10)*'ButsMPG + Var'!$K$32+COUNTIF(BDD!H301:AR301,9)*'ButsMPG + Var'!$K$31+COUNTIF(BDD!H301:AR301,8)*'ButsMPG + Var'!$K$30+COUNTIF(BDD!H301:AR301,7)*'ButsMPG + Var'!$K$29+COUNTIF(BDD!H301:AR301,6)*'ButsMPG + Var'!$K$28+COUNTIF(BDD!H301:AR301,5)*'ButsMPG + Var'!$K$27+COUNTIF(BDD!H301:AR301,4)*'ButsMPG + Var'!$K$26+COUNTIF(BDD!H301:AR301,3)*'ButsMPG + Var'!$K$25+COUNTIF(BDD!H301:AR301,2)*'ButsMPG + Var'!$K$24+COUNTIF(BDD!H301:AR301,1)*'ButsMPG + Var'!$K$23,0)))</f>
        <v>0</v>
      </c>
      <c r="H298" s="25">
        <f t="shared" si="5"/>
        <v>0</v>
      </c>
      <c r="I298" s="25">
        <f>BDD!G301</f>
        <v>0</v>
      </c>
      <c r="J298" s="25">
        <f>SUMPRODUCT(BDD!H301:AS301,'ButsMPG + Var'!$B$46:$AM$46)</f>
        <v>0</v>
      </c>
      <c r="K298" s="25" t="e">
        <f>10*('ButsMPG + Var'!$H$37*J298/MAX(J:J)+'ButsMPG + Var'!$G$37*H298/MAX(H:H))</f>
        <v>#DIV/0!</v>
      </c>
      <c r="L298" s="1">
        <f>IF(ISNA(VLOOKUP(B298,PrixMini!$B$3:$E$573,4,FALSE)),1,VLOOKUP(B298,PrixMini!$B$3:$E$573,4,FALSE))</f>
        <v>1</v>
      </c>
      <c r="M298" s="25" t="e">
        <f>IF(ROUND(CalculCotation!$D$3*EXP(CalculCotation!$C$3*K298)-CalculCotation!$D$3+1,0)&gt;L298,ROUND(CalculCotation!$D$3*EXP(CalculCotation!$C$3*K298)-CalculCotation!$D$3+1,0),L298)</f>
        <v>#DIV/0!</v>
      </c>
    </row>
    <row r="299" spans="2:13" x14ac:dyDescent="0.3">
      <c r="B299" s="1">
        <f>BDD!C302</f>
        <v>0</v>
      </c>
      <c r="C299" s="1">
        <f>BDD!B302</f>
        <v>0</v>
      </c>
      <c r="D299" s="1">
        <f>BDD!A302</f>
        <v>0</v>
      </c>
      <c r="E299" s="1">
        <f>BDD!D302</f>
        <v>0</v>
      </c>
      <c r="F299" s="1">
        <f>BDD!F302</f>
        <v>0</v>
      </c>
      <c r="G299" s="25">
        <f>'ButsMPG + Var'!$I$39*IF(C299="A",COUNTIF(BDD!H302:AR302,10)*'ButsMPG + Var'!$K$12+COUNTIF(BDD!H302:AR302,9)*'ButsMPG + Var'!$K$11+COUNTIF(BDD!H302:AR302,8)*'ButsMPG + Var'!$K$10+COUNTIF(BDD!H302:AR302,7)*'ButsMPG + Var'!$K$9+COUNTIF(BDD!H302:AR302,6)*'ButsMPG + Var'!$K$8+COUNTIF(BDD!H302:AR302,5)*'ButsMPG + Var'!$K$7+COUNTIF(BDD!H302:AR302,4)*'ButsMPG + Var'!$K$6+COUNTIF(BDD!H302:AR302,3)*'ButsMPG + Var'!$K$5+COUNTIF(BDD!H302:AR302,2)*'ButsMPG + Var'!$K$4+COUNTIF(BDD!H302:AR302,1)*'ButsMPG + Var'!$K$3,IF(C299="M",COUNTIF(BDD!H302:AR302,10)*'ButsMPG + Var'!$K$22+COUNTIF(BDD!H302:AR302,9)*'ButsMPG + Var'!$K$21+COUNTIF(BDD!H302:AR302,8)*'ButsMPG + Var'!$K$20+COUNTIF(BDD!H302:AR302,7)*'ButsMPG + Var'!$K$19+COUNTIF(BDD!H302:AR302,6)*'ButsMPG + Var'!$K$18+COUNTIF(BDD!H302:AR302,5)*'ButsMPG + Var'!$K$17+COUNTIF(BDD!H302:AR302,4)*'ButsMPG + Var'!$K$16+COUNTIF(BDD!H302:AR302,3)*'ButsMPG + Var'!$K$15+COUNTIF(BDD!H302:AR302,2)*'ButsMPG + Var'!$K$14+COUNTIF(BDD!H302:AR302,1)*'ButsMPG + Var'!$K$13,IF(C299="D",COUNTIF(BDD!H302:AR302,10)*'ButsMPG + Var'!$K$32+COUNTIF(BDD!H302:AR302,9)*'ButsMPG + Var'!$K$31+COUNTIF(BDD!H302:AR302,8)*'ButsMPG + Var'!$K$30+COUNTIF(BDD!H302:AR302,7)*'ButsMPG + Var'!$K$29+COUNTIF(BDD!H302:AR302,6)*'ButsMPG + Var'!$K$28+COUNTIF(BDD!H302:AR302,5)*'ButsMPG + Var'!$K$27+COUNTIF(BDD!H302:AR302,4)*'ButsMPG + Var'!$K$26+COUNTIF(BDD!H302:AR302,3)*'ButsMPG + Var'!$K$25+COUNTIF(BDD!H302:AR302,2)*'ButsMPG + Var'!$K$24+COUNTIF(BDD!H302:AR302,1)*'ButsMPG + Var'!$K$23,0)))</f>
        <v>0</v>
      </c>
      <c r="H299" s="25">
        <f t="shared" si="5"/>
        <v>0</v>
      </c>
      <c r="I299" s="25">
        <f>BDD!G302</f>
        <v>0</v>
      </c>
      <c r="J299" s="25">
        <f>SUMPRODUCT(BDD!H302:AS302,'ButsMPG + Var'!$B$46:$AM$46)</f>
        <v>0</v>
      </c>
      <c r="K299" s="25" t="e">
        <f>10*('ButsMPG + Var'!$H$37*J299/MAX(J:J)+'ButsMPG + Var'!$G$37*H299/MAX(H:H))</f>
        <v>#DIV/0!</v>
      </c>
      <c r="L299" s="1">
        <f>IF(ISNA(VLOOKUP(B299,PrixMini!$B$3:$E$573,4,FALSE)),1,VLOOKUP(B299,PrixMini!$B$3:$E$573,4,FALSE))</f>
        <v>1</v>
      </c>
      <c r="M299" s="25" t="e">
        <f>IF(ROUND(CalculCotation!$D$3*EXP(CalculCotation!$C$3*K299)-CalculCotation!$D$3+1,0)&gt;L299,ROUND(CalculCotation!$D$3*EXP(CalculCotation!$C$3*K299)-CalculCotation!$D$3+1,0),L299)</f>
        <v>#DIV/0!</v>
      </c>
    </row>
    <row r="300" spans="2:13" x14ac:dyDescent="0.3">
      <c r="B300" s="1">
        <f>BDD!C303</f>
        <v>0</v>
      </c>
      <c r="C300" s="1">
        <f>BDD!B303</f>
        <v>0</v>
      </c>
      <c r="D300" s="1">
        <f>BDD!A303</f>
        <v>0</v>
      </c>
      <c r="E300" s="1">
        <f>BDD!D303</f>
        <v>0</v>
      </c>
      <c r="F300" s="1">
        <f>BDD!F303</f>
        <v>0</v>
      </c>
      <c r="G300" s="25">
        <f>'ButsMPG + Var'!$I$39*IF(C300="A",COUNTIF(BDD!H303:AR303,10)*'ButsMPG + Var'!$K$12+COUNTIF(BDD!H303:AR303,9)*'ButsMPG + Var'!$K$11+COUNTIF(BDD!H303:AR303,8)*'ButsMPG + Var'!$K$10+COUNTIF(BDD!H303:AR303,7)*'ButsMPG + Var'!$K$9+COUNTIF(BDD!H303:AR303,6)*'ButsMPG + Var'!$K$8+COUNTIF(BDD!H303:AR303,5)*'ButsMPG + Var'!$K$7+COUNTIF(BDD!H303:AR303,4)*'ButsMPG + Var'!$K$6+COUNTIF(BDD!H303:AR303,3)*'ButsMPG + Var'!$K$5+COUNTIF(BDD!H303:AR303,2)*'ButsMPG + Var'!$K$4+COUNTIF(BDD!H303:AR303,1)*'ButsMPG + Var'!$K$3,IF(C300="M",COUNTIF(BDD!H303:AR303,10)*'ButsMPG + Var'!$K$22+COUNTIF(BDD!H303:AR303,9)*'ButsMPG + Var'!$K$21+COUNTIF(BDD!H303:AR303,8)*'ButsMPG + Var'!$K$20+COUNTIF(BDD!H303:AR303,7)*'ButsMPG + Var'!$K$19+COUNTIF(BDD!H303:AR303,6)*'ButsMPG + Var'!$K$18+COUNTIF(BDD!H303:AR303,5)*'ButsMPG + Var'!$K$17+COUNTIF(BDD!H303:AR303,4)*'ButsMPG + Var'!$K$16+COUNTIF(BDD!H303:AR303,3)*'ButsMPG + Var'!$K$15+COUNTIF(BDD!H303:AR303,2)*'ButsMPG + Var'!$K$14+COUNTIF(BDD!H303:AR303,1)*'ButsMPG + Var'!$K$13,IF(C300="D",COUNTIF(BDD!H303:AR303,10)*'ButsMPG + Var'!$K$32+COUNTIF(BDD!H303:AR303,9)*'ButsMPG + Var'!$K$31+COUNTIF(BDD!H303:AR303,8)*'ButsMPG + Var'!$K$30+COUNTIF(BDD!H303:AR303,7)*'ButsMPG + Var'!$K$29+COUNTIF(BDD!H303:AR303,6)*'ButsMPG + Var'!$K$28+COUNTIF(BDD!H303:AR303,5)*'ButsMPG + Var'!$K$27+COUNTIF(BDD!H303:AR303,4)*'ButsMPG + Var'!$K$26+COUNTIF(BDD!H303:AR303,3)*'ButsMPG + Var'!$K$25+COUNTIF(BDD!H303:AR303,2)*'ButsMPG + Var'!$K$24+COUNTIF(BDD!H303:AR303,1)*'ButsMPG + Var'!$K$23,0)))</f>
        <v>0</v>
      </c>
      <c r="H300" s="25">
        <f t="shared" si="5"/>
        <v>0</v>
      </c>
      <c r="I300" s="25">
        <f>BDD!G303</f>
        <v>0</v>
      </c>
      <c r="J300" s="25">
        <f>SUMPRODUCT(BDD!H303:AS303,'ButsMPG + Var'!$B$46:$AM$46)</f>
        <v>0</v>
      </c>
      <c r="K300" s="25" t="e">
        <f>10*('ButsMPG + Var'!$H$37*J300/MAX(J:J)+'ButsMPG + Var'!$G$37*H300/MAX(H:H))</f>
        <v>#DIV/0!</v>
      </c>
      <c r="L300" s="1">
        <f>IF(ISNA(VLOOKUP(B300,PrixMini!$B$3:$E$573,4,FALSE)),1,VLOOKUP(B300,PrixMini!$B$3:$E$573,4,FALSE))</f>
        <v>1</v>
      </c>
      <c r="M300" s="25" t="e">
        <f>IF(ROUND(CalculCotation!$D$3*EXP(CalculCotation!$C$3*K300)-CalculCotation!$D$3+1,0)&gt;L300,ROUND(CalculCotation!$D$3*EXP(CalculCotation!$C$3*K300)-CalculCotation!$D$3+1,0),L300)</f>
        <v>#DIV/0!</v>
      </c>
    </row>
    <row r="301" spans="2:13" x14ac:dyDescent="0.3">
      <c r="B301" s="1">
        <f>BDD!C304</f>
        <v>0</v>
      </c>
      <c r="C301" s="1">
        <f>BDD!B304</f>
        <v>0</v>
      </c>
      <c r="D301" s="1">
        <f>BDD!A304</f>
        <v>0</v>
      </c>
      <c r="E301" s="1">
        <f>BDD!D304</f>
        <v>0</v>
      </c>
      <c r="F301" s="1">
        <f>BDD!F304</f>
        <v>0</v>
      </c>
      <c r="G301" s="25">
        <f>'ButsMPG + Var'!$I$39*IF(C301="A",COUNTIF(BDD!H304:AR304,10)*'ButsMPG + Var'!$K$12+COUNTIF(BDD!H304:AR304,9)*'ButsMPG + Var'!$K$11+COUNTIF(BDD!H304:AR304,8)*'ButsMPG + Var'!$K$10+COUNTIF(BDD!H304:AR304,7)*'ButsMPG + Var'!$K$9+COUNTIF(BDD!H304:AR304,6)*'ButsMPG + Var'!$K$8+COUNTIF(BDD!H304:AR304,5)*'ButsMPG + Var'!$K$7+COUNTIF(BDD!H304:AR304,4)*'ButsMPG + Var'!$K$6+COUNTIF(BDD!H304:AR304,3)*'ButsMPG + Var'!$K$5+COUNTIF(BDD!H304:AR304,2)*'ButsMPG + Var'!$K$4+COUNTIF(BDD!H304:AR304,1)*'ButsMPG + Var'!$K$3,IF(C301="M",COUNTIF(BDD!H304:AR304,10)*'ButsMPG + Var'!$K$22+COUNTIF(BDD!H304:AR304,9)*'ButsMPG + Var'!$K$21+COUNTIF(BDD!H304:AR304,8)*'ButsMPG + Var'!$K$20+COUNTIF(BDD!H304:AR304,7)*'ButsMPG + Var'!$K$19+COUNTIF(BDD!H304:AR304,6)*'ButsMPG + Var'!$K$18+COUNTIF(BDD!H304:AR304,5)*'ButsMPG + Var'!$K$17+COUNTIF(BDD!H304:AR304,4)*'ButsMPG + Var'!$K$16+COUNTIF(BDD!H304:AR304,3)*'ButsMPG + Var'!$K$15+COUNTIF(BDD!H304:AR304,2)*'ButsMPG + Var'!$K$14+COUNTIF(BDD!H304:AR304,1)*'ButsMPG + Var'!$K$13,IF(C301="D",COUNTIF(BDD!H304:AR304,10)*'ButsMPG + Var'!$K$32+COUNTIF(BDD!H304:AR304,9)*'ButsMPG + Var'!$K$31+COUNTIF(BDD!H304:AR304,8)*'ButsMPG + Var'!$K$30+COUNTIF(BDD!H304:AR304,7)*'ButsMPG + Var'!$K$29+COUNTIF(BDD!H304:AR304,6)*'ButsMPG + Var'!$K$28+COUNTIF(BDD!H304:AR304,5)*'ButsMPG + Var'!$K$27+COUNTIF(BDD!H304:AR304,4)*'ButsMPG + Var'!$K$26+COUNTIF(BDD!H304:AR304,3)*'ButsMPG + Var'!$K$25+COUNTIF(BDD!H304:AR304,2)*'ButsMPG + Var'!$K$24+COUNTIF(BDD!H304:AR304,1)*'ButsMPG + Var'!$K$23,0)))</f>
        <v>0</v>
      </c>
      <c r="H301" s="25">
        <f t="shared" si="5"/>
        <v>0</v>
      </c>
      <c r="I301" s="25">
        <f>BDD!G304</f>
        <v>0</v>
      </c>
      <c r="J301" s="25">
        <f>SUMPRODUCT(BDD!H304:AS304,'ButsMPG + Var'!$B$46:$AM$46)</f>
        <v>0</v>
      </c>
      <c r="K301" s="25" t="e">
        <f>10*('ButsMPG + Var'!$H$37*J301/MAX(J:J)+'ButsMPG + Var'!$G$37*H301/MAX(H:H))</f>
        <v>#DIV/0!</v>
      </c>
      <c r="L301" s="1">
        <f>IF(ISNA(VLOOKUP(B301,PrixMini!$B$3:$E$573,4,FALSE)),1,VLOOKUP(B301,PrixMini!$B$3:$E$573,4,FALSE))</f>
        <v>1</v>
      </c>
      <c r="M301" s="25" t="e">
        <f>IF(ROUND(CalculCotation!$D$3*EXP(CalculCotation!$C$3*K301)-CalculCotation!$D$3+1,0)&gt;L301,ROUND(CalculCotation!$D$3*EXP(CalculCotation!$C$3*K301)-CalculCotation!$D$3+1,0),L301)</f>
        <v>#DIV/0!</v>
      </c>
    </row>
    <row r="302" spans="2:13" x14ac:dyDescent="0.3">
      <c r="B302" s="1">
        <f>BDD!C305</f>
        <v>0</v>
      </c>
      <c r="C302" s="1">
        <f>BDD!B305</f>
        <v>0</v>
      </c>
      <c r="D302" s="1">
        <f>BDD!A305</f>
        <v>0</v>
      </c>
      <c r="E302" s="1">
        <f>BDD!D305</f>
        <v>0</v>
      </c>
      <c r="F302" s="1">
        <f>BDD!F305</f>
        <v>0</v>
      </c>
      <c r="G302" s="25">
        <f>'ButsMPG + Var'!$I$39*IF(C302="A",COUNTIF(BDD!H305:AR305,10)*'ButsMPG + Var'!$K$12+COUNTIF(BDD!H305:AR305,9)*'ButsMPG + Var'!$K$11+COUNTIF(BDD!H305:AR305,8)*'ButsMPG + Var'!$K$10+COUNTIF(BDD!H305:AR305,7)*'ButsMPG + Var'!$K$9+COUNTIF(BDD!H305:AR305,6)*'ButsMPG + Var'!$K$8+COUNTIF(BDD!H305:AR305,5)*'ButsMPG + Var'!$K$7+COUNTIF(BDD!H305:AR305,4)*'ButsMPG + Var'!$K$6+COUNTIF(BDD!H305:AR305,3)*'ButsMPG + Var'!$K$5+COUNTIF(BDD!H305:AR305,2)*'ButsMPG + Var'!$K$4+COUNTIF(BDD!H305:AR305,1)*'ButsMPG + Var'!$K$3,IF(C302="M",COUNTIF(BDD!H305:AR305,10)*'ButsMPG + Var'!$K$22+COUNTIF(BDD!H305:AR305,9)*'ButsMPG + Var'!$K$21+COUNTIF(BDD!H305:AR305,8)*'ButsMPG + Var'!$K$20+COUNTIF(BDD!H305:AR305,7)*'ButsMPG + Var'!$K$19+COUNTIF(BDD!H305:AR305,6)*'ButsMPG + Var'!$K$18+COUNTIF(BDD!H305:AR305,5)*'ButsMPG + Var'!$K$17+COUNTIF(BDD!H305:AR305,4)*'ButsMPG + Var'!$K$16+COUNTIF(BDD!H305:AR305,3)*'ButsMPG + Var'!$K$15+COUNTIF(BDD!H305:AR305,2)*'ButsMPG + Var'!$K$14+COUNTIF(BDD!H305:AR305,1)*'ButsMPG + Var'!$K$13,IF(C302="D",COUNTIF(BDD!H305:AR305,10)*'ButsMPG + Var'!$K$32+COUNTIF(BDD!H305:AR305,9)*'ButsMPG + Var'!$K$31+COUNTIF(BDD!H305:AR305,8)*'ButsMPG + Var'!$K$30+COUNTIF(BDD!H305:AR305,7)*'ButsMPG + Var'!$K$29+COUNTIF(BDD!H305:AR305,6)*'ButsMPG + Var'!$K$28+COUNTIF(BDD!H305:AR305,5)*'ButsMPG + Var'!$K$27+COUNTIF(BDD!H305:AR305,4)*'ButsMPG + Var'!$K$26+COUNTIF(BDD!H305:AR305,3)*'ButsMPG + Var'!$K$25+COUNTIF(BDD!H305:AR305,2)*'ButsMPG + Var'!$K$24+COUNTIF(BDD!H305:AR305,1)*'ButsMPG + Var'!$K$23,0)))</f>
        <v>0</v>
      </c>
      <c r="H302" s="25">
        <f t="shared" si="5"/>
        <v>0</v>
      </c>
      <c r="I302" s="25">
        <f>BDD!G305</f>
        <v>0</v>
      </c>
      <c r="J302" s="25">
        <f>SUMPRODUCT(BDD!H305:AS305,'ButsMPG + Var'!$B$46:$AM$46)</f>
        <v>0</v>
      </c>
      <c r="K302" s="25" t="e">
        <f>10*('ButsMPG + Var'!$H$37*J302/MAX(J:J)+'ButsMPG + Var'!$G$37*H302/MAX(H:H))</f>
        <v>#DIV/0!</v>
      </c>
      <c r="L302" s="1">
        <f>IF(ISNA(VLOOKUP(B302,PrixMini!$B$3:$E$573,4,FALSE)),1,VLOOKUP(B302,PrixMini!$B$3:$E$573,4,FALSE))</f>
        <v>1</v>
      </c>
      <c r="M302" s="25" t="e">
        <f>IF(ROUND(CalculCotation!$D$3*EXP(CalculCotation!$C$3*K302)-CalculCotation!$D$3+1,0)&gt;L302,ROUND(CalculCotation!$D$3*EXP(CalculCotation!$C$3*K302)-CalculCotation!$D$3+1,0),L302)</f>
        <v>#DIV/0!</v>
      </c>
    </row>
    <row r="303" spans="2:13" x14ac:dyDescent="0.3">
      <c r="B303" s="1">
        <f>BDD!C306</f>
        <v>0</v>
      </c>
      <c r="C303" s="1">
        <f>BDD!B306</f>
        <v>0</v>
      </c>
      <c r="D303" s="1">
        <f>BDD!A306</f>
        <v>0</v>
      </c>
      <c r="E303" s="1">
        <f>BDD!D306</f>
        <v>0</v>
      </c>
      <c r="F303" s="1">
        <f>BDD!F306</f>
        <v>0</v>
      </c>
      <c r="G303" s="25">
        <f>'ButsMPG + Var'!$I$39*IF(C303="A",COUNTIF(BDD!H306:AR306,10)*'ButsMPG + Var'!$K$12+COUNTIF(BDD!H306:AR306,9)*'ButsMPG + Var'!$K$11+COUNTIF(BDD!H306:AR306,8)*'ButsMPG + Var'!$K$10+COUNTIF(BDD!H306:AR306,7)*'ButsMPG + Var'!$K$9+COUNTIF(BDD!H306:AR306,6)*'ButsMPG + Var'!$K$8+COUNTIF(BDD!H306:AR306,5)*'ButsMPG + Var'!$K$7+COUNTIF(BDD!H306:AR306,4)*'ButsMPG + Var'!$K$6+COUNTIF(BDD!H306:AR306,3)*'ButsMPG + Var'!$K$5+COUNTIF(BDD!H306:AR306,2)*'ButsMPG + Var'!$K$4+COUNTIF(BDD!H306:AR306,1)*'ButsMPG + Var'!$K$3,IF(C303="M",COUNTIF(BDD!H306:AR306,10)*'ButsMPG + Var'!$K$22+COUNTIF(BDD!H306:AR306,9)*'ButsMPG + Var'!$K$21+COUNTIF(BDD!H306:AR306,8)*'ButsMPG + Var'!$K$20+COUNTIF(BDD!H306:AR306,7)*'ButsMPG + Var'!$K$19+COUNTIF(BDD!H306:AR306,6)*'ButsMPG + Var'!$K$18+COUNTIF(BDD!H306:AR306,5)*'ButsMPG + Var'!$K$17+COUNTIF(BDD!H306:AR306,4)*'ButsMPG + Var'!$K$16+COUNTIF(BDD!H306:AR306,3)*'ButsMPG + Var'!$K$15+COUNTIF(BDD!H306:AR306,2)*'ButsMPG + Var'!$K$14+COUNTIF(BDD!H306:AR306,1)*'ButsMPG + Var'!$K$13,IF(C303="D",COUNTIF(BDD!H306:AR306,10)*'ButsMPG + Var'!$K$32+COUNTIF(BDD!H306:AR306,9)*'ButsMPG + Var'!$K$31+COUNTIF(BDD!H306:AR306,8)*'ButsMPG + Var'!$K$30+COUNTIF(BDD!H306:AR306,7)*'ButsMPG + Var'!$K$29+COUNTIF(BDD!H306:AR306,6)*'ButsMPG + Var'!$K$28+COUNTIF(BDD!H306:AR306,5)*'ButsMPG + Var'!$K$27+COUNTIF(BDD!H306:AR306,4)*'ButsMPG + Var'!$K$26+COUNTIF(BDD!H306:AR306,3)*'ButsMPG + Var'!$K$25+COUNTIF(BDD!H306:AR306,2)*'ButsMPG + Var'!$K$24+COUNTIF(BDD!H306:AR306,1)*'ButsMPG + Var'!$K$23,0)))</f>
        <v>0</v>
      </c>
      <c r="H303" s="25">
        <f t="shared" si="5"/>
        <v>0</v>
      </c>
      <c r="I303" s="25">
        <f>BDD!G306</f>
        <v>0</v>
      </c>
      <c r="J303" s="25">
        <f>SUMPRODUCT(BDD!H306:AS306,'ButsMPG + Var'!$B$46:$AM$46)</f>
        <v>0</v>
      </c>
      <c r="K303" s="25" t="e">
        <f>10*('ButsMPG + Var'!$H$37*J303/MAX(J:J)+'ButsMPG + Var'!$G$37*H303/MAX(H:H))</f>
        <v>#DIV/0!</v>
      </c>
      <c r="L303" s="1">
        <f>IF(ISNA(VLOOKUP(B303,PrixMini!$B$3:$E$573,4,FALSE)),1,VLOOKUP(B303,PrixMini!$B$3:$E$573,4,FALSE))</f>
        <v>1</v>
      </c>
      <c r="M303" s="25" t="e">
        <f>IF(ROUND(CalculCotation!$D$3*EXP(CalculCotation!$C$3*K303)-CalculCotation!$D$3+1,0)&gt;L303,ROUND(CalculCotation!$D$3*EXP(CalculCotation!$C$3*K303)-CalculCotation!$D$3+1,0),L303)</f>
        <v>#DIV/0!</v>
      </c>
    </row>
    <row r="304" spans="2:13" x14ac:dyDescent="0.3">
      <c r="B304" s="1">
        <f>BDD!C307</f>
        <v>0</v>
      </c>
      <c r="C304" s="1">
        <f>BDD!B307</f>
        <v>0</v>
      </c>
      <c r="D304" s="1">
        <f>BDD!A307</f>
        <v>0</v>
      </c>
      <c r="E304" s="1">
        <f>BDD!D307</f>
        <v>0</v>
      </c>
      <c r="F304" s="1">
        <f>BDD!F307</f>
        <v>0</v>
      </c>
      <c r="G304" s="25">
        <f>'ButsMPG + Var'!$I$39*IF(C304="A",COUNTIF(BDD!H307:AR307,10)*'ButsMPG + Var'!$K$12+COUNTIF(BDD!H307:AR307,9)*'ButsMPG + Var'!$K$11+COUNTIF(BDD!H307:AR307,8)*'ButsMPG + Var'!$K$10+COUNTIF(BDD!H307:AR307,7)*'ButsMPG + Var'!$K$9+COUNTIF(BDD!H307:AR307,6)*'ButsMPG + Var'!$K$8+COUNTIF(BDD!H307:AR307,5)*'ButsMPG + Var'!$K$7+COUNTIF(BDD!H307:AR307,4)*'ButsMPG + Var'!$K$6+COUNTIF(BDD!H307:AR307,3)*'ButsMPG + Var'!$K$5+COUNTIF(BDD!H307:AR307,2)*'ButsMPG + Var'!$K$4+COUNTIF(BDD!H307:AR307,1)*'ButsMPG + Var'!$K$3,IF(C304="M",COUNTIF(BDD!H307:AR307,10)*'ButsMPG + Var'!$K$22+COUNTIF(BDD!H307:AR307,9)*'ButsMPG + Var'!$K$21+COUNTIF(BDD!H307:AR307,8)*'ButsMPG + Var'!$K$20+COUNTIF(BDD!H307:AR307,7)*'ButsMPG + Var'!$K$19+COUNTIF(BDD!H307:AR307,6)*'ButsMPG + Var'!$K$18+COUNTIF(BDD!H307:AR307,5)*'ButsMPG + Var'!$K$17+COUNTIF(BDD!H307:AR307,4)*'ButsMPG + Var'!$K$16+COUNTIF(BDD!H307:AR307,3)*'ButsMPG + Var'!$K$15+COUNTIF(BDD!H307:AR307,2)*'ButsMPG + Var'!$K$14+COUNTIF(BDD!H307:AR307,1)*'ButsMPG + Var'!$K$13,IF(C304="D",COUNTIF(BDD!H307:AR307,10)*'ButsMPG + Var'!$K$32+COUNTIF(BDD!H307:AR307,9)*'ButsMPG + Var'!$K$31+COUNTIF(BDD!H307:AR307,8)*'ButsMPG + Var'!$K$30+COUNTIF(BDD!H307:AR307,7)*'ButsMPG + Var'!$K$29+COUNTIF(BDD!H307:AR307,6)*'ButsMPG + Var'!$K$28+COUNTIF(BDD!H307:AR307,5)*'ButsMPG + Var'!$K$27+COUNTIF(BDD!H307:AR307,4)*'ButsMPG + Var'!$K$26+COUNTIF(BDD!H307:AR307,3)*'ButsMPG + Var'!$K$25+COUNTIF(BDD!H307:AR307,2)*'ButsMPG + Var'!$K$24+COUNTIF(BDD!H307:AR307,1)*'ButsMPG + Var'!$K$23,0)))</f>
        <v>0</v>
      </c>
      <c r="H304" s="25">
        <f t="shared" si="5"/>
        <v>0</v>
      </c>
      <c r="I304" s="25">
        <f>BDD!G307</f>
        <v>0</v>
      </c>
      <c r="J304" s="25">
        <f>SUMPRODUCT(BDD!H307:AS307,'ButsMPG + Var'!$B$46:$AM$46)</f>
        <v>0</v>
      </c>
      <c r="K304" s="25" t="e">
        <f>10*('ButsMPG + Var'!$H$37*J304/MAX(J:J)+'ButsMPG + Var'!$G$37*H304/MAX(H:H))</f>
        <v>#DIV/0!</v>
      </c>
      <c r="L304" s="1">
        <f>IF(ISNA(VLOOKUP(B304,PrixMini!$B$3:$E$573,4,FALSE)),1,VLOOKUP(B304,PrixMini!$B$3:$E$573,4,FALSE))</f>
        <v>1</v>
      </c>
      <c r="M304" s="25" t="e">
        <f>IF(ROUND(CalculCotation!$D$3*EXP(CalculCotation!$C$3*K304)-CalculCotation!$D$3+1,0)&gt;L304,ROUND(CalculCotation!$D$3*EXP(CalculCotation!$C$3*K304)-CalculCotation!$D$3+1,0),L304)</f>
        <v>#DIV/0!</v>
      </c>
    </row>
    <row r="305" spans="2:13" x14ac:dyDescent="0.3">
      <c r="B305" s="1">
        <f>BDD!C308</f>
        <v>0</v>
      </c>
      <c r="C305" s="1">
        <f>BDD!B308</f>
        <v>0</v>
      </c>
      <c r="D305" s="1">
        <f>BDD!A308</f>
        <v>0</v>
      </c>
      <c r="E305" s="1">
        <f>BDD!D308</f>
        <v>0</v>
      </c>
      <c r="F305" s="1">
        <f>BDD!F308</f>
        <v>0</v>
      </c>
      <c r="G305" s="25">
        <f>'ButsMPG + Var'!$I$39*IF(C305="A",COUNTIF(BDD!H308:AR308,10)*'ButsMPG + Var'!$K$12+COUNTIF(BDD!H308:AR308,9)*'ButsMPG + Var'!$K$11+COUNTIF(BDD!H308:AR308,8)*'ButsMPG + Var'!$K$10+COUNTIF(BDD!H308:AR308,7)*'ButsMPG + Var'!$K$9+COUNTIF(BDD!H308:AR308,6)*'ButsMPG + Var'!$K$8+COUNTIF(BDD!H308:AR308,5)*'ButsMPG + Var'!$K$7+COUNTIF(BDD!H308:AR308,4)*'ButsMPG + Var'!$K$6+COUNTIF(BDD!H308:AR308,3)*'ButsMPG + Var'!$K$5+COUNTIF(BDD!H308:AR308,2)*'ButsMPG + Var'!$K$4+COUNTIF(BDD!H308:AR308,1)*'ButsMPG + Var'!$K$3,IF(C305="M",COUNTIF(BDD!H308:AR308,10)*'ButsMPG + Var'!$K$22+COUNTIF(BDD!H308:AR308,9)*'ButsMPG + Var'!$K$21+COUNTIF(BDD!H308:AR308,8)*'ButsMPG + Var'!$K$20+COUNTIF(BDD!H308:AR308,7)*'ButsMPG + Var'!$K$19+COUNTIF(BDD!H308:AR308,6)*'ButsMPG + Var'!$K$18+COUNTIF(BDD!H308:AR308,5)*'ButsMPG + Var'!$K$17+COUNTIF(BDD!H308:AR308,4)*'ButsMPG + Var'!$K$16+COUNTIF(BDD!H308:AR308,3)*'ButsMPG + Var'!$K$15+COUNTIF(BDD!H308:AR308,2)*'ButsMPG + Var'!$K$14+COUNTIF(BDD!H308:AR308,1)*'ButsMPG + Var'!$K$13,IF(C305="D",COUNTIF(BDD!H308:AR308,10)*'ButsMPG + Var'!$K$32+COUNTIF(BDD!H308:AR308,9)*'ButsMPG + Var'!$K$31+COUNTIF(BDD!H308:AR308,8)*'ButsMPG + Var'!$K$30+COUNTIF(BDD!H308:AR308,7)*'ButsMPG + Var'!$K$29+COUNTIF(BDD!H308:AR308,6)*'ButsMPG + Var'!$K$28+COUNTIF(BDD!H308:AR308,5)*'ButsMPG + Var'!$K$27+COUNTIF(BDD!H308:AR308,4)*'ButsMPG + Var'!$K$26+COUNTIF(BDD!H308:AR308,3)*'ButsMPG + Var'!$K$25+COUNTIF(BDD!H308:AR308,2)*'ButsMPG + Var'!$K$24+COUNTIF(BDD!H308:AR308,1)*'ButsMPG + Var'!$K$23,0)))</f>
        <v>0</v>
      </c>
      <c r="H305" s="25">
        <f t="shared" si="5"/>
        <v>0</v>
      </c>
      <c r="I305" s="25">
        <f>BDD!G308</f>
        <v>0</v>
      </c>
      <c r="J305" s="25">
        <f>SUMPRODUCT(BDD!H308:AS308,'ButsMPG + Var'!$B$46:$AM$46)</f>
        <v>0</v>
      </c>
      <c r="K305" s="25" t="e">
        <f>10*('ButsMPG + Var'!$H$37*J305/MAX(J:J)+'ButsMPG + Var'!$G$37*H305/MAX(H:H))</f>
        <v>#DIV/0!</v>
      </c>
      <c r="L305" s="1">
        <f>IF(ISNA(VLOOKUP(B305,PrixMini!$B$3:$E$573,4,FALSE)),1,VLOOKUP(B305,PrixMini!$B$3:$E$573,4,FALSE))</f>
        <v>1</v>
      </c>
      <c r="M305" s="25" t="e">
        <f>IF(ROUND(CalculCotation!$D$3*EXP(CalculCotation!$C$3*K305)-CalculCotation!$D$3+1,0)&gt;L305,ROUND(CalculCotation!$D$3*EXP(CalculCotation!$C$3*K305)-CalculCotation!$D$3+1,0),L305)</f>
        <v>#DIV/0!</v>
      </c>
    </row>
    <row r="306" spans="2:13" x14ac:dyDescent="0.3">
      <c r="B306" s="1">
        <f>BDD!C309</f>
        <v>0</v>
      </c>
      <c r="C306" s="1">
        <f>BDD!B309</f>
        <v>0</v>
      </c>
      <c r="D306" s="1">
        <f>BDD!A309</f>
        <v>0</v>
      </c>
      <c r="E306" s="1">
        <f>BDD!D309</f>
        <v>0</v>
      </c>
      <c r="F306" s="1">
        <f>BDD!F309</f>
        <v>0</v>
      </c>
      <c r="G306" s="25">
        <f>'ButsMPG + Var'!$I$39*IF(C306="A",COUNTIF(BDD!H309:AR309,10)*'ButsMPG + Var'!$K$12+COUNTIF(BDD!H309:AR309,9)*'ButsMPG + Var'!$K$11+COUNTIF(BDD!H309:AR309,8)*'ButsMPG + Var'!$K$10+COUNTIF(BDD!H309:AR309,7)*'ButsMPG + Var'!$K$9+COUNTIF(BDD!H309:AR309,6)*'ButsMPG + Var'!$K$8+COUNTIF(BDD!H309:AR309,5)*'ButsMPG + Var'!$K$7+COUNTIF(BDD!H309:AR309,4)*'ButsMPG + Var'!$K$6+COUNTIF(BDD!H309:AR309,3)*'ButsMPG + Var'!$K$5+COUNTIF(BDD!H309:AR309,2)*'ButsMPG + Var'!$K$4+COUNTIF(BDD!H309:AR309,1)*'ButsMPG + Var'!$K$3,IF(C306="M",COUNTIF(BDD!H309:AR309,10)*'ButsMPG + Var'!$K$22+COUNTIF(BDD!H309:AR309,9)*'ButsMPG + Var'!$K$21+COUNTIF(BDD!H309:AR309,8)*'ButsMPG + Var'!$K$20+COUNTIF(BDD!H309:AR309,7)*'ButsMPG + Var'!$K$19+COUNTIF(BDD!H309:AR309,6)*'ButsMPG + Var'!$K$18+COUNTIF(BDD!H309:AR309,5)*'ButsMPG + Var'!$K$17+COUNTIF(BDD!H309:AR309,4)*'ButsMPG + Var'!$K$16+COUNTIF(BDD!H309:AR309,3)*'ButsMPG + Var'!$K$15+COUNTIF(BDD!H309:AR309,2)*'ButsMPG + Var'!$K$14+COUNTIF(BDD!H309:AR309,1)*'ButsMPG + Var'!$K$13,IF(C306="D",COUNTIF(BDD!H309:AR309,10)*'ButsMPG + Var'!$K$32+COUNTIF(BDD!H309:AR309,9)*'ButsMPG + Var'!$K$31+COUNTIF(BDD!H309:AR309,8)*'ButsMPG + Var'!$K$30+COUNTIF(BDD!H309:AR309,7)*'ButsMPG + Var'!$K$29+COUNTIF(BDD!H309:AR309,6)*'ButsMPG + Var'!$K$28+COUNTIF(BDD!H309:AR309,5)*'ButsMPG + Var'!$K$27+COUNTIF(BDD!H309:AR309,4)*'ButsMPG + Var'!$K$26+COUNTIF(BDD!H309:AR309,3)*'ButsMPG + Var'!$K$25+COUNTIF(BDD!H309:AR309,2)*'ButsMPG + Var'!$K$24+COUNTIF(BDD!H309:AR309,1)*'ButsMPG + Var'!$K$23,0)))</f>
        <v>0</v>
      </c>
      <c r="H306" s="25">
        <f t="shared" si="5"/>
        <v>0</v>
      </c>
      <c r="I306" s="25">
        <f>BDD!G309</f>
        <v>0</v>
      </c>
      <c r="J306" s="25">
        <f>SUMPRODUCT(BDD!H309:AS309,'ButsMPG + Var'!$B$46:$AM$46)</f>
        <v>0</v>
      </c>
      <c r="K306" s="25" t="e">
        <f>10*('ButsMPG + Var'!$H$37*J306/MAX(J:J)+'ButsMPG + Var'!$G$37*H306/MAX(H:H))</f>
        <v>#DIV/0!</v>
      </c>
      <c r="L306" s="1">
        <f>IF(ISNA(VLOOKUP(B306,PrixMini!$B$3:$E$573,4,FALSE)),1,VLOOKUP(B306,PrixMini!$B$3:$E$573,4,FALSE))</f>
        <v>1</v>
      </c>
      <c r="M306" s="25" t="e">
        <f>IF(ROUND(CalculCotation!$D$3*EXP(CalculCotation!$C$3*K306)-CalculCotation!$D$3+1,0)&gt;L306,ROUND(CalculCotation!$D$3*EXP(CalculCotation!$C$3*K306)-CalculCotation!$D$3+1,0),L306)</f>
        <v>#DIV/0!</v>
      </c>
    </row>
    <row r="307" spans="2:13" x14ac:dyDescent="0.3">
      <c r="B307" s="1">
        <f>BDD!C310</f>
        <v>0</v>
      </c>
      <c r="C307" s="1">
        <f>BDD!B310</f>
        <v>0</v>
      </c>
      <c r="D307" s="1">
        <f>BDD!A310</f>
        <v>0</v>
      </c>
      <c r="E307" s="1">
        <f>BDD!D310</f>
        <v>0</v>
      </c>
      <c r="F307" s="1">
        <f>BDD!F310</f>
        <v>0</v>
      </c>
      <c r="G307" s="25">
        <f>'ButsMPG + Var'!$I$39*IF(C307="A",COUNTIF(BDD!H310:AR310,10)*'ButsMPG + Var'!$K$12+COUNTIF(BDD!H310:AR310,9)*'ButsMPG + Var'!$K$11+COUNTIF(BDD!H310:AR310,8)*'ButsMPG + Var'!$K$10+COUNTIF(BDD!H310:AR310,7)*'ButsMPG + Var'!$K$9+COUNTIF(BDD!H310:AR310,6)*'ButsMPG + Var'!$K$8+COUNTIF(BDD!H310:AR310,5)*'ButsMPG + Var'!$K$7+COUNTIF(BDD!H310:AR310,4)*'ButsMPG + Var'!$K$6+COUNTIF(BDD!H310:AR310,3)*'ButsMPG + Var'!$K$5+COUNTIF(BDD!H310:AR310,2)*'ButsMPG + Var'!$K$4+COUNTIF(BDD!H310:AR310,1)*'ButsMPG + Var'!$K$3,IF(C307="M",COUNTIF(BDD!H310:AR310,10)*'ButsMPG + Var'!$K$22+COUNTIF(BDD!H310:AR310,9)*'ButsMPG + Var'!$K$21+COUNTIF(BDD!H310:AR310,8)*'ButsMPG + Var'!$K$20+COUNTIF(BDD!H310:AR310,7)*'ButsMPG + Var'!$K$19+COUNTIF(BDD!H310:AR310,6)*'ButsMPG + Var'!$K$18+COUNTIF(BDD!H310:AR310,5)*'ButsMPG + Var'!$K$17+COUNTIF(BDD!H310:AR310,4)*'ButsMPG + Var'!$K$16+COUNTIF(BDD!H310:AR310,3)*'ButsMPG + Var'!$K$15+COUNTIF(BDD!H310:AR310,2)*'ButsMPG + Var'!$K$14+COUNTIF(BDD!H310:AR310,1)*'ButsMPG + Var'!$K$13,IF(C307="D",COUNTIF(BDD!H310:AR310,10)*'ButsMPG + Var'!$K$32+COUNTIF(BDD!H310:AR310,9)*'ButsMPG + Var'!$K$31+COUNTIF(BDD!H310:AR310,8)*'ButsMPG + Var'!$K$30+COUNTIF(BDD!H310:AR310,7)*'ButsMPG + Var'!$K$29+COUNTIF(BDD!H310:AR310,6)*'ButsMPG + Var'!$K$28+COUNTIF(BDD!H310:AR310,5)*'ButsMPG + Var'!$K$27+COUNTIF(BDD!H310:AR310,4)*'ButsMPG + Var'!$K$26+COUNTIF(BDD!H310:AR310,3)*'ButsMPG + Var'!$K$25+COUNTIF(BDD!H310:AR310,2)*'ButsMPG + Var'!$K$24+COUNTIF(BDD!H310:AR310,1)*'ButsMPG + Var'!$K$23,0)))</f>
        <v>0</v>
      </c>
      <c r="H307" s="25">
        <f t="shared" si="5"/>
        <v>0</v>
      </c>
      <c r="I307" s="25">
        <f>BDD!G310</f>
        <v>0</v>
      </c>
      <c r="J307" s="25">
        <f>SUMPRODUCT(BDD!H310:AS310,'ButsMPG + Var'!$B$46:$AM$46)</f>
        <v>0</v>
      </c>
      <c r="K307" s="25" t="e">
        <f>10*('ButsMPG + Var'!$H$37*J307/MAX(J:J)+'ButsMPG + Var'!$G$37*H307/MAX(H:H))</f>
        <v>#DIV/0!</v>
      </c>
      <c r="L307" s="1">
        <f>IF(ISNA(VLOOKUP(B307,PrixMini!$B$3:$E$573,4,FALSE)),1,VLOOKUP(B307,PrixMini!$B$3:$E$573,4,FALSE))</f>
        <v>1</v>
      </c>
      <c r="M307" s="25" t="e">
        <f>IF(ROUND(CalculCotation!$D$3*EXP(CalculCotation!$C$3*K307)-CalculCotation!$D$3+1,0)&gt;L307,ROUND(CalculCotation!$D$3*EXP(CalculCotation!$C$3*K307)-CalculCotation!$D$3+1,0),L307)</f>
        <v>#DIV/0!</v>
      </c>
    </row>
    <row r="308" spans="2:13" x14ac:dyDescent="0.3">
      <c r="B308" s="1">
        <f>BDD!C311</f>
        <v>0</v>
      </c>
      <c r="C308" s="1">
        <f>BDD!B311</f>
        <v>0</v>
      </c>
      <c r="D308" s="1">
        <f>BDD!A311</f>
        <v>0</v>
      </c>
      <c r="E308" s="1">
        <f>BDD!D311</f>
        <v>0</v>
      </c>
      <c r="F308" s="1">
        <f>BDD!F311</f>
        <v>0</v>
      </c>
      <c r="G308" s="25">
        <f>'ButsMPG + Var'!$I$39*IF(C308="A",COUNTIF(BDD!H311:AR311,10)*'ButsMPG + Var'!$K$12+COUNTIF(BDD!H311:AR311,9)*'ButsMPG + Var'!$K$11+COUNTIF(BDD!H311:AR311,8)*'ButsMPG + Var'!$K$10+COUNTIF(BDD!H311:AR311,7)*'ButsMPG + Var'!$K$9+COUNTIF(BDD!H311:AR311,6)*'ButsMPG + Var'!$K$8+COUNTIF(BDD!H311:AR311,5)*'ButsMPG + Var'!$K$7+COUNTIF(BDD!H311:AR311,4)*'ButsMPG + Var'!$K$6+COUNTIF(BDD!H311:AR311,3)*'ButsMPG + Var'!$K$5+COUNTIF(BDD!H311:AR311,2)*'ButsMPG + Var'!$K$4+COUNTIF(BDD!H311:AR311,1)*'ButsMPG + Var'!$K$3,IF(C308="M",COUNTIF(BDD!H311:AR311,10)*'ButsMPG + Var'!$K$22+COUNTIF(BDD!H311:AR311,9)*'ButsMPG + Var'!$K$21+COUNTIF(BDD!H311:AR311,8)*'ButsMPG + Var'!$K$20+COUNTIF(BDD!H311:AR311,7)*'ButsMPG + Var'!$K$19+COUNTIF(BDD!H311:AR311,6)*'ButsMPG + Var'!$K$18+COUNTIF(BDD!H311:AR311,5)*'ButsMPG + Var'!$K$17+COUNTIF(BDD!H311:AR311,4)*'ButsMPG + Var'!$K$16+COUNTIF(BDD!H311:AR311,3)*'ButsMPG + Var'!$K$15+COUNTIF(BDD!H311:AR311,2)*'ButsMPG + Var'!$K$14+COUNTIF(BDD!H311:AR311,1)*'ButsMPG + Var'!$K$13,IF(C308="D",COUNTIF(BDD!H311:AR311,10)*'ButsMPG + Var'!$K$32+COUNTIF(BDD!H311:AR311,9)*'ButsMPG + Var'!$K$31+COUNTIF(BDD!H311:AR311,8)*'ButsMPG + Var'!$K$30+COUNTIF(BDD!H311:AR311,7)*'ButsMPG + Var'!$K$29+COUNTIF(BDD!H311:AR311,6)*'ButsMPG + Var'!$K$28+COUNTIF(BDD!H311:AR311,5)*'ButsMPG + Var'!$K$27+COUNTIF(BDD!H311:AR311,4)*'ButsMPG + Var'!$K$26+COUNTIF(BDD!H311:AR311,3)*'ButsMPG + Var'!$K$25+COUNTIF(BDD!H311:AR311,2)*'ButsMPG + Var'!$K$24+COUNTIF(BDD!H311:AR311,1)*'ButsMPG + Var'!$K$23,0)))</f>
        <v>0</v>
      </c>
      <c r="H308" s="25">
        <f t="shared" si="5"/>
        <v>0</v>
      </c>
      <c r="I308" s="25">
        <f>BDD!G311</f>
        <v>0</v>
      </c>
      <c r="J308" s="25">
        <f>SUMPRODUCT(BDD!H311:AS311,'ButsMPG + Var'!$B$46:$AM$46)</f>
        <v>0</v>
      </c>
      <c r="K308" s="25" t="e">
        <f>10*('ButsMPG + Var'!$H$37*J308/MAX(J:J)+'ButsMPG + Var'!$G$37*H308/MAX(H:H))</f>
        <v>#DIV/0!</v>
      </c>
      <c r="L308" s="1">
        <f>IF(ISNA(VLOOKUP(B308,PrixMini!$B$3:$E$573,4,FALSE)),1,VLOOKUP(B308,PrixMini!$B$3:$E$573,4,FALSE))</f>
        <v>1</v>
      </c>
      <c r="M308" s="25" t="e">
        <f>IF(ROUND(CalculCotation!$D$3*EXP(CalculCotation!$C$3*K308)-CalculCotation!$D$3+1,0)&gt;L308,ROUND(CalculCotation!$D$3*EXP(CalculCotation!$C$3*K308)-CalculCotation!$D$3+1,0),L308)</f>
        <v>#DIV/0!</v>
      </c>
    </row>
    <row r="309" spans="2:13" x14ac:dyDescent="0.3">
      <c r="B309" s="1">
        <f>BDD!C312</f>
        <v>0</v>
      </c>
      <c r="C309" s="1">
        <f>BDD!B312</f>
        <v>0</v>
      </c>
      <c r="D309" s="1">
        <f>BDD!A312</f>
        <v>0</v>
      </c>
      <c r="E309" s="1">
        <f>BDD!D312</f>
        <v>0</v>
      </c>
      <c r="F309" s="1">
        <f>BDD!F312</f>
        <v>0</v>
      </c>
      <c r="G309" s="25">
        <f>'ButsMPG + Var'!$I$39*IF(C309="A",COUNTIF(BDD!H312:AR312,10)*'ButsMPG + Var'!$K$12+COUNTIF(BDD!H312:AR312,9)*'ButsMPG + Var'!$K$11+COUNTIF(BDD!H312:AR312,8)*'ButsMPG + Var'!$K$10+COUNTIF(BDD!H312:AR312,7)*'ButsMPG + Var'!$K$9+COUNTIF(BDD!H312:AR312,6)*'ButsMPG + Var'!$K$8+COUNTIF(BDD!H312:AR312,5)*'ButsMPG + Var'!$K$7+COUNTIF(BDD!H312:AR312,4)*'ButsMPG + Var'!$K$6+COUNTIF(BDD!H312:AR312,3)*'ButsMPG + Var'!$K$5+COUNTIF(BDD!H312:AR312,2)*'ButsMPG + Var'!$K$4+COUNTIF(BDD!H312:AR312,1)*'ButsMPG + Var'!$K$3,IF(C309="M",COUNTIF(BDD!H312:AR312,10)*'ButsMPG + Var'!$K$22+COUNTIF(BDD!H312:AR312,9)*'ButsMPG + Var'!$K$21+COUNTIF(BDD!H312:AR312,8)*'ButsMPG + Var'!$K$20+COUNTIF(BDD!H312:AR312,7)*'ButsMPG + Var'!$K$19+COUNTIF(BDD!H312:AR312,6)*'ButsMPG + Var'!$K$18+COUNTIF(BDD!H312:AR312,5)*'ButsMPG + Var'!$K$17+COUNTIF(BDD!H312:AR312,4)*'ButsMPG + Var'!$K$16+COUNTIF(BDD!H312:AR312,3)*'ButsMPG + Var'!$K$15+COUNTIF(BDD!H312:AR312,2)*'ButsMPG + Var'!$K$14+COUNTIF(BDD!H312:AR312,1)*'ButsMPG + Var'!$K$13,IF(C309="D",COUNTIF(BDD!H312:AR312,10)*'ButsMPG + Var'!$K$32+COUNTIF(BDD!H312:AR312,9)*'ButsMPG + Var'!$K$31+COUNTIF(BDD!H312:AR312,8)*'ButsMPG + Var'!$K$30+COUNTIF(BDD!H312:AR312,7)*'ButsMPG + Var'!$K$29+COUNTIF(BDD!H312:AR312,6)*'ButsMPG + Var'!$K$28+COUNTIF(BDD!H312:AR312,5)*'ButsMPG + Var'!$K$27+COUNTIF(BDD!H312:AR312,4)*'ButsMPG + Var'!$K$26+COUNTIF(BDD!H312:AR312,3)*'ButsMPG + Var'!$K$25+COUNTIF(BDD!H312:AR312,2)*'ButsMPG + Var'!$K$24+COUNTIF(BDD!H312:AR312,1)*'ButsMPG + Var'!$K$23,0)))</f>
        <v>0</v>
      </c>
      <c r="H309" s="25">
        <f t="shared" si="5"/>
        <v>0</v>
      </c>
      <c r="I309" s="25">
        <f>BDD!G312</f>
        <v>0</v>
      </c>
      <c r="J309" s="25">
        <f>SUMPRODUCT(BDD!H312:AS312,'ButsMPG + Var'!$B$46:$AM$46)</f>
        <v>0</v>
      </c>
      <c r="K309" s="25" t="e">
        <f>10*('ButsMPG + Var'!$H$37*J309/MAX(J:J)+'ButsMPG + Var'!$G$37*H309/MAX(H:H))</f>
        <v>#DIV/0!</v>
      </c>
      <c r="L309" s="1">
        <f>IF(ISNA(VLOOKUP(B309,PrixMini!$B$3:$E$573,4,FALSE)),1,VLOOKUP(B309,PrixMini!$B$3:$E$573,4,FALSE))</f>
        <v>1</v>
      </c>
      <c r="M309" s="25" t="e">
        <f>IF(ROUND(CalculCotation!$D$3*EXP(CalculCotation!$C$3*K309)-CalculCotation!$D$3+1,0)&gt;L309,ROUND(CalculCotation!$D$3*EXP(CalculCotation!$C$3*K309)-CalculCotation!$D$3+1,0),L309)</f>
        <v>#DIV/0!</v>
      </c>
    </row>
    <row r="310" spans="2:13" x14ac:dyDescent="0.3">
      <c r="B310" s="1">
        <f>BDD!C313</f>
        <v>0</v>
      </c>
      <c r="C310" s="1">
        <f>BDD!B313</f>
        <v>0</v>
      </c>
      <c r="D310" s="1">
        <f>BDD!A313</f>
        <v>0</v>
      </c>
      <c r="E310" s="1">
        <f>BDD!D313</f>
        <v>0</v>
      </c>
      <c r="F310" s="1">
        <f>BDD!F313</f>
        <v>0</v>
      </c>
      <c r="G310" s="25">
        <f>'ButsMPG + Var'!$I$39*IF(C310="A",COUNTIF(BDD!H313:AR313,10)*'ButsMPG + Var'!$K$12+COUNTIF(BDD!H313:AR313,9)*'ButsMPG + Var'!$K$11+COUNTIF(BDD!H313:AR313,8)*'ButsMPG + Var'!$K$10+COUNTIF(BDD!H313:AR313,7)*'ButsMPG + Var'!$K$9+COUNTIF(BDD!H313:AR313,6)*'ButsMPG + Var'!$K$8+COUNTIF(BDD!H313:AR313,5)*'ButsMPG + Var'!$K$7+COUNTIF(BDD!H313:AR313,4)*'ButsMPG + Var'!$K$6+COUNTIF(BDD!H313:AR313,3)*'ButsMPG + Var'!$K$5+COUNTIF(BDD!H313:AR313,2)*'ButsMPG + Var'!$K$4+COUNTIF(BDD!H313:AR313,1)*'ButsMPG + Var'!$K$3,IF(C310="M",COUNTIF(BDD!H313:AR313,10)*'ButsMPG + Var'!$K$22+COUNTIF(BDD!H313:AR313,9)*'ButsMPG + Var'!$K$21+COUNTIF(BDD!H313:AR313,8)*'ButsMPG + Var'!$K$20+COUNTIF(BDD!H313:AR313,7)*'ButsMPG + Var'!$K$19+COUNTIF(BDD!H313:AR313,6)*'ButsMPG + Var'!$K$18+COUNTIF(BDD!H313:AR313,5)*'ButsMPG + Var'!$K$17+COUNTIF(BDD!H313:AR313,4)*'ButsMPG + Var'!$K$16+COUNTIF(BDD!H313:AR313,3)*'ButsMPG + Var'!$K$15+COUNTIF(BDD!H313:AR313,2)*'ButsMPG + Var'!$K$14+COUNTIF(BDD!H313:AR313,1)*'ButsMPG + Var'!$K$13,IF(C310="D",COUNTIF(BDD!H313:AR313,10)*'ButsMPG + Var'!$K$32+COUNTIF(BDD!H313:AR313,9)*'ButsMPG + Var'!$K$31+COUNTIF(BDD!H313:AR313,8)*'ButsMPG + Var'!$K$30+COUNTIF(BDD!H313:AR313,7)*'ButsMPG + Var'!$K$29+COUNTIF(BDD!H313:AR313,6)*'ButsMPG + Var'!$K$28+COUNTIF(BDD!H313:AR313,5)*'ButsMPG + Var'!$K$27+COUNTIF(BDD!H313:AR313,4)*'ButsMPG + Var'!$K$26+COUNTIF(BDD!H313:AR313,3)*'ButsMPG + Var'!$K$25+COUNTIF(BDD!H313:AR313,2)*'ButsMPG + Var'!$K$24+COUNTIF(BDD!H313:AR313,1)*'ButsMPG + Var'!$K$23,0)))</f>
        <v>0</v>
      </c>
      <c r="H310" s="25">
        <f t="shared" si="5"/>
        <v>0</v>
      </c>
      <c r="I310" s="25">
        <f>BDD!G313</f>
        <v>0</v>
      </c>
      <c r="J310" s="25">
        <f>SUMPRODUCT(BDD!H313:AS313,'ButsMPG + Var'!$B$46:$AM$46)</f>
        <v>0</v>
      </c>
      <c r="K310" s="25" t="e">
        <f>10*('ButsMPG + Var'!$H$37*J310/MAX(J:J)+'ButsMPG + Var'!$G$37*H310/MAX(H:H))</f>
        <v>#DIV/0!</v>
      </c>
      <c r="L310" s="1">
        <f>IF(ISNA(VLOOKUP(B310,PrixMini!$B$3:$E$573,4,FALSE)),1,VLOOKUP(B310,PrixMini!$B$3:$E$573,4,FALSE))</f>
        <v>1</v>
      </c>
      <c r="M310" s="25" t="e">
        <f>IF(ROUND(CalculCotation!$D$3*EXP(CalculCotation!$C$3*K310)-CalculCotation!$D$3+1,0)&gt;L310,ROUND(CalculCotation!$D$3*EXP(CalculCotation!$C$3*K310)-CalculCotation!$D$3+1,0),L310)</f>
        <v>#DIV/0!</v>
      </c>
    </row>
    <row r="311" spans="2:13" x14ac:dyDescent="0.3">
      <c r="B311" s="1">
        <f>BDD!C314</f>
        <v>0</v>
      </c>
      <c r="C311" s="1">
        <f>BDD!B314</f>
        <v>0</v>
      </c>
      <c r="D311" s="1">
        <f>BDD!A314</f>
        <v>0</v>
      </c>
      <c r="E311" s="1">
        <f>BDD!D314</f>
        <v>0</v>
      </c>
      <c r="F311" s="1">
        <f>BDD!F314</f>
        <v>0</v>
      </c>
      <c r="G311" s="25">
        <f>'ButsMPG + Var'!$I$39*IF(C311="A",COUNTIF(BDD!H314:AR314,10)*'ButsMPG + Var'!$K$12+COUNTIF(BDD!H314:AR314,9)*'ButsMPG + Var'!$K$11+COUNTIF(BDD!H314:AR314,8)*'ButsMPG + Var'!$K$10+COUNTIF(BDD!H314:AR314,7)*'ButsMPG + Var'!$K$9+COUNTIF(BDD!H314:AR314,6)*'ButsMPG + Var'!$K$8+COUNTIF(BDD!H314:AR314,5)*'ButsMPG + Var'!$K$7+COUNTIF(BDD!H314:AR314,4)*'ButsMPG + Var'!$K$6+COUNTIF(BDD!H314:AR314,3)*'ButsMPG + Var'!$K$5+COUNTIF(BDD!H314:AR314,2)*'ButsMPG + Var'!$K$4+COUNTIF(BDD!H314:AR314,1)*'ButsMPG + Var'!$K$3,IF(C311="M",COUNTIF(BDD!H314:AR314,10)*'ButsMPG + Var'!$K$22+COUNTIF(BDD!H314:AR314,9)*'ButsMPG + Var'!$K$21+COUNTIF(BDD!H314:AR314,8)*'ButsMPG + Var'!$K$20+COUNTIF(BDD!H314:AR314,7)*'ButsMPG + Var'!$K$19+COUNTIF(BDD!H314:AR314,6)*'ButsMPG + Var'!$K$18+COUNTIF(BDD!H314:AR314,5)*'ButsMPG + Var'!$K$17+COUNTIF(BDD!H314:AR314,4)*'ButsMPG + Var'!$K$16+COUNTIF(BDD!H314:AR314,3)*'ButsMPG + Var'!$K$15+COUNTIF(BDD!H314:AR314,2)*'ButsMPG + Var'!$K$14+COUNTIF(BDD!H314:AR314,1)*'ButsMPG + Var'!$K$13,IF(C311="D",COUNTIF(BDD!H314:AR314,10)*'ButsMPG + Var'!$K$32+COUNTIF(BDD!H314:AR314,9)*'ButsMPG + Var'!$K$31+COUNTIF(BDD!H314:AR314,8)*'ButsMPG + Var'!$K$30+COUNTIF(BDD!H314:AR314,7)*'ButsMPG + Var'!$K$29+COUNTIF(BDD!H314:AR314,6)*'ButsMPG + Var'!$K$28+COUNTIF(BDD!H314:AR314,5)*'ButsMPG + Var'!$K$27+COUNTIF(BDD!H314:AR314,4)*'ButsMPG + Var'!$K$26+COUNTIF(BDD!H314:AR314,3)*'ButsMPG + Var'!$K$25+COUNTIF(BDD!H314:AR314,2)*'ButsMPG + Var'!$K$24+COUNTIF(BDD!H314:AR314,1)*'ButsMPG + Var'!$K$23,0)))</f>
        <v>0</v>
      </c>
      <c r="H311" s="25">
        <f t="shared" si="5"/>
        <v>0</v>
      </c>
      <c r="I311" s="25">
        <f>BDD!G314</f>
        <v>0</v>
      </c>
      <c r="J311" s="25">
        <f>SUMPRODUCT(BDD!H314:AS314,'ButsMPG + Var'!$B$46:$AM$46)</f>
        <v>0</v>
      </c>
      <c r="K311" s="25" t="e">
        <f>10*('ButsMPG + Var'!$H$37*J311/MAX(J:J)+'ButsMPG + Var'!$G$37*H311/MAX(H:H))</f>
        <v>#DIV/0!</v>
      </c>
      <c r="L311" s="1">
        <f>IF(ISNA(VLOOKUP(B311,PrixMini!$B$3:$E$573,4,FALSE)),1,VLOOKUP(B311,PrixMini!$B$3:$E$573,4,FALSE))</f>
        <v>1</v>
      </c>
      <c r="M311" s="25" t="e">
        <f>IF(ROUND(CalculCotation!$D$3*EXP(CalculCotation!$C$3*K311)-CalculCotation!$D$3+1,0)&gt;L311,ROUND(CalculCotation!$D$3*EXP(CalculCotation!$C$3*K311)-CalculCotation!$D$3+1,0),L311)</f>
        <v>#DIV/0!</v>
      </c>
    </row>
    <row r="312" spans="2:13" x14ac:dyDescent="0.3">
      <c r="B312" s="1">
        <f>BDD!C315</f>
        <v>0</v>
      </c>
      <c r="C312" s="1">
        <f>BDD!B315</f>
        <v>0</v>
      </c>
      <c r="D312" s="1">
        <f>BDD!A315</f>
        <v>0</v>
      </c>
      <c r="E312" s="1">
        <f>BDD!D315</f>
        <v>0</v>
      </c>
      <c r="F312" s="1">
        <f>BDD!F315</f>
        <v>0</v>
      </c>
      <c r="G312" s="25">
        <f>'ButsMPG + Var'!$I$39*IF(C312="A",COUNTIF(BDD!H315:AR315,10)*'ButsMPG + Var'!$K$12+COUNTIF(BDD!H315:AR315,9)*'ButsMPG + Var'!$K$11+COUNTIF(BDD!H315:AR315,8)*'ButsMPG + Var'!$K$10+COUNTIF(BDD!H315:AR315,7)*'ButsMPG + Var'!$K$9+COUNTIF(BDD!H315:AR315,6)*'ButsMPG + Var'!$K$8+COUNTIF(BDD!H315:AR315,5)*'ButsMPG + Var'!$K$7+COUNTIF(BDD!H315:AR315,4)*'ButsMPG + Var'!$K$6+COUNTIF(BDD!H315:AR315,3)*'ButsMPG + Var'!$K$5+COUNTIF(BDD!H315:AR315,2)*'ButsMPG + Var'!$K$4+COUNTIF(BDD!H315:AR315,1)*'ButsMPG + Var'!$K$3,IF(C312="M",COUNTIF(BDD!H315:AR315,10)*'ButsMPG + Var'!$K$22+COUNTIF(BDD!H315:AR315,9)*'ButsMPG + Var'!$K$21+COUNTIF(BDD!H315:AR315,8)*'ButsMPG + Var'!$K$20+COUNTIF(BDD!H315:AR315,7)*'ButsMPG + Var'!$K$19+COUNTIF(BDD!H315:AR315,6)*'ButsMPG + Var'!$K$18+COUNTIF(BDD!H315:AR315,5)*'ButsMPG + Var'!$K$17+COUNTIF(BDD!H315:AR315,4)*'ButsMPG + Var'!$K$16+COUNTIF(BDD!H315:AR315,3)*'ButsMPG + Var'!$K$15+COUNTIF(BDD!H315:AR315,2)*'ButsMPG + Var'!$K$14+COUNTIF(BDD!H315:AR315,1)*'ButsMPG + Var'!$K$13,IF(C312="D",COUNTIF(BDD!H315:AR315,10)*'ButsMPG + Var'!$K$32+COUNTIF(BDD!H315:AR315,9)*'ButsMPG + Var'!$K$31+COUNTIF(BDD!H315:AR315,8)*'ButsMPG + Var'!$K$30+COUNTIF(BDD!H315:AR315,7)*'ButsMPG + Var'!$K$29+COUNTIF(BDD!H315:AR315,6)*'ButsMPG + Var'!$K$28+COUNTIF(BDD!H315:AR315,5)*'ButsMPG + Var'!$K$27+COUNTIF(BDD!H315:AR315,4)*'ButsMPG + Var'!$K$26+COUNTIF(BDD!H315:AR315,3)*'ButsMPG + Var'!$K$25+COUNTIF(BDD!H315:AR315,2)*'ButsMPG + Var'!$K$24+COUNTIF(BDD!H315:AR315,1)*'ButsMPG + Var'!$K$23,0)))</f>
        <v>0</v>
      </c>
      <c r="H312" s="25">
        <f t="shared" si="5"/>
        <v>0</v>
      </c>
      <c r="I312" s="25">
        <f>BDD!G315</f>
        <v>0</v>
      </c>
      <c r="J312" s="25">
        <f>SUMPRODUCT(BDD!H315:AS315,'ButsMPG + Var'!$B$46:$AM$46)</f>
        <v>0</v>
      </c>
      <c r="K312" s="25" t="e">
        <f>10*('ButsMPG + Var'!$H$37*J312/MAX(J:J)+'ButsMPG + Var'!$G$37*H312/MAX(H:H))</f>
        <v>#DIV/0!</v>
      </c>
      <c r="L312" s="1">
        <f>IF(ISNA(VLOOKUP(B312,PrixMini!$B$3:$E$573,4,FALSE)),1,VLOOKUP(B312,PrixMini!$B$3:$E$573,4,FALSE))</f>
        <v>1</v>
      </c>
      <c r="M312" s="25" t="e">
        <f>IF(ROUND(CalculCotation!$D$3*EXP(CalculCotation!$C$3*K312)-CalculCotation!$D$3+1,0)&gt;L312,ROUND(CalculCotation!$D$3*EXP(CalculCotation!$C$3*K312)-CalculCotation!$D$3+1,0),L312)</f>
        <v>#DIV/0!</v>
      </c>
    </row>
    <row r="313" spans="2:13" x14ac:dyDescent="0.3">
      <c r="B313" s="1">
        <f>BDD!C316</f>
        <v>0</v>
      </c>
      <c r="C313" s="1">
        <f>BDD!B316</f>
        <v>0</v>
      </c>
      <c r="D313" s="1">
        <f>BDD!A316</f>
        <v>0</v>
      </c>
      <c r="E313" s="1">
        <f>BDD!D316</f>
        <v>0</v>
      </c>
      <c r="F313" s="1">
        <f>BDD!F316</f>
        <v>0</v>
      </c>
      <c r="G313" s="25">
        <f>'ButsMPG + Var'!$I$39*IF(C313="A",COUNTIF(BDD!H316:AR316,10)*'ButsMPG + Var'!$K$12+COUNTIF(BDD!H316:AR316,9)*'ButsMPG + Var'!$K$11+COUNTIF(BDD!H316:AR316,8)*'ButsMPG + Var'!$K$10+COUNTIF(BDD!H316:AR316,7)*'ButsMPG + Var'!$K$9+COUNTIF(BDD!H316:AR316,6)*'ButsMPG + Var'!$K$8+COUNTIF(BDD!H316:AR316,5)*'ButsMPG + Var'!$K$7+COUNTIF(BDD!H316:AR316,4)*'ButsMPG + Var'!$K$6+COUNTIF(BDD!H316:AR316,3)*'ButsMPG + Var'!$K$5+COUNTIF(BDD!H316:AR316,2)*'ButsMPG + Var'!$K$4+COUNTIF(BDD!H316:AR316,1)*'ButsMPG + Var'!$K$3,IF(C313="M",COUNTIF(BDD!H316:AR316,10)*'ButsMPG + Var'!$K$22+COUNTIF(BDD!H316:AR316,9)*'ButsMPG + Var'!$K$21+COUNTIF(BDD!H316:AR316,8)*'ButsMPG + Var'!$K$20+COUNTIF(BDD!H316:AR316,7)*'ButsMPG + Var'!$K$19+COUNTIF(BDD!H316:AR316,6)*'ButsMPG + Var'!$K$18+COUNTIF(BDD!H316:AR316,5)*'ButsMPG + Var'!$K$17+COUNTIF(BDD!H316:AR316,4)*'ButsMPG + Var'!$K$16+COUNTIF(BDD!H316:AR316,3)*'ButsMPG + Var'!$K$15+COUNTIF(BDD!H316:AR316,2)*'ButsMPG + Var'!$K$14+COUNTIF(BDD!H316:AR316,1)*'ButsMPG + Var'!$K$13,IF(C313="D",COUNTIF(BDD!H316:AR316,10)*'ButsMPG + Var'!$K$32+COUNTIF(BDD!H316:AR316,9)*'ButsMPG + Var'!$K$31+COUNTIF(BDD!H316:AR316,8)*'ButsMPG + Var'!$K$30+COUNTIF(BDD!H316:AR316,7)*'ButsMPG + Var'!$K$29+COUNTIF(BDD!H316:AR316,6)*'ButsMPG + Var'!$K$28+COUNTIF(BDD!H316:AR316,5)*'ButsMPG + Var'!$K$27+COUNTIF(BDD!H316:AR316,4)*'ButsMPG + Var'!$K$26+COUNTIF(BDD!H316:AR316,3)*'ButsMPG + Var'!$K$25+COUNTIF(BDD!H316:AR316,2)*'ButsMPG + Var'!$K$24+COUNTIF(BDD!H316:AR316,1)*'ButsMPG + Var'!$K$23,0)))</f>
        <v>0</v>
      </c>
      <c r="H313" s="25">
        <f t="shared" si="5"/>
        <v>0</v>
      </c>
      <c r="I313" s="25">
        <f>BDD!G316</f>
        <v>0</v>
      </c>
      <c r="J313" s="25">
        <f>SUMPRODUCT(BDD!H316:AS316,'ButsMPG + Var'!$B$46:$AM$46)</f>
        <v>0</v>
      </c>
      <c r="K313" s="25" t="e">
        <f>10*('ButsMPG + Var'!$H$37*J313/MAX(J:J)+'ButsMPG + Var'!$G$37*H313/MAX(H:H))</f>
        <v>#DIV/0!</v>
      </c>
      <c r="L313" s="1">
        <f>IF(ISNA(VLOOKUP(B313,PrixMini!$B$3:$E$573,4,FALSE)),1,VLOOKUP(B313,PrixMini!$B$3:$E$573,4,FALSE))</f>
        <v>1</v>
      </c>
      <c r="M313" s="25" t="e">
        <f>IF(ROUND(CalculCotation!$D$3*EXP(CalculCotation!$C$3*K313)-CalculCotation!$D$3+1,0)&gt;L313,ROUND(CalculCotation!$D$3*EXP(CalculCotation!$C$3*K313)-CalculCotation!$D$3+1,0),L313)</f>
        <v>#DIV/0!</v>
      </c>
    </row>
    <row r="314" spans="2:13" x14ac:dyDescent="0.3">
      <c r="B314" s="1">
        <f>BDD!C317</f>
        <v>0</v>
      </c>
      <c r="C314" s="1">
        <f>BDD!B317</f>
        <v>0</v>
      </c>
      <c r="D314" s="1">
        <f>BDD!A317</f>
        <v>0</v>
      </c>
      <c r="E314" s="1">
        <f>BDD!D317</f>
        <v>0</v>
      </c>
      <c r="F314" s="1">
        <f>BDD!F317</f>
        <v>0</v>
      </c>
      <c r="G314" s="25">
        <f>'ButsMPG + Var'!$I$39*IF(C314="A",COUNTIF(BDD!H317:AR317,10)*'ButsMPG + Var'!$K$12+COUNTIF(BDD!H317:AR317,9)*'ButsMPG + Var'!$K$11+COUNTIF(BDD!H317:AR317,8)*'ButsMPG + Var'!$K$10+COUNTIF(BDD!H317:AR317,7)*'ButsMPG + Var'!$K$9+COUNTIF(BDD!H317:AR317,6)*'ButsMPG + Var'!$K$8+COUNTIF(BDD!H317:AR317,5)*'ButsMPG + Var'!$K$7+COUNTIF(BDD!H317:AR317,4)*'ButsMPG + Var'!$K$6+COUNTIF(BDD!H317:AR317,3)*'ButsMPG + Var'!$K$5+COUNTIF(BDD!H317:AR317,2)*'ButsMPG + Var'!$K$4+COUNTIF(BDD!H317:AR317,1)*'ButsMPG + Var'!$K$3,IF(C314="M",COUNTIF(BDD!H317:AR317,10)*'ButsMPG + Var'!$K$22+COUNTIF(BDD!H317:AR317,9)*'ButsMPG + Var'!$K$21+COUNTIF(BDD!H317:AR317,8)*'ButsMPG + Var'!$K$20+COUNTIF(BDD!H317:AR317,7)*'ButsMPG + Var'!$K$19+COUNTIF(BDD!H317:AR317,6)*'ButsMPG + Var'!$K$18+COUNTIF(BDD!H317:AR317,5)*'ButsMPG + Var'!$K$17+COUNTIF(BDD!H317:AR317,4)*'ButsMPG + Var'!$K$16+COUNTIF(BDD!H317:AR317,3)*'ButsMPG + Var'!$K$15+COUNTIF(BDD!H317:AR317,2)*'ButsMPG + Var'!$K$14+COUNTIF(BDD!H317:AR317,1)*'ButsMPG + Var'!$K$13,IF(C314="D",COUNTIF(BDD!H317:AR317,10)*'ButsMPG + Var'!$K$32+COUNTIF(BDD!H317:AR317,9)*'ButsMPG + Var'!$K$31+COUNTIF(BDD!H317:AR317,8)*'ButsMPG + Var'!$K$30+COUNTIF(BDD!H317:AR317,7)*'ButsMPG + Var'!$K$29+COUNTIF(BDD!H317:AR317,6)*'ButsMPG + Var'!$K$28+COUNTIF(BDD!H317:AR317,5)*'ButsMPG + Var'!$K$27+COUNTIF(BDD!H317:AR317,4)*'ButsMPG + Var'!$K$26+COUNTIF(BDD!H317:AR317,3)*'ButsMPG + Var'!$K$25+COUNTIF(BDD!H317:AR317,2)*'ButsMPG + Var'!$K$24+COUNTIF(BDD!H317:AR317,1)*'ButsMPG + Var'!$K$23,0)))</f>
        <v>0</v>
      </c>
      <c r="H314" s="25">
        <f t="shared" si="5"/>
        <v>0</v>
      </c>
      <c r="I314" s="25">
        <f>BDD!G317</f>
        <v>0</v>
      </c>
      <c r="J314" s="25">
        <f>SUMPRODUCT(BDD!H317:AS317,'ButsMPG + Var'!$B$46:$AM$46)</f>
        <v>0</v>
      </c>
      <c r="K314" s="25" t="e">
        <f>10*('ButsMPG + Var'!$H$37*J314/MAX(J:J)+'ButsMPG + Var'!$G$37*H314/MAX(H:H))</f>
        <v>#DIV/0!</v>
      </c>
      <c r="L314" s="1">
        <f>IF(ISNA(VLOOKUP(B314,PrixMini!$B$3:$E$573,4,FALSE)),1,VLOOKUP(B314,PrixMini!$B$3:$E$573,4,FALSE))</f>
        <v>1</v>
      </c>
      <c r="M314" s="25" t="e">
        <f>IF(ROUND(CalculCotation!$D$3*EXP(CalculCotation!$C$3*K314)-CalculCotation!$D$3+1,0)&gt;L314,ROUND(CalculCotation!$D$3*EXP(CalculCotation!$C$3*K314)-CalculCotation!$D$3+1,0),L314)</f>
        <v>#DIV/0!</v>
      </c>
    </row>
    <row r="315" spans="2:13" x14ac:dyDescent="0.3">
      <c r="B315" s="1">
        <f>BDD!C318</f>
        <v>0</v>
      </c>
      <c r="C315" s="1">
        <f>BDD!B318</f>
        <v>0</v>
      </c>
      <c r="D315" s="1">
        <f>BDD!A318</f>
        <v>0</v>
      </c>
      <c r="E315" s="1">
        <f>BDD!D318</f>
        <v>0</v>
      </c>
      <c r="F315" s="1">
        <f>BDD!F318</f>
        <v>0</v>
      </c>
      <c r="G315" s="25">
        <f>'ButsMPG + Var'!$I$39*IF(C315="A",COUNTIF(BDD!H318:AR318,10)*'ButsMPG + Var'!$K$12+COUNTIF(BDD!H318:AR318,9)*'ButsMPG + Var'!$K$11+COUNTIF(BDD!H318:AR318,8)*'ButsMPG + Var'!$K$10+COUNTIF(BDD!H318:AR318,7)*'ButsMPG + Var'!$K$9+COUNTIF(BDD!H318:AR318,6)*'ButsMPG + Var'!$K$8+COUNTIF(BDD!H318:AR318,5)*'ButsMPG + Var'!$K$7+COUNTIF(BDD!H318:AR318,4)*'ButsMPG + Var'!$K$6+COUNTIF(BDD!H318:AR318,3)*'ButsMPG + Var'!$K$5+COUNTIF(BDD!H318:AR318,2)*'ButsMPG + Var'!$K$4+COUNTIF(BDD!H318:AR318,1)*'ButsMPG + Var'!$K$3,IF(C315="M",COUNTIF(BDD!H318:AR318,10)*'ButsMPG + Var'!$K$22+COUNTIF(BDD!H318:AR318,9)*'ButsMPG + Var'!$K$21+COUNTIF(BDD!H318:AR318,8)*'ButsMPG + Var'!$K$20+COUNTIF(BDD!H318:AR318,7)*'ButsMPG + Var'!$K$19+COUNTIF(BDD!H318:AR318,6)*'ButsMPG + Var'!$K$18+COUNTIF(BDD!H318:AR318,5)*'ButsMPG + Var'!$K$17+COUNTIF(BDD!H318:AR318,4)*'ButsMPG + Var'!$K$16+COUNTIF(BDD!H318:AR318,3)*'ButsMPG + Var'!$K$15+COUNTIF(BDD!H318:AR318,2)*'ButsMPG + Var'!$K$14+COUNTIF(BDD!H318:AR318,1)*'ButsMPG + Var'!$K$13,IF(C315="D",COUNTIF(BDD!H318:AR318,10)*'ButsMPG + Var'!$K$32+COUNTIF(BDD!H318:AR318,9)*'ButsMPG + Var'!$K$31+COUNTIF(BDD!H318:AR318,8)*'ButsMPG + Var'!$K$30+COUNTIF(BDD!H318:AR318,7)*'ButsMPG + Var'!$K$29+COUNTIF(BDD!H318:AR318,6)*'ButsMPG + Var'!$K$28+COUNTIF(BDD!H318:AR318,5)*'ButsMPG + Var'!$K$27+COUNTIF(BDD!H318:AR318,4)*'ButsMPG + Var'!$K$26+COUNTIF(BDD!H318:AR318,3)*'ButsMPG + Var'!$K$25+COUNTIF(BDD!H318:AR318,2)*'ButsMPG + Var'!$K$24+COUNTIF(BDD!H318:AR318,1)*'ButsMPG + Var'!$K$23,0)))</f>
        <v>0</v>
      </c>
      <c r="H315" s="25">
        <f t="shared" si="5"/>
        <v>0</v>
      </c>
      <c r="I315" s="25">
        <f>BDD!G318</f>
        <v>0</v>
      </c>
      <c r="J315" s="25">
        <f>SUMPRODUCT(BDD!H318:AS318,'ButsMPG + Var'!$B$46:$AM$46)</f>
        <v>0</v>
      </c>
      <c r="K315" s="25" t="e">
        <f>10*('ButsMPG + Var'!$H$37*J315/MAX(J:J)+'ButsMPG + Var'!$G$37*H315/MAX(H:H))</f>
        <v>#DIV/0!</v>
      </c>
      <c r="L315" s="1">
        <f>IF(ISNA(VLOOKUP(B315,PrixMini!$B$3:$E$573,4,FALSE)),1,VLOOKUP(B315,PrixMini!$B$3:$E$573,4,FALSE))</f>
        <v>1</v>
      </c>
      <c r="M315" s="25" t="e">
        <f>IF(ROUND(CalculCotation!$D$3*EXP(CalculCotation!$C$3*K315)-CalculCotation!$D$3+1,0)&gt;L315,ROUND(CalculCotation!$D$3*EXP(CalculCotation!$C$3*K315)-CalculCotation!$D$3+1,0),L315)</f>
        <v>#DIV/0!</v>
      </c>
    </row>
    <row r="316" spans="2:13" x14ac:dyDescent="0.3">
      <c r="B316" s="1">
        <f>BDD!C319</f>
        <v>0</v>
      </c>
      <c r="C316" s="1">
        <f>BDD!B319</f>
        <v>0</v>
      </c>
      <c r="D316" s="1">
        <f>BDD!A319</f>
        <v>0</v>
      </c>
      <c r="E316" s="1">
        <f>BDD!D319</f>
        <v>0</v>
      </c>
      <c r="F316" s="1">
        <f>BDD!F319</f>
        <v>0</v>
      </c>
      <c r="G316" s="25">
        <f>'ButsMPG + Var'!$I$39*IF(C316="A",COUNTIF(BDD!H319:AR319,10)*'ButsMPG + Var'!$K$12+COUNTIF(BDD!H319:AR319,9)*'ButsMPG + Var'!$K$11+COUNTIF(BDD!H319:AR319,8)*'ButsMPG + Var'!$K$10+COUNTIF(BDD!H319:AR319,7)*'ButsMPG + Var'!$K$9+COUNTIF(BDD!H319:AR319,6)*'ButsMPG + Var'!$K$8+COUNTIF(BDD!H319:AR319,5)*'ButsMPG + Var'!$K$7+COUNTIF(BDD!H319:AR319,4)*'ButsMPG + Var'!$K$6+COUNTIF(BDD!H319:AR319,3)*'ButsMPG + Var'!$K$5+COUNTIF(BDD!H319:AR319,2)*'ButsMPG + Var'!$K$4+COUNTIF(BDD!H319:AR319,1)*'ButsMPG + Var'!$K$3,IF(C316="M",COUNTIF(BDD!H319:AR319,10)*'ButsMPG + Var'!$K$22+COUNTIF(BDD!H319:AR319,9)*'ButsMPG + Var'!$K$21+COUNTIF(BDD!H319:AR319,8)*'ButsMPG + Var'!$K$20+COUNTIF(BDD!H319:AR319,7)*'ButsMPG + Var'!$K$19+COUNTIF(BDD!H319:AR319,6)*'ButsMPG + Var'!$K$18+COUNTIF(BDD!H319:AR319,5)*'ButsMPG + Var'!$K$17+COUNTIF(BDD!H319:AR319,4)*'ButsMPG + Var'!$K$16+COUNTIF(BDD!H319:AR319,3)*'ButsMPG + Var'!$K$15+COUNTIF(BDD!H319:AR319,2)*'ButsMPG + Var'!$K$14+COUNTIF(BDD!H319:AR319,1)*'ButsMPG + Var'!$K$13,IF(C316="D",COUNTIF(BDD!H319:AR319,10)*'ButsMPG + Var'!$K$32+COUNTIF(BDD!H319:AR319,9)*'ButsMPG + Var'!$K$31+COUNTIF(BDD!H319:AR319,8)*'ButsMPG + Var'!$K$30+COUNTIF(BDD!H319:AR319,7)*'ButsMPG + Var'!$K$29+COUNTIF(BDD!H319:AR319,6)*'ButsMPG + Var'!$K$28+COUNTIF(BDD!H319:AR319,5)*'ButsMPG + Var'!$K$27+COUNTIF(BDD!H319:AR319,4)*'ButsMPG + Var'!$K$26+COUNTIF(BDD!H319:AR319,3)*'ButsMPG + Var'!$K$25+COUNTIF(BDD!H319:AR319,2)*'ButsMPG + Var'!$K$24+COUNTIF(BDD!H319:AR319,1)*'ButsMPG + Var'!$K$23,0)))</f>
        <v>0</v>
      </c>
      <c r="H316" s="25">
        <f t="shared" si="5"/>
        <v>0</v>
      </c>
      <c r="I316" s="25">
        <f>BDD!G319</f>
        <v>0</v>
      </c>
      <c r="J316" s="25">
        <f>SUMPRODUCT(BDD!H319:AS319,'ButsMPG + Var'!$B$46:$AM$46)</f>
        <v>0</v>
      </c>
      <c r="K316" s="25" t="e">
        <f>10*('ButsMPG + Var'!$H$37*J316/MAX(J:J)+'ButsMPG + Var'!$G$37*H316/MAX(H:H))</f>
        <v>#DIV/0!</v>
      </c>
      <c r="L316" s="1">
        <f>IF(ISNA(VLOOKUP(B316,PrixMini!$B$3:$E$573,4,FALSE)),1,VLOOKUP(B316,PrixMini!$B$3:$E$573,4,FALSE))</f>
        <v>1</v>
      </c>
      <c r="M316" s="25" t="e">
        <f>IF(ROUND(CalculCotation!$D$3*EXP(CalculCotation!$C$3*K316)-CalculCotation!$D$3+1,0)&gt;L316,ROUND(CalculCotation!$D$3*EXP(CalculCotation!$C$3*K316)-CalculCotation!$D$3+1,0),L316)</f>
        <v>#DIV/0!</v>
      </c>
    </row>
    <row r="317" spans="2:13" x14ac:dyDescent="0.3">
      <c r="B317" s="1">
        <f>BDD!C320</f>
        <v>0</v>
      </c>
      <c r="C317" s="1">
        <f>BDD!B320</f>
        <v>0</v>
      </c>
      <c r="D317" s="1">
        <f>BDD!A320</f>
        <v>0</v>
      </c>
      <c r="E317" s="1">
        <f>BDD!D320</f>
        <v>0</v>
      </c>
      <c r="F317" s="1">
        <f>BDD!F320</f>
        <v>0</v>
      </c>
      <c r="G317" s="25">
        <f>'ButsMPG + Var'!$I$39*IF(C317="A",COUNTIF(BDD!H320:AR320,10)*'ButsMPG + Var'!$K$12+COUNTIF(BDD!H320:AR320,9)*'ButsMPG + Var'!$K$11+COUNTIF(BDD!H320:AR320,8)*'ButsMPG + Var'!$K$10+COUNTIF(BDD!H320:AR320,7)*'ButsMPG + Var'!$K$9+COUNTIF(BDD!H320:AR320,6)*'ButsMPG + Var'!$K$8+COUNTIF(BDD!H320:AR320,5)*'ButsMPG + Var'!$K$7+COUNTIF(BDD!H320:AR320,4)*'ButsMPG + Var'!$K$6+COUNTIF(BDD!H320:AR320,3)*'ButsMPG + Var'!$K$5+COUNTIF(BDD!H320:AR320,2)*'ButsMPG + Var'!$K$4+COUNTIF(BDD!H320:AR320,1)*'ButsMPG + Var'!$K$3,IF(C317="M",COUNTIF(BDD!H320:AR320,10)*'ButsMPG + Var'!$K$22+COUNTIF(BDD!H320:AR320,9)*'ButsMPG + Var'!$K$21+COUNTIF(BDD!H320:AR320,8)*'ButsMPG + Var'!$K$20+COUNTIF(BDD!H320:AR320,7)*'ButsMPG + Var'!$K$19+COUNTIF(BDD!H320:AR320,6)*'ButsMPG + Var'!$K$18+COUNTIF(BDD!H320:AR320,5)*'ButsMPG + Var'!$K$17+COUNTIF(BDD!H320:AR320,4)*'ButsMPG + Var'!$K$16+COUNTIF(BDD!H320:AR320,3)*'ButsMPG + Var'!$K$15+COUNTIF(BDD!H320:AR320,2)*'ButsMPG + Var'!$K$14+COUNTIF(BDD!H320:AR320,1)*'ButsMPG + Var'!$K$13,IF(C317="D",COUNTIF(BDD!H320:AR320,10)*'ButsMPG + Var'!$K$32+COUNTIF(BDD!H320:AR320,9)*'ButsMPG + Var'!$K$31+COUNTIF(BDD!H320:AR320,8)*'ButsMPG + Var'!$K$30+COUNTIF(BDD!H320:AR320,7)*'ButsMPG + Var'!$K$29+COUNTIF(BDD!H320:AR320,6)*'ButsMPG + Var'!$K$28+COUNTIF(BDD!H320:AR320,5)*'ButsMPG + Var'!$K$27+COUNTIF(BDD!H320:AR320,4)*'ButsMPG + Var'!$K$26+COUNTIF(BDD!H320:AR320,3)*'ButsMPG + Var'!$K$25+COUNTIF(BDD!H320:AR320,2)*'ButsMPG + Var'!$K$24+COUNTIF(BDD!H320:AR320,1)*'ButsMPG + Var'!$K$23,0)))</f>
        <v>0</v>
      </c>
      <c r="H317" s="25">
        <f t="shared" si="5"/>
        <v>0</v>
      </c>
      <c r="I317" s="25">
        <f>BDD!G320</f>
        <v>0</v>
      </c>
      <c r="J317" s="25">
        <f>SUMPRODUCT(BDD!H320:AS320,'ButsMPG + Var'!$B$46:$AM$46)</f>
        <v>0</v>
      </c>
      <c r="K317" s="25" t="e">
        <f>10*('ButsMPG + Var'!$H$37*J317/MAX(J:J)+'ButsMPG + Var'!$G$37*H317/MAX(H:H))</f>
        <v>#DIV/0!</v>
      </c>
      <c r="L317" s="1">
        <f>IF(ISNA(VLOOKUP(B317,PrixMini!$B$3:$E$573,4,FALSE)),1,VLOOKUP(B317,PrixMini!$B$3:$E$573,4,FALSE))</f>
        <v>1</v>
      </c>
      <c r="M317" s="25" t="e">
        <f>IF(ROUND(CalculCotation!$D$3*EXP(CalculCotation!$C$3*K317)-CalculCotation!$D$3+1,0)&gt;L317,ROUND(CalculCotation!$D$3*EXP(CalculCotation!$C$3*K317)-CalculCotation!$D$3+1,0),L317)</f>
        <v>#DIV/0!</v>
      </c>
    </row>
    <row r="318" spans="2:13" x14ac:dyDescent="0.3">
      <c r="B318" s="1">
        <f>BDD!C321</f>
        <v>0</v>
      </c>
      <c r="C318" s="1">
        <f>BDD!B321</f>
        <v>0</v>
      </c>
      <c r="D318" s="1">
        <f>BDD!A321</f>
        <v>0</v>
      </c>
      <c r="E318" s="1">
        <f>BDD!D321</f>
        <v>0</v>
      </c>
      <c r="F318" s="1">
        <f>BDD!F321</f>
        <v>0</v>
      </c>
      <c r="G318" s="25">
        <f>'ButsMPG + Var'!$I$39*IF(C318="A",COUNTIF(BDD!H321:AR321,10)*'ButsMPG + Var'!$K$12+COUNTIF(BDD!H321:AR321,9)*'ButsMPG + Var'!$K$11+COUNTIF(BDD!H321:AR321,8)*'ButsMPG + Var'!$K$10+COUNTIF(BDD!H321:AR321,7)*'ButsMPG + Var'!$K$9+COUNTIF(BDD!H321:AR321,6)*'ButsMPG + Var'!$K$8+COUNTIF(BDD!H321:AR321,5)*'ButsMPG + Var'!$K$7+COUNTIF(BDD!H321:AR321,4)*'ButsMPG + Var'!$K$6+COUNTIF(BDD!H321:AR321,3)*'ButsMPG + Var'!$K$5+COUNTIF(BDD!H321:AR321,2)*'ButsMPG + Var'!$K$4+COUNTIF(BDD!H321:AR321,1)*'ButsMPG + Var'!$K$3,IF(C318="M",COUNTIF(BDD!H321:AR321,10)*'ButsMPG + Var'!$K$22+COUNTIF(BDD!H321:AR321,9)*'ButsMPG + Var'!$K$21+COUNTIF(BDD!H321:AR321,8)*'ButsMPG + Var'!$K$20+COUNTIF(BDD!H321:AR321,7)*'ButsMPG + Var'!$K$19+COUNTIF(BDD!H321:AR321,6)*'ButsMPG + Var'!$K$18+COUNTIF(BDD!H321:AR321,5)*'ButsMPG + Var'!$K$17+COUNTIF(BDD!H321:AR321,4)*'ButsMPG + Var'!$K$16+COUNTIF(BDD!H321:AR321,3)*'ButsMPG + Var'!$K$15+COUNTIF(BDD!H321:AR321,2)*'ButsMPG + Var'!$K$14+COUNTIF(BDD!H321:AR321,1)*'ButsMPG + Var'!$K$13,IF(C318="D",COUNTIF(BDD!H321:AR321,10)*'ButsMPG + Var'!$K$32+COUNTIF(BDD!H321:AR321,9)*'ButsMPG + Var'!$K$31+COUNTIF(BDD!H321:AR321,8)*'ButsMPG + Var'!$K$30+COUNTIF(BDD!H321:AR321,7)*'ButsMPG + Var'!$K$29+COUNTIF(BDD!H321:AR321,6)*'ButsMPG + Var'!$K$28+COUNTIF(BDD!H321:AR321,5)*'ButsMPG + Var'!$K$27+COUNTIF(BDD!H321:AR321,4)*'ButsMPG + Var'!$K$26+COUNTIF(BDD!H321:AR321,3)*'ButsMPG + Var'!$K$25+COUNTIF(BDD!H321:AR321,2)*'ButsMPG + Var'!$K$24+COUNTIF(BDD!H321:AR321,1)*'ButsMPG + Var'!$K$23,0)))</f>
        <v>0</v>
      </c>
      <c r="H318" s="25">
        <f t="shared" si="5"/>
        <v>0</v>
      </c>
      <c r="I318" s="25">
        <f>BDD!G321</f>
        <v>0</v>
      </c>
      <c r="J318" s="25">
        <f>SUMPRODUCT(BDD!H321:AS321,'ButsMPG + Var'!$B$46:$AM$46)</f>
        <v>0</v>
      </c>
      <c r="K318" s="25" t="e">
        <f>10*('ButsMPG + Var'!$H$37*J318/MAX(J:J)+'ButsMPG + Var'!$G$37*H318/MAX(H:H))</f>
        <v>#DIV/0!</v>
      </c>
      <c r="L318" s="1">
        <f>IF(ISNA(VLOOKUP(B318,PrixMini!$B$3:$E$573,4,FALSE)),1,VLOOKUP(B318,PrixMini!$B$3:$E$573,4,FALSE))</f>
        <v>1</v>
      </c>
      <c r="M318" s="25" t="e">
        <f>IF(ROUND(CalculCotation!$D$3*EXP(CalculCotation!$C$3*K318)-CalculCotation!$D$3+1,0)&gt;L318,ROUND(CalculCotation!$D$3*EXP(CalculCotation!$C$3*K318)-CalculCotation!$D$3+1,0),L318)</f>
        <v>#DIV/0!</v>
      </c>
    </row>
    <row r="319" spans="2:13" x14ac:dyDescent="0.3">
      <c r="B319" s="1">
        <f>BDD!C322</f>
        <v>0</v>
      </c>
      <c r="C319" s="1">
        <f>BDD!B322</f>
        <v>0</v>
      </c>
      <c r="D319" s="1">
        <f>BDD!A322</f>
        <v>0</v>
      </c>
      <c r="E319" s="1">
        <f>BDD!D322</f>
        <v>0</v>
      </c>
      <c r="F319" s="1">
        <f>BDD!F322</f>
        <v>0</v>
      </c>
      <c r="G319" s="25">
        <f>'ButsMPG + Var'!$I$39*IF(C319="A",COUNTIF(BDD!H322:AR322,10)*'ButsMPG + Var'!$K$12+COUNTIF(BDD!H322:AR322,9)*'ButsMPG + Var'!$K$11+COUNTIF(BDD!H322:AR322,8)*'ButsMPG + Var'!$K$10+COUNTIF(BDD!H322:AR322,7)*'ButsMPG + Var'!$K$9+COUNTIF(BDD!H322:AR322,6)*'ButsMPG + Var'!$K$8+COUNTIF(BDD!H322:AR322,5)*'ButsMPG + Var'!$K$7+COUNTIF(BDD!H322:AR322,4)*'ButsMPG + Var'!$K$6+COUNTIF(BDD!H322:AR322,3)*'ButsMPG + Var'!$K$5+COUNTIF(BDD!H322:AR322,2)*'ButsMPG + Var'!$K$4+COUNTIF(BDD!H322:AR322,1)*'ButsMPG + Var'!$K$3,IF(C319="M",COUNTIF(BDD!H322:AR322,10)*'ButsMPG + Var'!$K$22+COUNTIF(BDD!H322:AR322,9)*'ButsMPG + Var'!$K$21+COUNTIF(BDD!H322:AR322,8)*'ButsMPG + Var'!$K$20+COUNTIF(BDD!H322:AR322,7)*'ButsMPG + Var'!$K$19+COUNTIF(BDD!H322:AR322,6)*'ButsMPG + Var'!$K$18+COUNTIF(BDD!H322:AR322,5)*'ButsMPG + Var'!$K$17+COUNTIF(BDD!H322:AR322,4)*'ButsMPG + Var'!$K$16+COUNTIF(BDD!H322:AR322,3)*'ButsMPG + Var'!$K$15+COUNTIF(BDD!H322:AR322,2)*'ButsMPG + Var'!$K$14+COUNTIF(BDD!H322:AR322,1)*'ButsMPG + Var'!$K$13,IF(C319="D",COUNTIF(BDD!H322:AR322,10)*'ButsMPG + Var'!$K$32+COUNTIF(BDD!H322:AR322,9)*'ButsMPG + Var'!$K$31+COUNTIF(BDD!H322:AR322,8)*'ButsMPG + Var'!$K$30+COUNTIF(BDD!H322:AR322,7)*'ButsMPG + Var'!$K$29+COUNTIF(BDD!H322:AR322,6)*'ButsMPG + Var'!$K$28+COUNTIF(BDD!H322:AR322,5)*'ButsMPG + Var'!$K$27+COUNTIF(BDD!H322:AR322,4)*'ButsMPG + Var'!$K$26+COUNTIF(BDD!H322:AR322,3)*'ButsMPG + Var'!$K$25+COUNTIF(BDD!H322:AR322,2)*'ButsMPG + Var'!$K$24+COUNTIF(BDD!H322:AR322,1)*'ButsMPG + Var'!$K$23,0)))</f>
        <v>0</v>
      </c>
      <c r="H319" s="25">
        <f t="shared" si="5"/>
        <v>0</v>
      </c>
      <c r="I319" s="25">
        <f>BDD!G322</f>
        <v>0</v>
      </c>
      <c r="J319" s="25">
        <f>SUMPRODUCT(BDD!H322:AS322,'ButsMPG + Var'!$B$46:$AM$46)</f>
        <v>0</v>
      </c>
      <c r="K319" s="25" t="e">
        <f>10*('ButsMPG + Var'!$H$37*J319/MAX(J:J)+'ButsMPG + Var'!$G$37*H319/MAX(H:H))</f>
        <v>#DIV/0!</v>
      </c>
      <c r="L319" s="1">
        <f>IF(ISNA(VLOOKUP(B319,PrixMini!$B$3:$E$573,4,FALSE)),1,VLOOKUP(B319,PrixMini!$B$3:$E$573,4,FALSE))</f>
        <v>1</v>
      </c>
      <c r="M319" s="25" t="e">
        <f>IF(ROUND(CalculCotation!$D$3*EXP(CalculCotation!$C$3*K319)-CalculCotation!$D$3+1,0)&gt;L319,ROUND(CalculCotation!$D$3*EXP(CalculCotation!$C$3*K319)-CalculCotation!$D$3+1,0),L319)</f>
        <v>#DIV/0!</v>
      </c>
    </row>
    <row r="320" spans="2:13" x14ac:dyDescent="0.3">
      <c r="B320" s="1">
        <f>BDD!C323</f>
        <v>0</v>
      </c>
      <c r="C320" s="1">
        <f>BDD!B323</f>
        <v>0</v>
      </c>
      <c r="D320" s="1">
        <f>BDD!A323</f>
        <v>0</v>
      </c>
      <c r="E320" s="1">
        <f>BDD!D323</f>
        <v>0</v>
      </c>
      <c r="F320" s="1">
        <f>BDD!F323</f>
        <v>0</v>
      </c>
      <c r="G320" s="25">
        <f>'ButsMPG + Var'!$I$39*IF(C320="A",COUNTIF(BDD!H323:AR323,10)*'ButsMPG + Var'!$K$12+COUNTIF(BDD!H323:AR323,9)*'ButsMPG + Var'!$K$11+COUNTIF(BDD!H323:AR323,8)*'ButsMPG + Var'!$K$10+COUNTIF(BDD!H323:AR323,7)*'ButsMPG + Var'!$K$9+COUNTIF(BDD!H323:AR323,6)*'ButsMPG + Var'!$K$8+COUNTIF(BDD!H323:AR323,5)*'ButsMPG + Var'!$K$7+COUNTIF(BDD!H323:AR323,4)*'ButsMPG + Var'!$K$6+COUNTIF(BDD!H323:AR323,3)*'ButsMPG + Var'!$K$5+COUNTIF(BDD!H323:AR323,2)*'ButsMPG + Var'!$K$4+COUNTIF(BDD!H323:AR323,1)*'ButsMPG + Var'!$K$3,IF(C320="M",COUNTIF(BDD!H323:AR323,10)*'ButsMPG + Var'!$K$22+COUNTIF(BDD!H323:AR323,9)*'ButsMPG + Var'!$K$21+COUNTIF(BDD!H323:AR323,8)*'ButsMPG + Var'!$K$20+COUNTIF(BDD!H323:AR323,7)*'ButsMPG + Var'!$K$19+COUNTIF(BDD!H323:AR323,6)*'ButsMPG + Var'!$K$18+COUNTIF(BDD!H323:AR323,5)*'ButsMPG + Var'!$K$17+COUNTIF(BDD!H323:AR323,4)*'ButsMPG + Var'!$K$16+COUNTIF(BDD!H323:AR323,3)*'ButsMPG + Var'!$K$15+COUNTIF(BDD!H323:AR323,2)*'ButsMPG + Var'!$K$14+COUNTIF(BDD!H323:AR323,1)*'ButsMPG + Var'!$K$13,IF(C320="D",COUNTIF(BDD!H323:AR323,10)*'ButsMPG + Var'!$K$32+COUNTIF(BDD!H323:AR323,9)*'ButsMPG + Var'!$K$31+COUNTIF(BDD!H323:AR323,8)*'ButsMPG + Var'!$K$30+COUNTIF(BDD!H323:AR323,7)*'ButsMPG + Var'!$K$29+COUNTIF(BDD!H323:AR323,6)*'ButsMPG + Var'!$K$28+COUNTIF(BDD!H323:AR323,5)*'ButsMPG + Var'!$K$27+COUNTIF(BDD!H323:AR323,4)*'ButsMPG + Var'!$K$26+COUNTIF(BDD!H323:AR323,3)*'ButsMPG + Var'!$K$25+COUNTIF(BDD!H323:AR323,2)*'ButsMPG + Var'!$K$24+COUNTIF(BDD!H323:AR323,1)*'ButsMPG + Var'!$K$23,0)))</f>
        <v>0</v>
      </c>
      <c r="H320" s="25">
        <f t="shared" si="5"/>
        <v>0</v>
      </c>
      <c r="I320" s="25">
        <f>BDD!G323</f>
        <v>0</v>
      </c>
      <c r="J320" s="25">
        <f>SUMPRODUCT(BDD!H323:AS323,'ButsMPG + Var'!$B$46:$AM$46)</f>
        <v>0</v>
      </c>
      <c r="K320" s="25" t="e">
        <f>10*('ButsMPG + Var'!$H$37*J320/MAX(J:J)+'ButsMPG + Var'!$G$37*H320/MAX(H:H))</f>
        <v>#DIV/0!</v>
      </c>
      <c r="L320" s="1">
        <f>IF(ISNA(VLOOKUP(B320,PrixMini!$B$3:$E$573,4,FALSE)),1,VLOOKUP(B320,PrixMini!$B$3:$E$573,4,FALSE))</f>
        <v>1</v>
      </c>
      <c r="M320" s="25" t="e">
        <f>IF(ROUND(CalculCotation!$D$3*EXP(CalculCotation!$C$3*K320)-CalculCotation!$D$3+1,0)&gt;L320,ROUND(CalculCotation!$D$3*EXP(CalculCotation!$C$3*K320)-CalculCotation!$D$3+1,0),L320)</f>
        <v>#DIV/0!</v>
      </c>
    </row>
    <row r="321" spans="2:13" x14ac:dyDescent="0.3">
      <c r="B321" s="1">
        <f>BDD!C324</f>
        <v>0</v>
      </c>
      <c r="C321" s="1">
        <f>BDD!B324</f>
        <v>0</v>
      </c>
      <c r="D321" s="1">
        <f>BDD!A324</f>
        <v>0</v>
      </c>
      <c r="E321" s="1">
        <f>BDD!D324</f>
        <v>0</v>
      </c>
      <c r="F321" s="1">
        <f>BDD!F324</f>
        <v>0</v>
      </c>
      <c r="G321" s="25">
        <f>'ButsMPG + Var'!$I$39*IF(C321="A",COUNTIF(BDD!H324:AR324,10)*'ButsMPG + Var'!$K$12+COUNTIF(BDD!H324:AR324,9)*'ButsMPG + Var'!$K$11+COUNTIF(BDD!H324:AR324,8)*'ButsMPG + Var'!$K$10+COUNTIF(BDD!H324:AR324,7)*'ButsMPG + Var'!$K$9+COUNTIF(BDD!H324:AR324,6)*'ButsMPG + Var'!$K$8+COUNTIF(BDD!H324:AR324,5)*'ButsMPG + Var'!$K$7+COUNTIF(BDD!H324:AR324,4)*'ButsMPG + Var'!$K$6+COUNTIF(BDD!H324:AR324,3)*'ButsMPG + Var'!$K$5+COUNTIF(BDD!H324:AR324,2)*'ButsMPG + Var'!$K$4+COUNTIF(BDD!H324:AR324,1)*'ButsMPG + Var'!$K$3,IF(C321="M",COUNTIF(BDD!H324:AR324,10)*'ButsMPG + Var'!$K$22+COUNTIF(BDD!H324:AR324,9)*'ButsMPG + Var'!$K$21+COUNTIF(BDD!H324:AR324,8)*'ButsMPG + Var'!$K$20+COUNTIF(BDD!H324:AR324,7)*'ButsMPG + Var'!$K$19+COUNTIF(BDD!H324:AR324,6)*'ButsMPG + Var'!$K$18+COUNTIF(BDD!H324:AR324,5)*'ButsMPG + Var'!$K$17+COUNTIF(BDD!H324:AR324,4)*'ButsMPG + Var'!$K$16+COUNTIF(BDD!H324:AR324,3)*'ButsMPG + Var'!$K$15+COUNTIF(BDD!H324:AR324,2)*'ButsMPG + Var'!$K$14+COUNTIF(BDD!H324:AR324,1)*'ButsMPG + Var'!$K$13,IF(C321="D",COUNTIF(BDD!H324:AR324,10)*'ButsMPG + Var'!$K$32+COUNTIF(BDD!H324:AR324,9)*'ButsMPG + Var'!$K$31+COUNTIF(BDD!H324:AR324,8)*'ButsMPG + Var'!$K$30+COUNTIF(BDD!H324:AR324,7)*'ButsMPG + Var'!$K$29+COUNTIF(BDD!H324:AR324,6)*'ButsMPG + Var'!$K$28+COUNTIF(BDD!H324:AR324,5)*'ButsMPG + Var'!$K$27+COUNTIF(BDD!H324:AR324,4)*'ButsMPG + Var'!$K$26+COUNTIF(BDD!H324:AR324,3)*'ButsMPG + Var'!$K$25+COUNTIF(BDD!H324:AR324,2)*'ButsMPG + Var'!$K$24+COUNTIF(BDD!H324:AR324,1)*'ButsMPG + Var'!$K$23,0)))</f>
        <v>0</v>
      </c>
      <c r="H321" s="25">
        <f t="shared" si="5"/>
        <v>0</v>
      </c>
      <c r="I321" s="25">
        <f>BDD!G324</f>
        <v>0</v>
      </c>
      <c r="J321" s="25">
        <f>SUMPRODUCT(BDD!H324:AS324,'ButsMPG + Var'!$B$46:$AM$46)</f>
        <v>0</v>
      </c>
      <c r="K321" s="25" t="e">
        <f>10*('ButsMPG + Var'!$H$37*J321/MAX(J:J)+'ButsMPG + Var'!$G$37*H321/MAX(H:H))</f>
        <v>#DIV/0!</v>
      </c>
      <c r="L321" s="1">
        <f>IF(ISNA(VLOOKUP(B321,PrixMini!$B$3:$E$573,4,FALSE)),1,VLOOKUP(B321,PrixMini!$B$3:$E$573,4,FALSE))</f>
        <v>1</v>
      </c>
      <c r="M321" s="25" t="e">
        <f>IF(ROUND(CalculCotation!$D$3*EXP(CalculCotation!$C$3*K321)-CalculCotation!$D$3+1,0)&gt;L321,ROUND(CalculCotation!$D$3*EXP(CalculCotation!$C$3*K321)-CalculCotation!$D$3+1,0),L321)</f>
        <v>#DIV/0!</v>
      </c>
    </row>
    <row r="322" spans="2:13" x14ac:dyDescent="0.3">
      <c r="B322" s="1">
        <f>BDD!C325</f>
        <v>0</v>
      </c>
      <c r="C322" s="1">
        <f>BDD!B325</f>
        <v>0</v>
      </c>
      <c r="D322" s="1">
        <f>BDD!A325</f>
        <v>0</v>
      </c>
      <c r="E322" s="1">
        <f>BDD!D325</f>
        <v>0</v>
      </c>
      <c r="F322" s="1">
        <f>BDD!F325</f>
        <v>0</v>
      </c>
      <c r="G322" s="25">
        <f>'ButsMPG + Var'!$I$39*IF(C322="A",COUNTIF(BDD!H325:AR325,10)*'ButsMPG + Var'!$K$12+COUNTIF(BDD!H325:AR325,9)*'ButsMPG + Var'!$K$11+COUNTIF(BDD!H325:AR325,8)*'ButsMPG + Var'!$K$10+COUNTIF(BDD!H325:AR325,7)*'ButsMPG + Var'!$K$9+COUNTIF(BDD!H325:AR325,6)*'ButsMPG + Var'!$K$8+COUNTIF(BDD!H325:AR325,5)*'ButsMPG + Var'!$K$7+COUNTIF(BDD!H325:AR325,4)*'ButsMPG + Var'!$K$6+COUNTIF(BDD!H325:AR325,3)*'ButsMPG + Var'!$K$5+COUNTIF(BDD!H325:AR325,2)*'ButsMPG + Var'!$K$4+COUNTIF(BDD!H325:AR325,1)*'ButsMPG + Var'!$K$3,IF(C322="M",COUNTIF(BDD!H325:AR325,10)*'ButsMPG + Var'!$K$22+COUNTIF(BDD!H325:AR325,9)*'ButsMPG + Var'!$K$21+COUNTIF(BDD!H325:AR325,8)*'ButsMPG + Var'!$K$20+COUNTIF(BDD!H325:AR325,7)*'ButsMPG + Var'!$K$19+COUNTIF(BDD!H325:AR325,6)*'ButsMPG + Var'!$K$18+COUNTIF(BDD!H325:AR325,5)*'ButsMPG + Var'!$K$17+COUNTIF(BDD!H325:AR325,4)*'ButsMPG + Var'!$K$16+COUNTIF(BDD!H325:AR325,3)*'ButsMPG + Var'!$K$15+COUNTIF(BDD!H325:AR325,2)*'ButsMPG + Var'!$K$14+COUNTIF(BDD!H325:AR325,1)*'ButsMPG + Var'!$K$13,IF(C322="D",COUNTIF(BDD!H325:AR325,10)*'ButsMPG + Var'!$K$32+COUNTIF(BDD!H325:AR325,9)*'ButsMPG + Var'!$K$31+COUNTIF(BDD!H325:AR325,8)*'ButsMPG + Var'!$K$30+COUNTIF(BDD!H325:AR325,7)*'ButsMPG + Var'!$K$29+COUNTIF(BDD!H325:AR325,6)*'ButsMPG + Var'!$K$28+COUNTIF(BDD!H325:AR325,5)*'ButsMPG + Var'!$K$27+COUNTIF(BDD!H325:AR325,4)*'ButsMPG + Var'!$K$26+COUNTIF(BDD!H325:AR325,3)*'ButsMPG + Var'!$K$25+COUNTIF(BDD!H325:AR325,2)*'ButsMPG + Var'!$K$24+COUNTIF(BDD!H325:AR325,1)*'ButsMPG + Var'!$K$23,0)))</f>
        <v>0</v>
      </c>
      <c r="H322" s="25">
        <f t="shared" si="5"/>
        <v>0</v>
      </c>
      <c r="I322" s="25">
        <f>BDD!G325</f>
        <v>0</v>
      </c>
      <c r="J322" s="25">
        <f>SUMPRODUCT(BDD!H325:AS325,'ButsMPG + Var'!$B$46:$AM$46)</f>
        <v>0</v>
      </c>
      <c r="K322" s="25" t="e">
        <f>10*('ButsMPG + Var'!$H$37*J322/MAX(J:J)+'ButsMPG + Var'!$G$37*H322/MAX(H:H))</f>
        <v>#DIV/0!</v>
      </c>
      <c r="L322" s="1">
        <f>IF(ISNA(VLOOKUP(B322,PrixMini!$B$3:$E$573,4,FALSE)),1,VLOOKUP(B322,PrixMini!$B$3:$E$573,4,FALSE))</f>
        <v>1</v>
      </c>
      <c r="M322" s="25" t="e">
        <f>IF(ROUND(CalculCotation!$D$3*EXP(CalculCotation!$C$3*K322)-CalculCotation!$D$3+1,0)&gt;L322,ROUND(CalculCotation!$D$3*EXP(CalculCotation!$C$3*K322)-CalculCotation!$D$3+1,0),L322)</f>
        <v>#DIV/0!</v>
      </c>
    </row>
    <row r="323" spans="2:13" x14ac:dyDescent="0.3">
      <c r="B323" s="1">
        <f>BDD!C326</f>
        <v>0</v>
      </c>
      <c r="C323" s="1">
        <f>BDD!B326</f>
        <v>0</v>
      </c>
      <c r="D323" s="1">
        <f>BDD!A326</f>
        <v>0</v>
      </c>
      <c r="E323" s="1">
        <f>BDD!D326</f>
        <v>0</v>
      </c>
      <c r="F323" s="1">
        <f>BDD!F326</f>
        <v>0</v>
      </c>
      <c r="G323" s="25">
        <f>'ButsMPG + Var'!$I$39*IF(C323="A",COUNTIF(BDD!H326:AR326,10)*'ButsMPG + Var'!$K$12+COUNTIF(BDD!H326:AR326,9)*'ButsMPG + Var'!$K$11+COUNTIF(BDD!H326:AR326,8)*'ButsMPG + Var'!$K$10+COUNTIF(BDD!H326:AR326,7)*'ButsMPG + Var'!$K$9+COUNTIF(BDD!H326:AR326,6)*'ButsMPG + Var'!$K$8+COUNTIF(BDD!H326:AR326,5)*'ButsMPG + Var'!$K$7+COUNTIF(BDD!H326:AR326,4)*'ButsMPG + Var'!$K$6+COUNTIF(BDD!H326:AR326,3)*'ButsMPG + Var'!$K$5+COUNTIF(BDD!H326:AR326,2)*'ButsMPG + Var'!$K$4+COUNTIF(BDD!H326:AR326,1)*'ButsMPG + Var'!$K$3,IF(C323="M",COUNTIF(BDD!H326:AR326,10)*'ButsMPG + Var'!$K$22+COUNTIF(BDD!H326:AR326,9)*'ButsMPG + Var'!$K$21+COUNTIF(BDD!H326:AR326,8)*'ButsMPG + Var'!$K$20+COUNTIF(BDD!H326:AR326,7)*'ButsMPG + Var'!$K$19+COUNTIF(BDD!H326:AR326,6)*'ButsMPG + Var'!$K$18+COUNTIF(BDD!H326:AR326,5)*'ButsMPG + Var'!$K$17+COUNTIF(BDD!H326:AR326,4)*'ButsMPG + Var'!$K$16+COUNTIF(BDD!H326:AR326,3)*'ButsMPG + Var'!$K$15+COUNTIF(BDD!H326:AR326,2)*'ButsMPG + Var'!$K$14+COUNTIF(BDD!H326:AR326,1)*'ButsMPG + Var'!$K$13,IF(C323="D",COUNTIF(BDD!H326:AR326,10)*'ButsMPG + Var'!$K$32+COUNTIF(BDD!H326:AR326,9)*'ButsMPG + Var'!$K$31+COUNTIF(BDD!H326:AR326,8)*'ButsMPG + Var'!$K$30+COUNTIF(BDD!H326:AR326,7)*'ButsMPG + Var'!$K$29+COUNTIF(BDD!H326:AR326,6)*'ButsMPG + Var'!$K$28+COUNTIF(BDD!H326:AR326,5)*'ButsMPG + Var'!$K$27+COUNTIF(BDD!H326:AR326,4)*'ButsMPG + Var'!$K$26+COUNTIF(BDD!H326:AR326,3)*'ButsMPG + Var'!$K$25+COUNTIF(BDD!H326:AR326,2)*'ButsMPG + Var'!$K$24+COUNTIF(BDD!H326:AR326,1)*'ButsMPG + Var'!$K$23,0)))</f>
        <v>0</v>
      </c>
      <c r="H323" s="25">
        <f t="shared" si="5"/>
        <v>0</v>
      </c>
      <c r="I323" s="25">
        <f>BDD!G326</f>
        <v>0</v>
      </c>
      <c r="J323" s="25">
        <f>SUMPRODUCT(BDD!H326:AS326,'ButsMPG + Var'!$B$46:$AM$46)</f>
        <v>0</v>
      </c>
      <c r="K323" s="25" t="e">
        <f>10*('ButsMPG + Var'!$H$37*J323/MAX(J:J)+'ButsMPG + Var'!$G$37*H323/MAX(H:H))</f>
        <v>#DIV/0!</v>
      </c>
      <c r="L323" s="1">
        <f>IF(ISNA(VLOOKUP(B323,PrixMini!$B$3:$E$573,4,FALSE)),1,VLOOKUP(B323,PrixMini!$B$3:$E$573,4,FALSE))</f>
        <v>1</v>
      </c>
      <c r="M323" s="25" t="e">
        <f>IF(ROUND(CalculCotation!$D$3*EXP(CalculCotation!$C$3*K323)-CalculCotation!$D$3+1,0)&gt;L323,ROUND(CalculCotation!$D$3*EXP(CalculCotation!$C$3*K323)-CalculCotation!$D$3+1,0),L323)</f>
        <v>#DIV/0!</v>
      </c>
    </row>
    <row r="324" spans="2:13" x14ac:dyDescent="0.3">
      <c r="B324" s="1">
        <f>BDD!C327</f>
        <v>0</v>
      </c>
      <c r="C324" s="1">
        <f>BDD!B327</f>
        <v>0</v>
      </c>
      <c r="D324" s="1">
        <f>BDD!A327</f>
        <v>0</v>
      </c>
      <c r="E324" s="1">
        <f>BDD!D327</f>
        <v>0</v>
      </c>
      <c r="F324" s="1">
        <f>BDD!F327</f>
        <v>0</v>
      </c>
      <c r="G324" s="25">
        <f>'ButsMPG + Var'!$I$39*IF(C324="A",COUNTIF(BDD!H327:AR327,10)*'ButsMPG + Var'!$K$12+COUNTIF(BDD!H327:AR327,9)*'ButsMPG + Var'!$K$11+COUNTIF(BDD!H327:AR327,8)*'ButsMPG + Var'!$K$10+COUNTIF(BDD!H327:AR327,7)*'ButsMPG + Var'!$K$9+COUNTIF(BDD!H327:AR327,6)*'ButsMPG + Var'!$K$8+COUNTIF(BDD!H327:AR327,5)*'ButsMPG + Var'!$K$7+COUNTIF(BDD!H327:AR327,4)*'ButsMPG + Var'!$K$6+COUNTIF(BDD!H327:AR327,3)*'ButsMPG + Var'!$K$5+COUNTIF(BDD!H327:AR327,2)*'ButsMPG + Var'!$K$4+COUNTIF(BDD!H327:AR327,1)*'ButsMPG + Var'!$K$3,IF(C324="M",COUNTIF(BDD!H327:AR327,10)*'ButsMPG + Var'!$K$22+COUNTIF(BDD!H327:AR327,9)*'ButsMPG + Var'!$K$21+COUNTIF(BDD!H327:AR327,8)*'ButsMPG + Var'!$K$20+COUNTIF(BDD!H327:AR327,7)*'ButsMPG + Var'!$K$19+COUNTIF(BDD!H327:AR327,6)*'ButsMPG + Var'!$K$18+COUNTIF(BDD!H327:AR327,5)*'ButsMPG + Var'!$K$17+COUNTIF(BDD!H327:AR327,4)*'ButsMPG + Var'!$K$16+COUNTIF(BDD!H327:AR327,3)*'ButsMPG + Var'!$K$15+COUNTIF(BDD!H327:AR327,2)*'ButsMPG + Var'!$K$14+COUNTIF(BDD!H327:AR327,1)*'ButsMPG + Var'!$K$13,IF(C324="D",COUNTIF(BDD!H327:AR327,10)*'ButsMPG + Var'!$K$32+COUNTIF(BDD!H327:AR327,9)*'ButsMPG + Var'!$K$31+COUNTIF(BDD!H327:AR327,8)*'ButsMPG + Var'!$K$30+COUNTIF(BDD!H327:AR327,7)*'ButsMPG + Var'!$K$29+COUNTIF(BDD!H327:AR327,6)*'ButsMPG + Var'!$K$28+COUNTIF(BDD!H327:AR327,5)*'ButsMPG + Var'!$K$27+COUNTIF(BDD!H327:AR327,4)*'ButsMPG + Var'!$K$26+COUNTIF(BDD!H327:AR327,3)*'ButsMPG + Var'!$K$25+COUNTIF(BDD!H327:AR327,2)*'ButsMPG + Var'!$K$24+COUNTIF(BDD!H327:AR327,1)*'ButsMPG + Var'!$K$23,0)))</f>
        <v>0</v>
      </c>
      <c r="H324" s="25">
        <f t="shared" ref="H324:H387" si="6">SUM(F324:G324)</f>
        <v>0</v>
      </c>
      <c r="I324" s="25">
        <f>BDD!G327</f>
        <v>0</v>
      </c>
      <c r="J324" s="25">
        <f>SUMPRODUCT(BDD!H327:AS327,'ButsMPG + Var'!$B$46:$AM$46)</f>
        <v>0</v>
      </c>
      <c r="K324" s="25" t="e">
        <f>10*('ButsMPG + Var'!$H$37*J324/MAX(J:J)+'ButsMPG + Var'!$G$37*H324/MAX(H:H))</f>
        <v>#DIV/0!</v>
      </c>
      <c r="L324" s="1">
        <f>IF(ISNA(VLOOKUP(B324,PrixMini!$B$3:$E$573,4,FALSE)),1,VLOOKUP(B324,PrixMini!$B$3:$E$573,4,FALSE))</f>
        <v>1</v>
      </c>
      <c r="M324" s="25" t="e">
        <f>IF(ROUND(CalculCotation!$D$3*EXP(CalculCotation!$C$3*K324)-CalculCotation!$D$3+1,0)&gt;L324,ROUND(CalculCotation!$D$3*EXP(CalculCotation!$C$3*K324)-CalculCotation!$D$3+1,0),L324)</f>
        <v>#DIV/0!</v>
      </c>
    </row>
    <row r="325" spans="2:13" x14ac:dyDescent="0.3">
      <c r="B325" s="1">
        <f>BDD!C328</f>
        <v>0</v>
      </c>
      <c r="C325" s="1">
        <f>BDD!B328</f>
        <v>0</v>
      </c>
      <c r="D325" s="1">
        <f>BDD!A328</f>
        <v>0</v>
      </c>
      <c r="E325" s="1">
        <f>BDD!D328</f>
        <v>0</v>
      </c>
      <c r="F325" s="1">
        <f>BDD!F328</f>
        <v>0</v>
      </c>
      <c r="G325" s="25">
        <f>'ButsMPG + Var'!$I$39*IF(C325="A",COUNTIF(BDD!H328:AR328,10)*'ButsMPG + Var'!$K$12+COUNTIF(BDD!H328:AR328,9)*'ButsMPG + Var'!$K$11+COUNTIF(BDD!H328:AR328,8)*'ButsMPG + Var'!$K$10+COUNTIF(BDD!H328:AR328,7)*'ButsMPG + Var'!$K$9+COUNTIF(BDD!H328:AR328,6)*'ButsMPG + Var'!$K$8+COUNTIF(BDD!H328:AR328,5)*'ButsMPG + Var'!$K$7+COUNTIF(BDD!H328:AR328,4)*'ButsMPG + Var'!$K$6+COUNTIF(BDD!H328:AR328,3)*'ButsMPG + Var'!$K$5+COUNTIF(BDD!H328:AR328,2)*'ButsMPG + Var'!$K$4+COUNTIF(BDD!H328:AR328,1)*'ButsMPG + Var'!$K$3,IF(C325="M",COUNTIF(BDD!H328:AR328,10)*'ButsMPG + Var'!$K$22+COUNTIF(BDD!H328:AR328,9)*'ButsMPG + Var'!$K$21+COUNTIF(BDD!H328:AR328,8)*'ButsMPG + Var'!$K$20+COUNTIF(BDD!H328:AR328,7)*'ButsMPG + Var'!$K$19+COUNTIF(BDD!H328:AR328,6)*'ButsMPG + Var'!$K$18+COUNTIF(BDD!H328:AR328,5)*'ButsMPG + Var'!$K$17+COUNTIF(BDD!H328:AR328,4)*'ButsMPG + Var'!$K$16+COUNTIF(BDD!H328:AR328,3)*'ButsMPG + Var'!$K$15+COUNTIF(BDD!H328:AR328,2)*'ButsMPG + Var'!$K$14+COUNTIF(BDD!H328:AR328,1)*'ButsMPG + Var'!$K$13,IF(C325="D",COUNTIF(BDD!H328:AR328,10)*'ButsMPG + Var'!$K$32+COUNTIF(BDD!H328:AR328,9)*'ButsMPG + Var'!$K$31+COUNTIF(BDD!H328:AR328,8)*'ButsMPG + Var'!$K$30+COUNTIF(BDD!H328:AR328,7)*'ButsMPG + Var'!$K$29+COUNTIF(BDD!H328:AR328,6)*'ButsMPG + Var'!$K$28+COUNTIF(BDD!H328:AR328,5)*'ButsMPG + Var'!$K$27+COUNTIF(BDD!H328:AR328,4)*'ButsMPG + Var'!$K$26+COUNTIF(BDD!H328:AR328,3)*'ButsMPG + Var'!$K$25+COUNTIF(BDD!H328:AR328,2)*'ButsMPG + Var'!$K$24+COUNTIF(BDD!H328:AR328,1)*'ButsMPG + Var'!$K$23,0)))</f>
        <v>0</v>
      </c>
      <c r="H325" s="25">
        <f t="shared" si="6"/>
        <v>0</v>
      </c>
      <c r="I325" s="25">
        <f>BDD!G328</f>
        <v>0</v>
      </c>
      <c r="J325" s="25">
        <f>SUMPRODUCT(BDD!H328:AS328,'ButsMPG + Var'!$B$46:$AM$46)</f>
        <v>0</v>
      </c>
      <c r="K325" s="25" t="e">
        <f>10*('ButsMPG + Var'!$H$37*J325/MAX(J:J)+'ButsMPG + Var'!$G$37*H325/MAX(H:H))</f>
        <v>#DIV/0!</v>
      </c>
      <c r="L325" s="1">
        <f>IF(ISNA(VLOOKUP(B325,PrixMini!$B$3:$E$573,4,FALSE)),1,VLOOKUP(B325,PrixMini!$B$3:$E$573,4,FALSE))</f>
        <v>1</v>
      </c>
      <c r="M325" s="25" t="e">
        <f>IF(ROUND(CalculCotation!$D$3*EXP(CalculCotation!$C$3*K325)-CalculCotation!$D$3+1,0)&gt;L325,ROUND(CalculCotation!$D$3*EXP(CalculCotation!$C$3*K325)-CalculCotation!$D$3+1,0),L325)</f>
        <v>#DIV/0!</v>
      </c>
    </row>
    <row r="326" spans="2:13" x14ac:dyDescent="0.3">
      <c r="B326" s="1">
        <f>BDD!C329</f>
        <v>0</v>
      </c>
      <c r="C326" s="1">
        <f>BDD!B329</f>
        <v>0</v>
      </c>
      <c r="D326" s="1">
        <f>BDD!A329</f>
        <v>0</v>
      </c>
      <c r="E326" s="1">
        <f>BDD!D329</f>
        <v>0</v>
      </c>
      <c r="F326" s="1">
        <f>BDD!F329</f>
        <v>0</v>
      </c>
      <c r="G326" s="25">
        <f>'ButsMPG + Var'!$I$39*IF(C326="A",COUNTIF(BDD!H329:AR329,10)*'ButsMPG + Var'!$K$12+COUNTIF(BDD!H329:AR329,9)*'ButsMPG + Var'!$K$11+COUNTIF(BDD!H329:AR329,8)*'ButsMPG + Var'!$K$10+COUNTIF(BDD!H329:AR329,7)*'ButsMPG + Var'!$K$9+COUNTIF(BDD!H329:AR329,6)*'ButsMPG + Var'!$K$8+COUNTIF(BDD!H329:AR329,5)*'ButsMPG + Var'!$K$7+COUNTIF(BDD!H329:AR329,4)*'ButsMPG + Var'!$K$6+COUNTIF(BDD!H329:AR329,3)*'ButsMPG + Var'!$K$5+COUNTIF(BDD!H329:AR329,2)*'ButsMPG + Var'!$K$4+COUNTIF(BDD!H329:AR329,1)*'ButsMPG + Var'!$K$3,IF(C326="M",COUNTIF(BDD!H329:AR329,10)*'ButsMPG + Var'!$K$22+COUNTIF(BDD!H329:AR329,9)*'ButsMPG + Var'!$K$21+COUNTIF(BDD!H329:AR329,8)*'ButsMPG + Var'!$K$20+COUNTIF(BDD!H329:AR329,7)*'ButsMPG + Var'!$K$19+COUNTIF(BDD!H329:AR329,6)*'ButsMPG + Var'!$K$18+COUNTIF(BDD!H329:AR329,5)*'ButsMPG + Var'!$K$17+COUNTIF(BDD!H329:AR329,4)*'ButsMPG + Var'!$K$16+COUNTIF(BDD!H329:AR329,3)*'ButsMPG + Var'!$K$15+COUNTIF(BDD!H329:AR329,2)*'ButsMPG + Var'!$K$14+COUNTIF(BDD!H329:AR329,1)*'ButsMPG + Var'!$K$13,IF(C326="D",COUNTIF(BDD!H329:AR329,10)*'ButsMPG + Var'!$K$32+COUNTIF(BDD!H329:AR329,9)*'ButsMPG + Var'!$K$31+COUNTIF(BDD!H329:AR329,8)*'ButsMPG + Var'!$K$30+COUNTIF(BDD!H329:AR329,7)*'ButsMPG + Var'!$K$29+COUNTIF(BDD!H329:AR329,6)*'ButsMPG + Var'!$K$28+COUNTIF(BDD!H329:AR329,5)*'ButsMPG + Var'!$K$27+COUNTIF(BDD!H329:AR329,4)*'ButsMPG + Var'!$K$26+COUNTIF(BDD!H329:AR329,3)*'ButsMPG + Var'!$K$25+COUNTIF(BDD!H329:AR329,2)*'ButsMPG + Var'!$K$24+COUNTIF(BDD!H329:AR329,1)*'ButsMPG + Var'!$K$23,0)))</f>
        <v>0</v>
      </c>
      <c r="H326" s="25">
        <f t="shared" si="6"/>
        <v>0</v>
      </c>
      <c r="I326" s="25">
        <f>BDD!G329</f>
        <v>0</v>
      </c>
      <c r="J326" s="25">
        <f>SUMPRODUCT(BDD!H329:AS329,'ButsMPG + Var'!$B$46:$AM$46)</f>
        <v>0</v>
      </c>
      <c r="K326" s="25" t="e">
        <f>10*('ButsMPG + Var'!$H$37*J326/MAX(J:J)+'ButsMPG + Var'!$G$37*H326/MAX(H:H))</f>
        <v>#DIV/0!</v>
      </c>
      <c r="L326" s="1">
        <f>IF(ISNA(VLOOKUP(B326,PrixMini!$B$3:$E$573,4,FALSE)),1,VLOOKUP(B326,PrixMini!$B$3:$E$573,4,FALSE))</f>
        <v>1</v>
      </c>
      <c r="M326" s="25" t="e">
        <f>IF(ROUND(CalculCotation!$D$3*EXP(CalculCotation!$C$3*K326)-CalculCotation!$D$3+1,0)&gt;L326,ROUND(CalculCotation!$D$3*EXP(CalculCotation!$C$3*K326)-CalculCotation!$D$3+1,0),L326)</f>
        <v>#DIV/0!</v>
      </c>
    </row>
    <row r="327" spans="2:13" x14ac:dyDescent="0.3">
      <c r="B327" s="1">
        <f>BDD!C330</f>
        <v>0</v>
      </c>
      <c r="C327" s="1">
        <f>BDD!B330</f>
        <v>0</v>
      </c>
      <c r="D327" s="1">
        <f>BDD!A330</f>
        <v>0</v>
      </c>
      <c r="E327" s="1">
        <f>BDD!D330</f>
        <v>0</v>
      </c>
      <c r="F327" s="1">
        <f>BDD!F330</f>
        <v>0</v>
      </c>
      <c r="G327" s="25">
        <f>'ButsMPG + Var'!$I$39*IF(C327="A",COUNTIF(BDD!H330:AR330,10)*'ButsMPG + Var'!$K$12+COUNTIF(BDD!H330:AR330,9)*'ButsMPG + Var'!$K$11+COUNTIF(BDD!H330:AR330,8)*'ButsMPG + Var'!$K$10+COUNTIF(BDD!H330:AR330,7)*'ButsMPG + Var'!$K$9+COUNTIF(BDD!H330:AR330,6)*'ButsMPG + Var'!$K$8+COUNTIF(BDD!H330:AR330,5)*'ButsMPG + Var'!$K$7+COUNTIF(BDD!H330:AR330,4)*'ButsMPG + Var'!$K$6+COUNTIF(BDD!H330:AR330,3)*'ButsMPG + Var'!$K$5+COUNTIF(BDD!H330:AR330,2)*'ButsMPG + Var'!$K$4+COUNTIF(BDD!H330:AR330,1)*'ButsMPG + Var'!$K$3,IF(C327="M",COUNTIF(BDD!H330:AR330,10)*'ButsMPG + Var'!$K$22+COUNTIF(BDD!H330:AR330,9)*'ButsMPG + Var'!$K$21+COUNTIF(BDD!H330:AR330,8)*'ButsMPG + Var'!$K$20+COUNTIF(BDD!H330:AR330,7)*'ButsMPG + Var'!$K$19+COUNTIF(BDD!H330:AR330,6)*'ButsMPG + Var'!$K$18+COUNTIF(BDD!H330:AR330,5)*'ButsMPG + Var'!$K$17+COUNTIF(BDD!H330:AR330,4)*'ButsMPG + Var'!$K$16+COUNTIF(BDD!H330:AR330,3)*'ButsMPG + Var'!$K$15+COUNTIF(BDD!H330:AR330,2)*'ButsMPG + Var'!$K$14+COUNTIF(BDD!H330:AR330,1)*'ButsMPG + Var'!$K$13,IF(C327="D",COUNTIF(BDD!H330:AR330,10)*'ButsMPG + Var'!$K$32+COUNTIF(BDD!H330:AR330,9)*'ButsMPG + Var'!$K$31+COUNTIF(BDD!H330:AR330,8)*'ButsMPG + Var'!$K$30+COUNTIF(BDD!H330:AR330,7)*'ButsMPG + Var'!$K$29+COUNTIF(BDD!H330:AR330,6)*'ButsMPG + Var'!$K$28+COUNTIF(BDD!H330:AR330,5)*'ButsMPG + Var'!$K$27+COUNTIF(BDD!H330:AR330,4)*'ButsMPG + Var'!$K$26+COUNTIF(BDD!H330:AR330,3)*'ButsMPG + Var'!$K$25+COUNTIF(BDD!H330:AR330,2)*'ButsMPG + Var'!$K$24+COUNTIF(BDD!H330:AR330,1)*'ButsMPG + Var'!$K$23,0)))</f>
        <v>0</v>
      </c>
      <c r="H327" s="25">
        <f t="shared" si="6"/>
        <v>0</v>
      </c>
      <c r="I327" s="25">
        <f>BDD!G330</f>
        <v>0</v>
      </c>
      <c r="J327" s="25">
        <f>SUMPRODUCT(BDD!H330:AS330,'ButsMPG + Var'!$B$46:$AM$46)</f>
        <v>0</v>
      </c>
      <c r="K327" s="25" t="e">
        <f>10*('ButsMPG + Var'!$H$37*J327/MAX(J:J)+'ButsMPG + Var'!$G$37*H327/MAX(H:H))</f>
        <v>#DIV/0!</v>
      </c>
      <c r="L327" s="1">
        <f>IF(ISNA(VLOOKUP(B327,PrixMini!$B$3:$E$573,4,FALSE)),1,VLOOKUP(B327,PrixMini!$B$3:$E$573,4,FALSE))</f>
        <v>1</v>
      </c>
      <c r="M327" s="25" t="e">
        <f>IF(ROUND(CalculCotation!$D$3*EXP(CalculCotation!$C$3*K327)-CalculCotation!$D$3+1,0)&gt;L327,ROUND(CalculCotation!$D$3*EXP(CalculCotation!$C$3*K327)-CalculCotation!$D$3+1,0),L327)</f>
        <v>#DIV/0!</v>
      </c>
    </row>
    <row r="328" spans="2:13" x14ac:dyDescent="0.3">
      <c r="B328" s="1">
        <f>BDD!C331</f>
        <v>0</v>
      </c>
      <c r="C328" s="1">
        <f>BDD!B331</f>
        <v>0</v>
      </c>
      <c r="D328" s="1">
        <f>BDD!A331</f>
        <v>0</v>
      </c>
      <c r="E328" s="1">
        <f>BDD!D331</f>
        <v>0</v>
      </c>
      <c r="F328" s="1">
        <f>BDD!F331</f>
        <v>0</v>
      </c>
      <c r="G328" s="25">
        <f>'ButsMPG + Var'!$I$39*IF(C328="A",COUNTIF(BDD!H331:AR331,10)*'ButsMPG + Var'!$K$12+COUNTIF(BDD!H331:AR331,9)*'ButsMPG + Var'!$K$11+COUNTIF(BDD!H331:AR331,8)*'ButsMPG + Var'!$K$10+COUNTIF(BDD!H331:AR331,7)*'ButsMPG + Var'!$K$9+COUNTIF(BDD!H331:AR331,6)*'ButsMPG + Var'!$K$8+COUNTIF(BDD!H331:AR331,5)*'ButsMPG + Var'!$K$7+COUNTIF(BDD!H331:AR331,4)*'ButsMPG + Var'!$K$6+COUNTIF(BDD!H331:AR331,3)*'ButsMPG + Var'!$K$5+COUNTIF(BDD!H331:AR331,2)*'ButsMPG + Var'!$K$4+COUNTIF(BDD!H331:AR331,1)*'ButsMPG + Var'!$K$3,IF(C328="M",COUNTIF(BDD!H331:AR331,10)*'ButsMPG + Var'!$K$22+COUNTIF(BDD!H331:AR331,9)*'ButsMPG + Var'!$K$21+COUNTIF(BDD!H331:AR331,8)*'ButsMPG + Var'!$K$20+COUNTIF(BDD!H331:AR331,7)*'ButsMPG + Var'!$K$19+COUNTIF(BDD!H331:AR331,6)*'ButsMPG + Var'!$K$18+COUNTIF(BDD!H331:AR331,5)*'ButsMPG + Var'!$K$17+COUNTIF(BDD!H331:AR331,4)*'ButsMPG + Var'!$K$16+COUNTIF(BDD!H331:AR331,3)*'ButsMPG + Var'!$K$15+COUNTIF(BDD!H331:AR331,2)*'ButsMPG + Var'!$K$14+COUNTIF(BDD!H331:AR331,1)*'ButsMPG + Var'!$K$13,IF(C328="D",COUNTIF(BDD!H331:AR331,10)*'ButsMPG + Var'!$K$32+COUNTIF(BDD!H331:AR331,9)*'ButsMPG + Var'!$K$31+COUNTIF(BDD!H331:AR331,8)*'ButsMPG + Var'!$K$30+COUNTIF(BDD!H331:AR331,7)*'ButsMPG + Var'!$K$29+COUNTIF(BDD!H331:AR331,6)*'ButsMPG + Var'!$K$28+COUNTIF(BDD!H331:AR331,5)*'ButsMPG + Var'!$K$27+COUNTIF(BDD!H331:AR331,4)*'ButsMPG + Var'!$K$26+COUNTIF(BDD!H331:AR331,3)*'ButsMPG + Var'!$K$25+COUNTIF(BDD!H331:AR331,2)*'ButsMPG + Var'!$K$24+COUNTIF(BDD!H331:AR331,1)*'ButsMPG + Var'!$K$23,0)))</f>
        <v>0</v>
      </c>
      <c r="H328" s="25">
        <f t="shared" si="6"/>
        <v>0</v>
      </c>
      <c r="I328" s="25">
        <f>BDD!G331</f>
        <v>0</v>
      </c>
      <c r="J328" s="25">
        <f>SUMPRODUCT(BDD!H331:AS331,'ButsMPG + Var'!$B$46:$AM$46)</f>
        <v>0</v>
      </c>
      <c r="K328" s="25" t="e">
        <f>10*('ButsMPG + Var'!$H$37*J328/MAX(J:J)+'ButsMPG + Var'!$G$37*H328/MAX(H:H))</f>
        <v>#DIV/0!</v>
      </c>
      <c r="L328" s="1">
        <f>IF(ISNA(VLOOKUP(B328,PrixMini!$B$3:$E$573,4,FALSE)),1,VLOOKUP(B328,PrixMini!$B$3:$E$573,4,FALSE))</f>
        <v>1</v>
      </c>
      <c r="M328" s="25" t="e">
        <f>IF(ROUND(CalculCotation!$D$3*EXP(CalculCotation!$C$3*K328)-CalculCotation!$D$3+1,0)&gt;L328,ROUND(CalculCotation!$D$3*EXP(CalculCotation!$C$3*K328)-CalculCotation!$D$3+1,0),L328)</f>
        <v>#DIV/0!</v>
      </c>
    </row>
    <row r="329" spans="2:13" x14ac:dyDescent="0.3">
      <c r="B329" s="1">
        <f>BDD!C332</f>
        <v>0</v>
      </c>
      <c r="C329" s="1">
        <f>BDD!B332</f>
        <v>0</v>
      </c>
      <c r="D329" s="1">
        <f>BDD!A332</f>
        <v>0</v>
      </c>
      <c r="E329" s="1">
        <f>BDD!D332</f>
        <v>0</v>
      </c>
      <c r="F329" s="1">
        <f>BDD!F332</f>
        <v>0</v>
      </c>
      <c r="G329" s="25">
        <f>'ButsMPG + Var'!$I$39*IF(C329="A",COUNTIF(BDD!H332:AR332,10)*'ButsMPG + Var'!$K$12+COUNTIF(BDD!H332:AR332,9)*'ButsMPG + Var'!$K$11+COUNTIF(BDD!H332:AR332,8)*'ButsMPG + Var'!$K$10+COUNTIF(BDD!H332:AR332,7)*'ButsMPG + Var'!$K$9+COUNTIF(BDD!H332:AR332,6)*'ButsMPG + Var'!$K$8+COUNTIF(BDD!H332:AR332,5)*'ButsMPG + Var'!$K$7+COUNTIF(BDD!H332:AR332,4)*'ButsMPG + Var'!$K$6+COUNTIF(BDD!H332:AR332,3)*'ButsMPG + Var'!$K$5+COUNTIF(BDD!H332:AR332,2)*'ButsMPG + Var'!$K$4+COUNTIF(BDD!H332:AR332,1)*'ButsMPG + Var'!$K$3,IF(C329="M",COUNTIF(BDD!H332:AR332,10)*'ButsMPG + Var'!$K$22+COUNTIF(BDD!H332:AR332,9)*'ButsMPG + Var'!$K$21+COUNTIF(BDD!H332:AR332,8)*'ButsMPG + Var'!$K$20+COUNTIF(BDD!H332:AR332,7)*'ButsMPG + Var'!$K$19+COUNTIF(BDD!H332:AR332,6)*'ButsMPG + Var'!$K$18+COUNTIF(BDD!H332:AR332,5)*'ButsMPG + Var'!$K$17+COUNTIF(BDD!H332:AR332,4)*'ButsMPG + Var'!$K$16+COUNTIF(BDD!H332:AR332,3)*'ButsMPG + Var'!$K$15+COUNTIF(BDD!H332:AR332,2)*'ButsMPG + Var'!$K$14+COUNTIF(BDD!H332:AR332,1)*'ButsMPG + Var'!$K$13,IF(C329="D",COUNTIF(BDD!H332:AR332,10)*'ButsMPG + Var'!$K$32+COUNTIF(BDD!H332:AR332,9)*'ButsMPG + Var'!$K$31+COUNTIF(BDD!H332:AR332,8)*'ButsMPG + Var'!$K$30+COUNTIF(BDD!H332:AR332,7)*'ButsMPG + Var'!$K$29+COUNTIF(BDD!H332:AR332,6)*'ButsMPG + Var'!$K$28+COUNTIF(BDD!H332:AR332,5)*'ButsMPG + Var'!$K$27+COUNTIF(BDD!H332:AR332,4)*'ButsMPG + Var'!$K$26+COUNTIF(BDD!H332:AR332,3)*'ButsMPG + Var'!$K$25+COUNTIF(BDD!H332:AR332,2)*'ButsMPG + Var'!$K$24+COUNTIF(BDD!H332:AR332,1)*'ButsMPG + Var'!$K$23,0)))</f>
        <v>0</v>
      </c>
      <c r="H329" s="25">
        <f t="shared" si="6"/>
        <v>0</v>
      </c>
      <c r="I329" s="25">
        <f>BDD!G332</f>
        <v>0</v>
      </c>
      <c r="J329" s="25">
        <f>SUMPRODUCT(BDD!H332:AS332,'ButsMPG + Var'!$B$46:$AM$46)</f>
        <v>0</v>
      </c>
      <c r="K329" s="25" t="e">
        <f>10*('ButsMPG + Var'!$H$37*J329/MAX(J:J)+'ButsMPG + Var'!$G$37*H329/MAX(H:H))</f>
        <v>#DIV/0!</v>
      </c>
      <c r="L329" s="1">
        <f>IF(ISNA(VLOOKUP(B329,PrixMini!$B$3:$E$573,4,FALSE)),1,VLOOKUP(B329,PrixMini!$B$3:$E$573,4,FALSE))</f>
        <v>1</v>
      </c>
      <c r="M329" s="25" t="e">
        <f>IF(ROUND(CalculCotation!$D$3*EXP(CalculCotation!$C$3*K329)-CalculCotation!$D$3+1,0)&gt;L329,ROUND(CalculCotation!$D$3*EXP(CalculCotation!$C$3*K329)-CalculCotation!$D$3+1,0),L329)</f>
        <v>#DIV/0!</v>
      </c>
    </row>
    <row r="330" spans="2:13" x14ac:dyDescent="0.3">
      <c r="B330" s="1">
        <f>BDD!C333</f>
        <v>0</v>
      </c>
      <c r="C330" s="1">
        <f>BDD!B333</f>
        <v>0</v>
      </c>
      <c r="D330" s="1">
        <f>BDD!A333</f>
        <v>0</v>
      </c>
      <c r="E330" s="1">
        <f>BDD!D333</f>
        <v>0</v>
      </c>
      <c r="F330" s="1">
        <f>BDD!F333</f>
        <v>0</v>
      </c>
      <c r="G330" s="25">
        <f>'ButsMPG + Var'!$I$39*IF(C330="A",COUNTIF(BDD!H333:AR333,10)*'ButsMPG + Var'!$K$12+COUNTIF(BDD!H333:AR333,9)*'ButsMPG + Var'!$K$11+COUNTIF(BDD!H333:AR333,8)*'ButsMPG + Var'!$K$10+COUNTIF(BDD!H333:AR333,7)*'ButsMPG + Var'!$K$9+COUNTIF(BDD!H333:AR333,6)*'ButsMPG + Var'!$K$8+COUNTIF(BDD!H333:AR333,5)*'ButsMPG + Var'!$K$7+COUNTIF(BDD!H333:AR333,4)*'ButsMPG + Var'!$K$6+COUNTIF(BDD!H333:AR333,3)*'ButsMPG + Var'!$K$5+COUNTIF(BDD!H333:AR333,2)*'ButsMPG + Var'!$K$4+COUNTIF(BDD!H333:AR333,1)*'ButsMPG + Var'!$K$3,IF(C330="M",COUNTIF(BDD!H333:AR333,10)*'ButsMPG + Var'!$K$22+COUNTIF(BDD!H333:AR333,9)*'ButsMPG + Var'!$K$21+COUNTIF(BDD!H333:AR333,8)*'ButsMPG + Var'!$K$20+COUNTIF(BDD!H333:AR333,7)*'ButsMPG + Var'!$K$19+COUNTIF(BDD!H333:AR333,6)*'ButsMPG + Var'!$K$18+COUNTIF(BDD!H333:AR333,5)*'ButsMPG + Var'!$K$17+COUNTIF(BDD!H333:AR333,4)*'ButsMPG + Var'!$K$16+COUNTIF(BDD!H333:AR333,3)*'ButsMPG + Var'!$K$15+COUNTIF(BDD!H333:AR333,2)*'ButsMPG + Var'!$K$14+COUNTIF(BDD!H333:AR333,1)*'ButsMPG + Var'!$K$13,IF(C330="D",COUNTIF(BDD!H333:AR333,10)*'ButsMPG + Var'!$K$32+COUNTIF(BDD!H333:AR333,9)*'ButsMPG + Var'!$K$31+COUNTIF(BDD!H333:AR333,8)*'ButsMPG + Var'!$K$30+COUNTIF(BDD!H333:AR333,7)*'ButsMPG + Var'!$K$29+COUNTIF(BDD!H333:AR333,6)*'ButsMPG + Var'!$K$28+COUNTIF(BDD!H333:AR333,5)*'ButsMPG + Var'!$K$27+COUNTIF(BDD!H333:AR333,4)*'ButsMPG + Var'!$K$26+COUNTIF(BDD!H333:AR333,3)*'ButsMPG + Var'!$K$25+COUNTIF(BDD!H333:AR333,2)*'ButsMPG + Var'!$K$24+COUNTIF(BDD!H333:AR333,1)*'ButsMPG + Var'!$K$23,0)))</f>
        <v>0</v>
      </c>
      <c r="H330" s="25">
        <f t="shared" si="6"/>
        <v>0</v>
      </c>
      <c r="I330" s="25">
        <f>BDD!G333</f>
        <v>0</v>
      </c>
      <c r="J330" s="25">
        <f>SUMPRODUCT(BDD!H333:AS333,'ButsMPG + Var'!$B$46:$AM$46)</f>
        <v>0</v>
      </c>
      <c r="K330" s="25" t="e">
        <f>10*('ButsMPG + Var'!$H$37*J330/MAX(J:J)+'ButsMPG + Var'!$G$37*H330/MAX(H:H))</f>
        <v>#DIV/0!</v>
      </c>
      <c r="L330" s="1">
        <f>IF(ISNA(VLOOKUP(B330,PrixMini!$B$3:$E$573,4,FALSE)),1,VLOOKUP(B330,PrixMini!$B$3:$E$573,4,FALSE))</f>
        <v>1</v>
      </c>
      <c r="M330" s="25" t="e">
        <f>IF(ROUND(CalculCotation!$D$3*EXP(CalculCotation!$C$3*K330)-CalculCotation!$D$3+1,0)&gt;L330,ROUND(CalculCotation!$D$3*EXP(CalculCotation!$C$3*K330)-CalculCotation!$D$3+1,0),L330)</f>
        <v>#DIV/0!</v>
      </c>
    </row>
    <row r="331" spans="2:13" x14ac:dyDescent="0.3">
      <c r="B331" s="1">
        <f>BDD!C334</f>
        <v>0</v>
      </c>
      <c r="C331" s="1">
        <f>BDD!B334</f>
        <v>0</v>
      </c>
      <c r="D331" s="1">
        <f>BDD!A334</f>
        <v>0</v>
      </c>
      <c r="E331" s="1">
        <f>BDD!D334</f>
        <v>0</v>
      </c>
      <c r="F331" s="1">
        <f>BDD!F334</f>
        <v>0</v>
      </c>
      <c r="G331" s="25">
        <f>'ButsMPG + Var'!$I$39*IF(C331="A",COUNTIF(BDD!H334:AR334,10)*'ButsMPG + Var'!$K$12+COUNTIF(BDD!H334:AR334,9)*'ButsMPG + Var'!$K$11+COUNTIF(BDD!H334:AR334,8)*'ButsMPG + Var'!$K$10+COUNTIF(BDD!H334:AR334,7)*'ButsMPG + Var'!$K$9+COUNTIF(BDD!H334:AR334,6)*'ButsMPG + Var'!$K$8+COUNTIF(BDD!H334:AR334,5)*'ButsMPG + Var'!$K$7+COUNTIF(BDD!H334:AR334,4)*'ButsMPG + Var'!$K$6+COUNTIF(BDD!H334:AR334,3)*'ButsMPG + Var'!$K$5+COUNTIF(BDD!H334:AR334,2)*'ButsMPG + Var'!$K$4+COUNTIF(BDD!H334:AR334,1)*'ButsMPG + Var'!$K$3,IF(C331="M",COUNTIF(BDD!H334:AR334,10)*'ButsMPG + Var'!$K$22+COUNTIF(BDD!H334:AR334,9)*'ButsMPG + Var'!$K$21+COUNTIF(BDD!H334:AR334,8)*'ButsMPG + Var'!$K$20+COUNTIF(BDD!H334:AR334,7)*'ButsMPG + Var'!$K$19+COUNTIF(BDD!H334:AR334,6)*'ButsMPG + Var'!$K$18+COUNTIF(BDD!H334:AR334,5)*'ButsMPG + Var'!$K$17+COUNTIF(BDD!H334:AR334,4)*'ButsMPG + Var'!$K$16+COUNTIF(BDD!H334:AR334,3)*'ButsMPG + Var'!$K$15+COUNTIF(BDD!H334:AR334,2)*'ButsMPG + Var'!$K$14+COUNTIF(BDD!H334:AR334,1)*'ButsMPG + Var'!$K$13,IF(C331="D",COUNTIF(BDD!H334:AR334,10)*'ButsMPG + Var'!$K$32+COUNTIF(BDD!H334:AR334,9)*'ButsMPG + Var'!$K$31+COUNTIF(BDD!H334:AR334,8)*'ButsMPG + Var'!$K$30+COUNTIF(BDD!H334:AR334,7)*'ButsMPG + Var'!$K$29+COUNTIF(BDD!H334:AR334,6)*'ButsMPG + Var'!$K$28+COUNTIF(BDD!H334:AR334,5)*'ButsMPG + Var'!$K$27+COUNTIF(BDD!H334:AR334,4)*'ButsMPG + Var'!$K$26+COUNTIF(BDD!H334:AR334,3)*'ButsMPG + Var'!$K$25+COUNTIF(BDD!H334:AR334,2)*'ButsMPG + Var'!$K$24+COUNTIF(BDD!H334:AR334,1)*'ButsMPG + Var'!$K$23,0)))</f>
        <v>0</v>
      </c>
      <c r="H331" s="25">
        <f t="shared" si="6"/>
        <v>0</v>
      </c>
      <c r="I331" s="25">
        <f>BDD!G334</f>
        <v>0</v>
      </c>
      <c r="J331" s="25">
        <f>SUMPRODUCT(BDD!H334:AS334,'ButsMPG + Var'!$B$46:$AM$46)</f>
        <v>0</v>
      </c>
      <c r="K331" s="25" t="e">
        <f>10*('ButsMPG + Var'!$H$37*J331/MAX(J:J)+'ButsMPG + Var'!$G$37*H331/MAX(H:H))</f>
        <v>#DIV/0!</v>
      </c>
      <c r="L331" s="1">
        <f>IF(ISNA(VLOOKUP(B331,PrixMini!$B$3:$E$573,4,FALSE)),1,VLOOKUP(B331,PrixMini!$B$3:$E$573,4,FALSE))</f>
        <v>1</v>
      </c>
      <c r="M331" s="25" t="e">
        <f>IF(ROUND(CalculCotation!$D$3*EXP(CalculCotation!$C$3*K331)-CalculCotation!$D$3+1,0)&gt;L331,ROUND(CalculCotation!$D$3*EXP(CalculCotation!$C$3*K331)-CalculCotation!$D$3+1,0),L331)</f>
        <v>#DIV/0!</v>
      </c>
    </row>
    <row r="332" spans="2:13" x14ac:dyDescent="0.3">
      <c r="B332" s="1">
        <f>BDD!C335</f>
        <v>0</v>
      </c>
      <c r="C332" s="1">
        <f>BDD!B335</f>
        <v>0</v>
      </c>
      <c r="D332" s="1">
        <f>BDD!A335</f>
        <v>0</v>
      </c>
      <c r="E332" s="1">
        <f>BDD!D335</f>
        <v>0</v>
      </c>
      <c r="F332" s="1">
        <f>BDD!F335</f>
        <v>0</v>
      </c>
      <c r="G332" s="25">
        <f>'ButsMPG + Var'!$I$39*IF(C332="A",COUNTIF(BDD!H335:AR335,10)*'ButsMPG + Var'!$K$12+COUNTIF(BDD!H335:AR335,9)*'ButsMPG + Var'!$K$11+COUNTIF(BDD!H335:AR335,8)*'ButsMPG + Var'!$K$10+COUNTIF(BDD!H335:AR335,7)*'ButsMPG + Var'!$K$9+COUNTIF(BDD!H335:AR335,6)*'ButsMPG + Var'!$K$8+COUNTIF(BDD!H335:AR335,5)*'ButsMPG + Var'!$K$7+COUNTIF(BDD!H335:AR335,4)*'ButsMPG + Var'!$K$6+COUNTIF(BDD!H335:AR335,3)*'ButsMPG + Var'!$K$5+COUNTIF(BDD!H335:AR335,2)*'ButsMPG + Var'!$K$4+COUNTIF(BDD!H335:AR335,1)*'ButsMPG + Var'!$K$3,IF(C332="M",COUNTIF(BDD!H335:AR335,10)*'ButsMPG + Var'!$K$22+COUNTIF(BDD!H335:AR335,9)*'ButsMPG + Var'!$K$21+COUNTIF(BDD!H335:AR335,8)*'ButsMPG + Var'!$K$20+COUNTIF(BDD!H335:AR335,7)*'ButsMPG + Var'!$K$19+COUNTIF(BDD!H335:AR335,6)*'ButsMPG + Var'!$K$18+COUNTIF(BDD!H335:AR335,5)*'ButsMPG + Var'!$K$17+COUNTIF(BDD!H335:AR335,4)*'ButsMPG + Var'!$K$16+COUNTIF(BDD!H335:AR335,3)*'ButsMPG + Var'!$K$15+COUNTIF(BDD!H335:AR335,2)*'ButsMPG + Var'!$K$14+COUNTIF(BDD!H335:AR335,1)*'ButsMPG + Var'!$K$13,IF(C332="D",COUNTIF(BDD!H335:AR335,10)*'ButsMPG + Var'!$K$32+COUNTIF(BDD!H335:AR335,9)*'ButsMPG + Var'!$K$31+COUNTIF(BDD!H335:AR335,8)*'ButsMPG + Var'!$K$30+COUNTIF(BDD!H335:AR335,7)*'ButsMPG + Var'!$K$29+COUNTIF(BDD!H335:AR335,6)*'ButsMPG + Var'!$K$28+COUNTIF(BDD!H335:AR335,5)*'ButsMPG + Var'!$K$27+COUNTIF(BDD!H335:AR335,4)*'ButsMPG + Var'!$K$26+COUNTIF(BDD!H335:AR335,3)*'ButsMPG + Var'!$K$25+COUNTIF(BDD!H335:AR335,2)*'ButsMPG + Var'!$K$24+COUNTIF(BDD!H335:AR335,1)*'ButsMPG + Var'!$K$23,0)))</f>
        <v>0</v>
      </c>
      <c r="H332" s="25">
        <f t="shared" si="6"/>
        <v>0</v>
      </c>
      <c r="I332" s="25">
        <f>BDD!G335</f>
        <v>0</v>
      </c>
      <c r="J332" s="25">
        <f>SUMPRODUCT(BDD!H335:AS335,'ButsMPG + Var'!$B$46:$AM$46)</f>
        <v>0</v>
      </c>
      <c r="K332" s="25" t="e">
        <f>10*('ButsMPG + Var'!$H$37*J332/MAX(J:J)+'ButsMPG + Var'!$G$37*H332/MAX(H:H))</f>
        <v>#DIV/0!</v>
      </c>
      <c r="L332" s="1">
        <f>IF(ISNA(VLOOKUP(B332,PrixMini!$B$3:$E$573,4,FALSE)),1,VLOOKUP(B332,PrixMini!$B$3:$E$573,4,FALSE))</f>
        <v>1</v>
      </c>
      <c r="M332" s="25" t="e">
        <f>IF(ROUND(CalculCotation!$D$3*EXP(CalculCotation!$C$3*K332)-CalculCotation!$D$3+1,0)&gt;L332,ROUND(CalculCotation!$D$3*EXP(CalculCotation!$C$3*K332)-CalculCotation!$D$3+1,0),L332)</f>
        <v>#DIV/0!</v>
      </c>
    </row>
    <row r="333" spans="2:13" x14ac:dyDescent="0.3">
      <c r="B333" s="1">
        <f>BDD!C336</f>
        <v>0</v>
      </c>
      <c r="C333" s="1">
        <f>BDD!B336</f>
        <v>0</v>
      </c>
      <c r="D333" s="1">
        <f>BDD!A336</f>
        <v>0</v>
      </c>
      <c r="E333" s="1">
        <f>BDD!D336</f>
        <v>0</v>
      </c>
      <c r="F333" s="1">
        <f>BDD!F336</f>
        <v>0</v>
      </c>
      <c r="G333" s="25">
        <f>'ButsMPG + Var'!$I$39*IF(C333="A",COUNTIF(BDD!H336:AR336,10)*'ButsMPG + Var'!$K$12+COUNTIF(BDD!H336:AR336,9)*'ButsMPG + Var'!$K$11+COUNTIF(BDD!H336:AR336,8)*'ButsMPG + Var'!$K$10+COUNTIF(BDD!H336:AR336,7)*'ButsMPG + Var'!$K$9+COUNTIF(BDD!H336:AR336,6)*'ButsMPG + Var'!$K$8+COUNTIF(BDD!H336:AR336,5)*'ButsMPG + Var'!$K$7+COUNTIF(BDD!H336:AR336,4)*'ButsMPG + Var'!$K$6+COUNTIF(BDD!H336:AR336,3)*'ButsMPG + Var'!$K$5+COUNTIF(BDD!H336:AR336,2)*'ButsMPG + Var'!$K$4+COUNTIF(BDD!H336:AR336,1)*'ButsMPG + Var'!$K$3,IF(C333="M",COUNTIF(BDD!H336:AR336,10)*'ButsMPG + Var'!$K$22+COUNTIF(BDD!H336:AR336,9)*'ButsMPG + Var'!$K$21+COUNTIF(BDD!H336:AR336,8)*'ButsMPG + Var'!$K$20+COUNTIF(BDD!H336:AR336,7)*'ButsMPG + Var'!$K$19+COUNTIF(BDD!H336:AR336,6)*'ButsMPG + Var'!$K$18+COUNTIF(BDD!H336:AR336,5)*'ButsMPG + Var'!$K$17+COUNTIF(BDD!H336:AR336,4)*'ButsMPG + Var'!$K$16+COUNTIF(BDD!H336:AR336,3)*'ButsMPG + Var'!$K$15+COUNTIF(BDD!H336:AR336,2)*'ButsMPG + Var'!$K$14+COUNTIF(BDD!H336:AR336,1)*'ButsMPG + Var'!$K$13,IF(C333="D",COUNTIF(BDD!H336:AR336,10)*'ButsMPG + Var'!$K$32+COUNTIF(BDD!H336:AR336,9)*'ButsMPG + Var'!$K$31+COUNTIF(BDD!H336:AR336,8)*'ButsMPG + Var'!$K$30+COUNTIF(BDD!H336:AR336,7)*'ButsMPG + Var'!$K$29+COUNTIF(BDD!H336:AR336,6)*'ButsMPG + Var'!$K$28+COUNTIF(BDD!H336:AR336,5)*'ButsMPG + Var'!$K$27+COUNTIF(BDD!H336:AR336,4)*'ButsMPG + Var'!$K$26+COUNTIF(BDD!H336:AR336,3)*'ButsMPG + Var'!$K$25+COUNTIF(BDD!H336:AR336,2)*'ButsMPG + Var'!$K$24+COUNTIF(BDD!H336:AR336,1)*'ButsMPG + Var'!$K$23,0)))</f>
        <v>0</v>
      </c>
      <c r="H333" s="25">
        <f t="shared" si="6"/>
        <v>0</v>
      </c>
      <c r="I333" s="25">
        <f>BDD!G336</f>
        <v>0</v>
      </c>
      <c r="J333" s="25">
        <f>SUMPRODUCT(BDD!H336:AS336,'ButsMPG + Var'!$B$46:$AM$46)</f>
        <v>0</v>
      </c>
      <c r="K333" s="25" t="e">
        <f>10*('ButsMPG + Var'!$H$37*J333/MAX(J:J)+'ButsMPG + Var'!$G$37*H333/MAX(H:H))</f>
        <v>#DIV/0!</v>
      </c>
      <c r="L333" s="1">
        <f>IF(ISNA(VLOOKUP(B333,PrixMini!$B$3:$E$573,4,FALSE)),1,VLOOKUP(B333,PrixMini!$B$3:$E$573,4,FALSE))</f>
        <v>1</v>
      </c>
      <c r="M333" s="25" t="e">
        <f>IF(ROUND(CalculCotation!$D$3*EXP(CalculCotation!$C$3*K333)-CalculCotation!$D$3+1,0)&gt;L333,ROUND(CalculCotation!$D$3*EXP(CalculCotation!$C$3*K333)-CalculCotation!$D$3+1,0),L333)</f>
        <v>#DIV/0!</v>
      </c>
    </row>
    <row r="334" spans="2:13" x14ac:dyDescent="0.3">
      <c r="B334" s="1">
        <f>BDD!C337</f>
        <v>0</v>
      </c>
      <c r="C334" s="1">
        <f>BDD!B337</f>
        <v>0</v>
      </c>
      <c r="D334" s="1">
        <f>BDD!A337</f>
        <v>0</v>
      </c>
      <c r="E334" s="1">
        <f>BDD!D337</f>
        <v>0</v>
      </c>
      <c r="F334" s="1">
        <f>BDD!F337</f>
        <v>0</v>
      </c>
      <c r="G334" s="25">
        <f>'ButsMPG + Var'!$I$39*IF(C334="A",COUNTIF(BDD!H337:AR337,10)*'ButsMPG + Var'!$K$12+COUNTIF(BDD!H337:AR337,9)*'ButsMPG + Var'!$K$11+COUNTIF(BDD!H337:AR337,8)*'ButsMPG + Var'!$K$10+COUNTIF(BDD!H337:AR337,7)*'ButsMPG + Var'!$K$9+COUNTIF(BDD!H337:AR337,6)*'ButsMPG + Var'!$K$8+COUNTIF(BDD!H337:AR337,5)*'ButsMPG + Var'!$K$7+COUNTIF(BDD!H337:AR337,4)*'ButsMPG + Var'!$K$6+COUNTIF(BDD!H337:AR337,3)*'ButsMPG + Var'!$K$5+COUNTIF(BDD!H337:AR337,2)*'ButsMPG + Var'!$K$4+COUNTIF(BDD!H337:AR337,1)*'ButsMPG + Var'!$K$3,IF(C334="M",COUNTIF(BDD!H337:AR337,10)*'ButsMPG + Var'!$K$22+COUNTIF(BDD!H337:AR337,9)*'ButsMPG + Var'!$K$21+COUNTIF(BDD!H337:AR337,8)*'ButsMPG + Var'!$K$20+COUNTIF(BDD!H337:AR337,7)*'ButsMPG + Var'!$K$19+COUNTIF(BDD!H337:AR337,6)*'ButsMPG + Var'!$K$18+COUNTIF(BDD!H337:AR337,5)*'ButsMPG + Var'!$K$17+COUNTIF(BDD!H337:AR337,4)*'ButsMPG + Var'!$K$16+COUNTIF(BDD!H337:AR337,3)*'ButsMPG + Var'!$K$15+COUNTIF(BDD!H337:AR337,2)*'ButsMPG + Var'!$K$14+COUNTIF(BDD!H337:AR337,1)*'ButsMPG + Var'!$K$13,IF(C334="D",COUNTIF(BDD!H337:AR337,10)*'ButsMPG + Var'!$K$32+COUNTIF(BDD!H337:AR337,9)*'ButsMPG + Var'!$K$31+COUNTIF(BDD!H337:AR337,8)*'ButsMPG + Var'!$K$30+COUNTIF(BDD!H337:AR337,7)*'ButsMPG + Var'!$K$29+COUNTIF(BDD!H337:AR337,6)*'ButsMPG + Var'!$K$28+COUNTIF(BDD!H337:AR337,5)*'ButsMPG + Var'!$K$27+COUNTIF(BDD!H337:AR337,4)*'ButsMPG + Var'!$K$26+COUNTIF(BDD!H337:AR337,3)*'ButsMPG + Var'!$K$25+COUNTIF(BDD!H337:AR337,2)*'ButsMPG + Var'!$K$24+COUNTIF(BDD!H337:AR337,1)*'ButsMPG + Var'!$K$23,0)))</f>
        <v>0</v>
      </c>
      <c r="H334" s="25">
        <f t="shared" si="6"/>
        <v>0</v>
      </c>
      <c r="I334" s="25">
        <f>BDD!G337</f>
        <v>0</v>
      </c>
      <c r="J334" s="25">
        <f>SUMPRODUCT(BDD!H337:AS337,'ButsMPG + Var'!$B$46:$AM$46)</f>
        <v>0</v>
      </c>
      <c r="K334" s="25" t="e">
        <f>10*('ButsMPG + Var'!$H$37*J334/MAX(J:J)+'ButsMPG + Var'!$G$37*H334/MAX(H:H))</f>
        <v>#DIV/0!</v>
      </c>
      <c r="L334" s="1">
        <f>IF(ISNA(VLOOKUP(B334,PrixMini!$B$3:$E$573,4,FALSE)),1,VLOOKUP(B334,PrixMini!$B$3:$E$573,4,FALSE))</f>
        <v>1</v>
      </c>
      <c r="M334" s="25" t="e">
        <f>IF(ROUND(CalculCotation!$D$3*EXP(CalculCotation!$C$3*K334)-CalculCotation!$D$3+1,0)&gt;L334,ROUND(CalculCotation!$D$3*EXP(CalculCotation!$C$3*K334)-CalculCotation!$D$3+1,0),L334)</f>
        <v>#DIV/0!</v>
      </c>
    </row>
    <row r="335" spans="2:13" x14ac:dyDescent="0.3">
      <c r="B335" s="1">
        <f>BDD!C338</f>
        <v>0</v>
      </c>
      <c r="C335" s="1">
        <f>BDD!B338</f>
        <v>0</v>
      </c>
      <c r="D335" s="1">
        <f>BDD!A338</f>
        <v>0</v>
      </c>
      <c r="E335" s="1">
        <f>BDD!D338</f>
        <v>0</v>
      </c>
      <c r="F335" s="1">
        <f>BDD!F338</f>
        <v>0</v>
      </c>
      <c r="G335" s="25">
        <f>'ButsMPG + Var'!$I$39*IF(C335="A",COUNTIF(BDD!H338:AR338,10)*'ButsMPG + Var'!$K$12+COUNTIF(BDD!H338:AR338,9)*'ButsMPG + Var'!$K$11+COUNTIF(BDD!H338:AR338,8)*'ButsMPG + Var'!$K$10+COUNTIF(BDD!H338:AR338,7)*'ButsMPG + Var'!$K$9+COUNTIF(BDD!H338:AR338,6)*'ButsMPG + Var'!$K$8+COUNTIF(BDD!H338:AR338,5)*'ButsMPG + Var'!$K$7+COUNTIF(BDD!H338:AR338,4)*'ButsMPG + Var'!$K$6+COUNTIF(BDD!H338:AR338,3)*'ButsMPG + Var'!$K$5+COUNTIF(BDD!H338:AR338,2)*'ButsMPG + Var'!$K$4+COUNTIF(BDD!H338:AR338,1)*'ButsMPG + Var'!$K$3,IF(C335="M",COUNTIF(BDD!H338:AR338,10)*'ButsMPG + Var'!$K$22+COUNTIF(BDD!H338:AR338,9)*'ButsMPG + Var'!$K$21+COUNTIF(BDD!H338:AR338,8)*'ButsMPG + Var'!$K$20+COUNTIF(BDD!H338:AR338,7)*'ButsMPG + Var'!$K$19+COUNTIF(BDD!H338:AR338,6)*'ButsMPG + Var'!$K$18+COUNTIF(BDD!H338:AR338,5)*'ButsMPG + Var'!$K$17+COUNTIF(BDD!H338:AR338,4)*'ButsMPG + Var'!$K$16+COUNTIF(BDD!H338:AR338,3)*'ButsMPG + Var'!$K$15+COUNTIF(BDD!H338:AR338,2)*'ButsMPG + Var'!$K$14+COUNTIF(BDD!H338:AR338,1)*'ButsMPG + Var'!$K$13,IF(C335="D",COUNTIF(BDD!H338:AR338,10)*'ButsMPG + Var'!$K$32+COUNTIF(BDD!H338:AR338,9)*'ButsMPG + Var'!$K$31+COUNTIF(BDD!H338:AR338,8)*'ButsMPG + Var'!$K$30+COUNTIF(BDD!H338:AR338,7)*'ButsMPG + Var'!$K$29+COUNTIF(BDD!H338:AR338,6)*'ButsMPG + Var'!$K$28+COUNTIF(BDD!H338:AR338,5)*'ButsMPG + Var'!$K$27+COUNTIF(BDD!H338:AR338,4)*'ButsMPG + Var'!$K$26+COUNTIF(BDD!H338:AR338,3)*'ButsMPG + Var'!$K$25+COUNTIF(BDD!H338:AR338,2)*'ButsMPG + Var'!$K$24+COUNTIF(BDD!H338:AR338,1)*'ButsMPG + Var'!$K$23,0)))</f>
        <v>0</v>
      </c>
      <c r="H335" s="25">
        <f t="shared" si="6"/>
        <v>0</v>
      </c>
      <c r="I335" s="25">
        <f>BDD!G338</f>
        <v>0</v>
      </c>
      <c r="J335" s="25">
        <f>SUMPRODUCT(BDD!H338:AS338,'ButsMPG + Var'!$B$46:$AM$46)</f>
        <v>0</v>
      </c>
      <c r="K335" s="25" t="e">
        <f>10*('ButsMPG + Var'!$H$37*J335/MAX(J:J)+'ButsMPG + Var'!$G$37*H335/MAX(H:H))</f>
        <v>#DIV/0!</v>
      </c>
      <c r="L335" s="1">
        <f>IF(ISNA(VLOOKUP(B335,PrixMini!$B$3:$E$573,4,FALSE)),1,VLOOKUP(B335,PrixMini!$B$3:$E$573,4,FALSE))</f>
        <v>1</v>
      </c>
      <c r="M335" s="25" t="e">
        <f>IF(ROUND(CalculCotation!$D$3*EXP(CalculCotation!$C$3*K335)-CalculCotation!$D$3+1,0)&gt;L335,ROUND(CalculCotation!$D$3*EXP(CalculCotation!$C$3*K335)-CalculCotation!$D$3+1,0),L335)</f>
        <v>#DIV/0!</v>
      </c>
    </row>
    <row r="336" spans="2:13" x14ac:dyDescent="0.3">
      <c r="B336" s="1">
        <f>BDD!C339</f>
        <v>0</v>
      </c>
      <c r="C336" s="1">
        <f>BDD!B339</f>
        <v>0</v>
      </c>
      <c r="D336" s="1">
        <f>BDD!A339</f>
        <v>0</v>
      </c>
      <c r="E336" s="1">
        <f>BDD!D339</f>
        <v>0</v>
      </c>
      <c r="F336" s="1">
        <f>BDD!F339</f>
        <v>0</v>
      </c>
      <c r="G336" s="25">
        <f>'ButsMPG + Var'!$I$39*IF(C336="A",COUNTIF(BDD!H339:AR339,10)*'ButsMPG + Var'!$K$12+COUNTIF(BDD!H339:AR339,9)*'ButsMPG + Var'!$K$11+COUNTIF(BDD!H339:AR339,8)*'ButsMPG + Var'!$K$10+COUNTIF(BDD!H339:AR339,7)*'ButsMPG + Var'!$K$9+COUNTIF(BDD!H339:AR339,6)*'ButsMPG + Var'!$K$8+COUNTIF(BDD!H339:AR339,5)*'ButsMPG + Var'!$K$7+COUNTIF(BDD!H339:AR339,4)*'ButsMPG + Var'!$K$6+COUNTIF(BDD!H339:AR339,3)*'ButsMPG + Var'!$K$5+COUNTIF(BDD!H339:AR339,2)*'ButsMPG + Var'!$K$4+COUNTIF(BDD!H339:AR339,1)*'ButsMPG + Var'!$K$3,IF(C336="M",COUNTIF(BDD!H339:AR339,10)*'ButsMPG + Var'!$K$22+COUNTIF(BDD!H339:AR339,9)*'ButsMPG + Var'!$K$21+COUNTIF(BDD!H339:AR339,8)*'ButsMPG + Var'!$K$20+COUNTIF(BDD!H339:AR339,7)*'ButsMPG + Var'!$K$19+COUNTIF(BDD!H339:AR339,6)*'ButsMPG + Var'!$K$18+COUNTIF(BDD!H339:AR339,5)*'ButsMPG + Var'!$K$17+COUNTIF(BDD!H339:AR339,4)*'ButsMPG + Var'!$K$16+COUNTIF(BDD!H339:AR339,3)*'ButsMPG + Var'!$K$15+COUNTIF(BDD!H339:AR339,2)*'ButsMPG + Var'!$K$14+COUNTIF(BDD!H339:AR339,1)*'ButsMPG + Var'!$K$13,IF(C336="D",COUNTIF(BDD!H339:AR339,10)*'ButsMPG + Var'!$K$32+COUNTIF(BDD!H339:AR339,9)*'ButsMPG + Var'!$K$31+COUNTIF(BDD!H339:AR339,8)*'ButsMPG + Var'!$K$30+COUNTIF(BDD!H339:AR339,7)*'ButsMPG + Var'!$K$29+COUNTIF(BDD!H339:AR339,6)*'ButsMPG + Var'!$K$28+COUNTIF(BDD!H339:AR339,5)*'ButsMPG + Var'!$K$27+COUNTIF(BDD!H339:AR339,4)*'ButsMPG + Var'!$K$26+COUNTIF(BDD!H339:AR339,3)*'ButsMPG + Var'!$K$25+COUNTIF(BDD!H339:AR339,2)*'ButsMPG + Var'!$K$24+COUNTIF(BDD!H339:AR339,1)*'ButsMPG + Var'!$K$23,0)))</f>
        <v>0</v>
      </c>
      <c r="H336" s="25">
        <f t="shared" si="6"/>
        <v>0</v>
      </c>
      <c r="I336" s="25">
        <f>BDD!G339</f>
        <v>0</v>
      </c>
      <c r="J336" s="25">
        <f>SUMPRODUCT(BDD!H339:AS339,'ButsMPG + Var'!$B$46:$AM$46)</f>
        <v>0</v>
      </c>
      <c r="K336" s="25" t="e">
        <f>10*('ButsMPG + Var'!$H$37*J336/MAX(J:J)+'ButsMPG + Var'!$G$37*H336/MAX(H:H))</f>
        <v>#DIV/0!</v>
      </c>
      <c r="L336" s="1">
        <f>IF(ISNA(VLOOKUP(B336,PrixMini!$B$3:$E$573,4,FALSE)),1,VLOOKUP(B336,PrixMini!$B$3:$E$573,4,FALSE))</f>
        <v>1</v>
      </c>
      <c r="M336" s="25" t="e">
        <f>IF(ROUND(CalculCotation!$D$3*EXP(CalculCotation!$C$3*K336)-CalculCotation!$D$3+1,0)&gt;L336,ROUND(CalculCotation!$D$3*EXP(CalculCotation!$C$3*K336)-CalculCotation!$D$3+1,0),L336)</f>
        <v>#DIV/0!</v>
      </c>
    </row>
    <row r="337" spans="2:13" x14ac:dyDescent="0.3">
      <c r="B337" s="1">
        <f>BDD!C340</f>
        <v>0</v>
      </c>
      <c r="C337" s="1">
        <f>BDD!B340</f>
        <v>0</v>
      </c>
      <c r="D337" s="1">
        <f>BDD!A340</f>
        <v>0</v>
      </c>
      <c r="E337" s="1">
        <f>BDD!D340</f>
        <v>0</v>
      </c>
      <c r="F337" s="1">
        <f>BDD!F340</f>
        <v>0</v>
      </c>
      <c r="G337" s="25">
        <f>'ButsMPG + Var'!$I$39*IF(C337="A",COUNTIF(BDD!H340:AR340,10)*'ButsMPG + Var'!$K$12+COUNTIF(BDD!H340:AR340,9)*'ButsMPG + Var'!$K$11+COUNTIF(BDD!H340:AR340,8)*'ButsMPG + Var'!$K$10+COUNTIF(BDD!H340:AR340,7)*'ButsMPG + Var'!$K$9+COUNTIF(BDD!H340:AR340,6)*'ButsMPG + Var'!$K$8+COUNTIF(BDD!H340:AR340,5)*'ButsMPG + Var'!$K$7+COUNTIF(BDD!H340:AR340,4)*'ButsMPG + Var'!$K$6+COUNTIF(BDD!H340:AR340,3)*'ButsMPG + Var'!$K$5+COUNTIF(BDD!H340:AR340,2)*'ButsMPG + Var'!$K$4+COUNTIF(BDD!H340:AR340,1)*'ButsMPG + Var'!$K$3,IF(C337="M",COUNTIF(BDD!H340:AR340,10)*'ButsMPG + Var'!$K$22+COUNTIF(BDD!H340:AR340,9)*'ButsMPG + Var'!$K$21+COUNTIF(BDD!H340:AR340,8)*'ButsMPG + Var'!$K$20+COUNTIF(BDD!H340:AR340,7)*'ButsMPG + Var'!$K$19+COUNTIF(BDD!H340:AR340,6)*'ButsMPG + Var'!$K$18+COUNTIF(BDD!H340:AR340,5)*'ButsMPG + Var'!$K$17+COUNTIF(BDD!H340:AR340,4)*'ButsMPG + Var'!$K$16+COUNTIF(BDD!H340:AR340,3)*'ButsMPG + Var'!$K$15+COUNTIF(BDD!H340:AR340,2)*'ButsMPG + Var'!$K$14+COUNTIF(BDD!H340:AR340,1)*'ButsMPG + Var'!$K$13,IF(C337="D",COUNTIF(BDD!H340:AR340,10)*'ButsMPG + Var'!$K$32+COUNTIF(BDD!H340:AR340,9)*'ButsMPG + Var'!$K$31+COUNTIF(BDD!H340:AR340,8)*'ButsMPG + Var'!$K$30+COUNTIF(BDD!H340:AR340,7)*'ButsMPG + Var'!$K$29+COUNTIF(BDD!H340:AR340,6)*'ButsMPG + Var'!$K$28+COUNTIF(BDD!H340:AR340,5)*'ButsMPG + Var'!$K$27+COUNTIF(BDD!H340:AR340,4)*'ButsMPG + Var'!$K$26+COUNTIF(BDD!H340:AR340,3)*'ButsMPG + Var'!$K$25+COUNTIF(BDD!H340:AR340,2)*'ButsMPG + Var'!$K$24+COUNTIF(BDD!H340:AR340,1)*'ButsMPG + Var'!$K$23,0)))</f>
        <v>0</v>
      </c>
      <c r="H337" s="25">
        <f t="shared" si="6"/>
        <v>0</v>
      </c>
      <c r="I337" s="25">
        <f>BDD!G340</f>
        <v>0</v>
      </c>
      <c r="J337" s="25">
        <f>SUMPRODUCT(BDD!H340:AS340,'ButsMPG + Var'!$B$46:$AM$46)</f>
        <v>0</v>
      </c>
      <c r="K337" s="25" t="e">
        <f>10*('ButsMPG + Var'!$H$37*J337/MAX(J:J)+'ButsMPG + Var'!$G$37*H337/MAX(H:H))</f>
        <v>#DIV/0!</v>
      </c>
      <c r="L337" s="1">
        <f>IF(ISNA(VLOOKUP(B337,PrixMini!$B$3:$E$573,4,FALSE)),1,VLOOKUP(B337,PrixMini!$B$3:$E$573,4,FALSE))</f>
        <v>1</v>
      </c>
      <c r="M337" s="25" t="e">
        <f>IF(ROUND(CalculCotation!$D$3*EXP(CalculCotation!$C$3*K337)-CalculCotation!$D$3+1,0)&gt;L337,ROUND(CalculCotation!$D$3*EXP(CalculCotation!$C$3*K337)-CalculCotation!$D$3+1,0),L337)</f>
        <v>#DIV/0!</v>
      </c>
    </row>
    <row r="338" spans="2:13" x14ac:dyDescent="0.3">
      <c r="B338" s="1">
        <f>BDD!C341</f>
        <v>0</v>
      </c>
      <c r="C338" s="1">
        <f>BDD!B341</f>
        <v>0</v>
      </c>
      <c r="D338" s="1">
        <f>BDD!A341</f>
        <v>0</v>
      </c>
      <c r="E338" s="1">
        <f>BDD!D341</f>
        <v>0</v>
      </c>
      <c r="F338" s="1">
        <f>BDD!F341</f>
        <v>0</v>
      </c>
      <c r="G338" s="25">
        <f>'ButsMPG + Var'!$I$39*IF(C338="A",COUNTIF(BDD!H341:AR341,10)*'ButsMPG + Var'!$K$12+COUNTIF(BDD!H341:AR341,9)*'ButsMPG + Var'!$K$11+COUNTIF(BDD!H341:AR341,8)*'ButsMPG + Var'!$K$10+COUNTIF(BDD!H341:AR341,7)*'ButsMPG + Var'!$K$9+COUNTIF(BDD!H341:AR341,6)*'ButsMPG + Var'!$K$8+COUNTIF(BDD!H341:AR341,5)*'ButsMPG + Var'!$K$7+COUNTIF(BDD!H341:AR341,4)*'ButsMPG + Var'!$K$6+COUNTIF(BDD!H341:AR341,3)*'ButsMPG + Var'!$K$5+COUNTIF(BDD!H341:AR341,2)*'ButsMPG + Var'!$K$4+COUNTIF(BDD!H341:AR341,1)*'ButsMPG + Var'!$K$3,IF(C338="M",COUNTIF(BDD!H341:AR341,10)*'ButsMPG + Var'!$K$22+COUNTIF(BDD!H341:AR341,9)*'ButsMPG + Var'!$K$21+COUNTIF(BDD!H341:AR341,8)*'ButsMPG + Var'!$K$20+COUNTIF(BDD!H341:AR341,7)*'ButsMPG + Var'!$K$19+COUNTIF(BDD!H341:AR341,6)*'ButsMPG + Var'!$K$18+COUNTIF(BDD!H341:AR341,5)*'ButsMPG + Var'!$K$17+COUNTIF(BDD!H341:AR341,4)*'ButsMPG + Var'!$K$16+COUNTIF(BDD!H341:AR341,3)*'ButsMPG + Var'!$K$15+COUNTIF(BDD!H341:AR341,2)*'ButsMPG + Var'!$K$14+COUNTIF(BDD!H341:AR341,1)*'ButsMPG + Var'!$K$13,IF(C338="D",COUNTIF(BDD!H341:AR341,10)*'ButsMPG + Var'!$K$32+COUNTIF(BDD!H341:AR341,9)*'ButsMPG + Var'!$K$31+COUNTIF(BDD!H341:AR341,8)*'ButsMPG + Var'!$K$30+COUNTIF(BDD!H341:AR341,7)*'ButsMPG + Var'!$K$29+COUNTIF(BDD!H341:AR341,6)*'ButsMPG + Var'!$K$28+COUNTIF(BDD!H341:AR341,5)*'ButsMPG + Var'!$K$27+COUNTIF(BDD!H341:AR341,4)*'ButsMPG + Var'!$K$26+COUNTIF(BDD!H341:AR341,3)*'ButsMPG + Var'!$K$25+COUNTIF(BDD!H341:AR341,2)*'ButsMPG + Var'!$K$24+COUNTIF(BDD!H341:AR341,1)*'ButsMPG + Var'!$K$23,0)))</f>
        <v>0</v>
      </c>
      <c r="H338" s="25">
        <f t="shared" si="6"/>
        <v>0</v>
      </c>
      <c r="I338" s="25">
        <f>BDD!G341</f>
        <v>0</v>
      </c>
      <c r="J338" s="25">
        <f>SUMPRODUCT(BDD!H341:AS341,'ButsMPG + Var'!$B$46:$AM$46)</f>
        <v>0</v>
      </c>
      <c r="K338" s="25" t="e">
        <f>10*('ButsMPG + Var'!$H$37*J338/MAX(J:J)+'ButsMPG + Var'!$G$37*H338/MAX(H:H))</f>
        <v>#DIV/0!</v>
      </c>
      <c r="L338" s="1">
        <f>IF(ISNA(VLOOKUP(B338,PrixMini!$B$3:$E$573,4,FALSE)),1,VLOOKUP(B338,PrixMini!$B$3:$E$573,4,FALSE))</f>
        <v>1</v>
      </c>
      <c r="M338" s="25" t="e">
        <f>IF(ROUND(CalculCotation!$D$3*EXP(CalculCotation!$C$3*K338)-CalculCotation!$D$3+1,0)&gt;L338,ROUND(CalculCotation!$D$3*EXP(CalculCotation!$C$3*K338)-CalculCotation!$D$3+1,0),L338)</f>
        <v>#DIV/0!</v>
      </c>
    </row>
    <row r="339" spans="2:13" x14ac:dyDescent="0.3">
      <c r="B339" s="1">
        <f>BDD!C342</f>
        <v>0</v>
      </c>
      <c r="C339" s="1">
        <f>BDD!B342</f>
        <v>0</v>
      </c>
      <c r="D339" s="1">
        <f>BDD!A342</f>
        <v>0</v>
      </c>
      <c r="E339" s="1">
        <f>BDD!D342</f>
        <v>0</v>
      </c>
      <c r="F339" s="1">
        <f>BDD!F342</f>
        <v>0</v>
      </c>
      <c r="G339" s="25">
        <f>'ButsMPG + Var'!$I$39*IF(C339="A",COUNTIF(BDD!H342:AR342,10)*'ButsMPG + Var'!$K$12+COUNTIF(BDD!H342:AR342,9)*'ButsMPG + Var'!$K$11+COUNTIF(BDD!H342:AR342,8)*'ButsMPG + Var'!$K$10+COUNTIF(BDD!H342:AR342,7)*'ButsMPG + Var'!$K$9+COUNTIF(BDD!H342:AR342,6)*'ButsMPG + Var'!$K$8+COUNTIF(BDD!H342:AR342,5)*'ButsMPG + Var'!$K$7+COUNTIF(BDD!H342:AR342,4)*'ButsMPG + Var'!$K$6+COUNTIF(BDD!H342:AR342,3)*'ButsMPG + Var'!$K$5+COUNTIF(BDD!H342:AR342,2)*'ButsMPG + Var'!$K$4+COUNTIF(BDD!H342:AR342,1)*'ButsMPG + Var'!$K$3,IF(C339="M",COUNTIF(BDD!H342:AR342,10)*'ButsMPG + Var'!$K$22+COUNTIF(BDD!H342:AR342,9)*'ButsMPG + Var'!$K$21+COUNTIF(BDD!H342:AR342,8)*'ButsMPG + Var'!$K$20+COUNTIF(BDD!H342:AR342,7)*'ButsMPG + Var'!$K$19+COUNTIF(BDD!H342:AR342,6)*'ButsMPG + Var'!$K$18+COUNTIF(BDD!H342:AR342,5)*'ButsMPG + Var'!$K$17+COUNTIF(BDD!H342:AR342,4)*'ButsMPG + Var'!$K$16+COUNTIF(BDD!H342:AR342,3)*'ButsMPG + Var'!$K$15+COUNTIF(BDD!H342:AR342,2)*'ButsMPG + Var'!$K$14+COUNTIF(BDD!H342:AR342,1)*'ButsMPG + Var'!$K$13,IF(C339="D",COUNTIF(BDD!H342:AR342,10)*'ButsMPG + Var'!$K$32+COUNTIF(BDD!H342:AR342,9)*'ButsMPG + Var'!$K$31+COUNTIF(BDD!H342:AR342,8)*'ButsMPG + Var'!$K$30+COUNTIF(BDD!H342:AR342,7)*'ButsMPG + Var'!$K$29+COUNTIF(BDD!H342:AR342,6)*'ButsMPG + Var'!$K$28+COUNTIF(BDD!H342:AR342,5)*'ButsMPG + Var'!$K$27+COUNTIF(BDD!H342:AR342,4)*'ButsMPG + Var'!$K$26+COUNTIF(BDD!H342:AR342,3)*'ButsMPG + Var'!$K$25+COUNTIF(BDD!H342:AR342,2)*'ButsMPG + Var'!$K$24+COUNTIF(BDD!H342:AR342,1)*'ButsMPG + Var'!$K$23,0)))</f>
        <v>0</v>
      </c>
      <c r="H339" s="25">
        <f t="shared" si="6"/>
        <v>0</v>
      </c>
      <c r="I339" s="25">
        <f>BDD!G342</f>
        <v>0</v>
      </c>
      <c r="J339" s="25">
        <f>SUMPRODUCT(BDD!H342:AS342,'ButsMPG + Var'!$B$46:$AM$46)</f>
        <v>0</v>
      </c>
      <c r="K339" s="25" t="e">
        <f>10*('ButsMPG + Var'!$H$37*J339/MAX(J:J)+'ButsMPG + Var'!$G$37*H339/MAX(H:H))</f>
        <v>#DIV/0!</v>
      </c>
      <c r="L339" s="1">
        <f>IF(ISNA(VLOOKUP(B339,PrixMini!$B$3:$E$573,4,FALSE)),1,VLOOKUP(B339,PrixMini!$B$3:$E$573,4,FALSE))</f>
        <v>1</v>
      </c>
      <c r="M339" s="25" t="e">
        <f>IF(ROUND(CalculCotation!$D$3*EXP(CalculCotation!$C$3*K339)-CalculCotation!$D$3+1,0)&gt;L339,ROUND(CalculCotation!$D$3*EXP(CalculCotation!$C$3*K339)-CalculCotation!$D$3+1,0),L339)</f>
        <v>#DIV/0!</v>
      </c>
    </row>
    <row r="340" spans="2:13" x14ac:dyDescent="0.3">
      <c r="B340" s="1">
        <f>BDD!C343</f>
        <v>0</v>
      </c>
      <c r="C340" s="1">
        <f>BDD!B343</f>
        <v>0</v>
      </c>
      <c r="D340" s="1">
        <f>BDD!A343</f>
        <v>0</v>
      </c>
      <c r="E340" s="1">
        <f>BDD!D343</f>
        <v>0</v>
      </c>
      <c r="F340" s="1">
        <f>BDD!F343</f>
        <v>0</v>
      </c>
      <c r="G340" s="25">
        <f>'ButsMPG + Var'!$I$39*IF(C340="A",COUNTIF(BDD!H343:AR343,10)*'ButsMPG + Var'!$K$12+COUNTIF(BDD!H343:AR343,9)*'ButsMPG + Var'!$K$11+COUNTIF(BDD!H343:AR343,8)*'ButsMPG + Var'!$K$10+COUNTIF(BDD!H343:AR343,7)*'ButsMPG + Var'!$K$9+COUNTIF(BDD!H343:AR343,6)*'ButsMPG + Var'!$K$8+COUNTIF(BDD!H343:AR343,5)*'ButsMPG + Var'!$K$7+COUNTIF(BDD!H343:AR343,4)*'ButsMPG + Var'!$K$6+COUNTIF(BDD!H343:AR343,3)*'ButsMPG + Var'!$K$5+COUNTIF(BDD!H343:AR343,2)*'ButsMPG + Var'!$K$4+COUNTIF(BDD!H343:AR343,1)*'ButsMPG + Var'!$K$3,IF(C340="M",COUNTIF(BDD!H343:AR343,10)*'ButsMPG + Var'!$K$22+COUNTIF(BDD!H343:AR343,9)*'ButsMPG + Var'!$K$21+COUNTIF(BDD!H343:AR343,8)*'ButsMPG + Var'!$K$20+COUNTIF(BDD!H343:AR343,7)*'ButsMPG + Var'!$K$19+COUNTIF(BDD!H343:AR343,6)*'ButsMPG + Var'!$K$18+COUNTIF(BDD!H343:AR343,5)*'ButsMPG + Var'!$K$17+COUNTIF(BDD!H343:AR343,4)*'ButsMPG + Var'!$K$16+COUNTIF(BDD!H343:AR343,3)*'ButsMPG + Var'!$K$15+COUNTIF(BDD!H343:AR343,2)*'ButsMPG + Var'!$K$14+COUNTIF(BDD!H343:AR343,1)*'ButsMPG + Var'!$K$13,IF(C340="D",COUNTIF(BDD!H343:AR343,10)*'ButsMPG + Var'!$K$32+COUNTIF(BDD!H343:AR343,9)*'ButsMPG + Var'!$K$31+COUNTIF(BDD!H343:AR343,8)*'ButsMPG + Var'!$K$30+COUNTIF(BDD!H343:AR343,7)*'ButsMPG + Var'!$K$29+COUNTIF(BDD!H343:AR343,6)*'ButsMPG + Var'!$K$28+COUNTIF(BDD!H343:AR343,5)*'ButsMPG + Var'!$K$27+COUNTIF(BDD!H343:AR343,4)*'ButsMPG + Var'!$K$26+COUNTIF(BDD!H343:AR343,3)*'ButsMPG + Var'!$K$25+COUNTIF(BDD!H343:AR343,2)*'ButsMPG + Var'!$K$24+COUNTIF(BDD!H343:AR343,1)*'ButsMPG + Var'!$K$23,0)))</f>
        <v>0</v>
      </c>
      <c r="H340" s="25">
        <f t="shared" si="6"/>
        <v>0</v>
      </c>
      <c r="I340" s="25">
        <f>BDD!G343</f>
        <v>0</v>
      </c>
      <c r="J340" s="25">
        <f>SUMPRODUCT(BDD!H343:AS343,'ButsMPG + Var'!$B$46:$AM$46)</f>
        <v>0</v>
      </c>
      <c r="K340" s="25" t="e">
        <f>10*('ButsMPG + Var'!$H$37*J340/MAX(J:J)+'ButsMPG + Var'!$G$37*H340/MAX(H:H))</f>
        <v>#DIV/0!</v>
      </c>
      <c r="L340" s="1">
        <f>IF(ISNA(VLOOKUP(B340,PrixMini!$B$3:$E$573,4,FALSE)),1,VLOOKUP(B340,PrixMini!$B$3:$E$573,4,FALSE))</f>
        <v>1</v>
      </c>
      <c r="M340" s="25" t="e">
        <f>IF(ROUND(CalculCotation!$D$3*EXP(CalculCotation!$C$3*K340)-CalculCotation!$D$3+1,0)&gt;L340,ROUND(CalculCotation!$D$3*EXP(CalculCotation!$C$3*K340)-CalculCotation!$D$3+1,0),L340)</f>
        <v>#DIV/0!</v>
      </c>
    </row>
    <row r="341" spans="2:13" x14ac:dyDescent="0.3">
      <c r="B341" s="1">
        <f>BDD!C344</f>
        <v>0</v>
      </c>
      <c r="C341" s="1">
        <f>BDD!B344</f>
        <v>0</v>
      </c>
      <c r="D341" s="1">
        <f>BDD!A344</f>
        <v>0</v>
      </c>
      <c r="E341" s="1">
        <f>BDD!D344</f>
        <v>0</v>
      </c>
      <c r="F341" s="1">
        <f>BDD!F344</f>
        <v>0</v>
      </c>
      <c r="G341" s="25">
        <f>'ButsMPG + Var'!$I$39*IF(C341="A",COUNTIF(BDD!H344:AR344,10)*'ButsMPG + Var'!$K$12+COUNTIF(BDD!H344:AR344,9)*'ButsMPG + Var'!$K$11+COUNTIF(BDD!H344:AR344,8)*'ButsMPG + Var'!$K$10+COUNTIF(BDD!H344:AR344,7)*'ButsMPG + Var'!$K$9+COUNTIF(BDD!H344:AR344,6)*'ButsMPG + Var'!$K$8+COUNTIF(BDD!H344:AR344,5)*'ButsMPG + Var'!$K$7+COUNTIF(BDD!H344:AR344,4)*'ButsMPG + Var'!$K$6+COUNTIF(BDD!H344:AR344,3)*'ButsMPG + Var'!$K$5+COUNTIF(BDD!H344:AR344,2)*'ButsMPG + Var'!$K$4+COUNTIF(BDD!H344:AR344,1)*'ButsMPG + Var'!$K$3,IF(C341="M",COUNTIF(BDD!H344:AR344,10)*'ButsMPG + Var'!$K$22+COUNTIF(BDD!H344:AR344,9)*'ButsMPG + Var'!$K$21+COUNTIF(BDD!H344:AR344,8)*'ButsMPG + Var'!$K$20+COUNTIF(BDD!H344:AR344,7)*'ButsMPG + Var'!$K$19+COUNTIF(BDD!H344:AR344,6)*'ButsMPG + Var'!$K$18+COUNTIF(BDD!H344:AR344,5)*'ButsMPG + Var'!$K$17+COUNTIF(BDD!H344:AR344,4)*'ButsMPG + Var'!$K$16+COUNTIF(BDD!H344:AR344,3)*'ButsMPG + Var'!$K$15+COUNTIF(BDD!H344:AR344,2)*'ButsMPG + Var'!$K$14+COUNTIF(BDD!H344:AR344,1)*'ButsMPG + Var'!$K$13,IF(C341="D",COUNTIF(BDD!H344:AR344,10)*'ButsMPG + Var'!$K$32+COUNTIF(BDD!H344:AR344,9)*'ButsMPG + Var'!$K$31+COUNTIF(BDD!H344:AR344,8)*'ButsMPG + Var'!$K$30+COUNTIF(BDD!H344:AR344,7)*'ButsMPG + Var'!$K$29+COUNTIF(BDD!H344:AR344,6)*'ButsMPG + Var'!$K$28+COUNTIF(BDD!H344:AR344,5)*'ButsMPG + Var'!$K$27+COUNTIF(BDD!H344:AR344,4)*'ButsMPG + Var'!$K$26+COUNTIF(BDD!H344:AR344,3)*'ButsMPG + Var'!$K$25+COUNTIF(BDD!H344:AR344,2)*'ButsMPG + Var'!$K$24+COUNTIF(BDD!H344:AR344,1)*'ButsMPG + Var'!$K$23,0)))</f>
        <v>0</v>
      </c>
      <c r="H341" s="25">
        <f t="shared" si="6"/>
        <v>0</v>
      </c>
      <c r="I341" s="25">
        <f>BDD!G344</f>
        <v>0</v>
      </c>
      <c r="J341" s="25">
        <f>SUMPRODUCT(BDD!H344:AS344,'ButsMPG + Var'!$B$46:$AM$46)</f>
        <v>0</v>
      </c>
      <c r="K341" s="25" t="e">
        <f>10*('ButsMPG + Var'!$H$37*J341/MAX(J:J)+'ButsMPG + Var'!$G$37*H341/MAX(H:H))</f>
        <v>#DIV/0!</v>
      </c>
      <c r="L341" s="1">
        <f>IF(ISNA(VLOOKUP(B341,PrixMini!$B$3:$E$573,4,FALSE)),1,VLOOKUP(B341,PrixMini!$B$3:$E$573,4,FALSE))</f>
        <v>1</v>
      </c>
      <c r="M341" s="25" t="e">
        <f>IF(ROUND(CalculCotation!$D$3*EXP(CalculCotation!$C$3*K341)-CalculCotation!$D$3+1,0)&gt;L341,ROUND(CalculCotation!$D$3*EXP(CalculCotation!$C$3*K341)-CalculCotation!$D$3+1,0),L341)</f>
        <v>#DIV/0!</v>
      </c>
    </row>
    <row r="342" spans="2:13" x14ac:dyDescent="0.3">
      <c r="B342" s="1">
        <f>BDD!C345</f>
        <v>0</v>
      </c>
      <c r="C342" s="1">
        <f>BDD!B345</f>
        <v>0</v>
      </c>
      <c r="D342" s="1">
        <f>BDD!A345</f>
        <v>0</v>
      </c>
      <c r="E342" s="1">
        <f>BDD!D345</f>
        <v>0</v>
      </c>
      <c r="F342" s="1">
        <f>BDD!F345</f>
        <v>0</v>
      </c>
      <c r="G342" s="25">
        <f>'ButsMPG + Var'!$I$39*IF(C342="A",COUNTIF(BDD!H345:AR345,10)*'ButsMPG + Var'!$K$12+COUNTIF(BDD!H345:AR345,9)*'ButsMPG + Var'!$K$11+COUNTIF(BDD!H345:AR345,8)*'ButsMPG + Var'!$K$10+COUNTIF(BDD!H345:AR345,7)*'ButsMPG + Var'!$K$9+COUNTIF(BDD!H345:AR345,6)*'ButsMPG + Var'!$K$8+COUNTIF(BDD!H345:AR345,5)*'ButsMPG + Var'!$K$7+COUNTIF(BDD!H345:AR345,4)*'ButsMPG + Var'!$K$6+COUNTIF(BDD!H345:AR345,3)*'ButsMPG + Var'!$K$5+COUNTIF(BDD!H345:AR345,2)*'ButsMPG + Var'!$K$4+COUNTIF(BDD!H345:AR345,1)*'ButsMPG + Var'!$K$3,IF(C342="M",COUNTIF(BDD!H345:AR345,10)*'ButsMPG + Var'!$K$22+COUNTIF(BDD!H345:AR345,9)*'ButsMPG + Var'!$K$21+COUNTIF(BDD!H345:AR345,8)*'ButsMPG + Var'!$K$20+COUNTIF(BDD!H345:AR345,7)*'ButsMPG + Var'!$K$19+COUNTIF(BDD!H345:AR345,6)*'ButsMPG + Var'!$K$18+COUNTIF(BDD!H345:AR345,5)*'ButsMPG + Var'!$K$17+COUNTIF(BDD!H345:AR345,4)*'ButsMPG + Var'!$K$16+COUNTIF(BDD!H345:AR345,3)*'ButsMPG + Var'!$K$15+COUNTIF(BDD!H345:AR345,2)*'ButsMPG + Var'!$K$14+COUNTIF(BDD!H345:AR345,1)*'ButsMPG + Var'!$K$13,IF(C342="D",COUNTIF(BDD!H345:AR345,10)*'ButsMPG + Var'!$K$32+COUNTIF(BDD!H345:AR345,9)*'ButsMPG + Var'!$K$31+COUNTIF(BDD!H345:AR345,8)*'ButsMPG + Var'!$K$30+COUNTIF(BDD!H345:AR345,7)*'ButsMPG + Var'!$K$29+COUNTIF(BDD!H345:AR345,6)*'ButsMPG + Var'!$K$28+COUNTIF(BDD!H345:AR345,5)*'ButsMPG + Var'!$K$27+COUNTIF(BDD!H345:AR345,4)*'ButsMPG + Var'!$K$26+COUNTIF(BDD!H345:AR345,3)*'ButsMPG + Var'!$K$25+COUNTIF(BDD!H345:AR345,2)*'ButsMPG + Var'!$K$24+COUNTIF(BDD!H345:AR345,1)*'ButsMPG + Var'!$K$23,0)))</f>
        <v>0</v>
      </c>
      <c r="H342" s="25">
        <f t="shared" si="6"/>
        <v>0</v>
      </c>
      <c r="I342" s="25">
        <f>BDD!G345</f>
        <v>0</v>
      </c>
      <c r="J342" s="25">
        <f>SUMPRODUCT(BDD!H345:AS345,'ButsMPG + Var'!$B$46:$AM$46)</f>
        <v>0</v>
      </c>
      <c r="K342" s="25" t="e">
        <f>10*('ButsMPG + Var'!$H$37*J342/MAX(J:J)+'ButsMPG + Var'!$G$37*H342/MAX(H:H))</f>
        <v>#DIV/0!</v>
      </c>
      <c r="L342" s="1">
        <f>IF(ISNA(VLOOKUP(B342,PrixMini!$B$3:$E$573,4,FALSE)),1,VLOOKUP(B342,PrixMini!$B$3:$E$573,4,FALSE))</f>
        <v>1</v>
      </c>
      <c r="M342" s="25" t="e">
        <f>IF(ROUND(CalculCotation!$D$3*EXP(CalculCotation!$C$3*K342)-CalculCotation!$D$3+1,0)&gt;L342,ROUND(CalculCotation!$D$3*EXP(CalculCotation!$C$3*K342)-CalculCotation!$D$3+1,0),L342)</f>
        <v>#DIV/0!</v>
      </c>
    </row>
    <row r="343" spans="2:13" x14ac:dyDescent="0.3">
      <c r="B343" s="1">
        <f>BDD!C346</f>
        <v>0</v>
      </c>
      <c r="C343" s="1">
        <f>BDD!B346</f>
        <v>0</v>
      </c>
      <c r="D343" s="1">
        <f>BDD!A346</f>
        <v>0</v>
      </c>
      <c r="E343" s="1">
        <f>BDD!D346</f>
        <v>0</v>
      </c>
      <c r="F343" s="1">
        <f>BDD!F346</f>
        <v>0</v>
      </c>
      <c r="G343" s="25">
        <f>'ButsMPG + Var'!$I$39*IF(C343="A",COUNTIF(BDD!H346:AR346,10)*'ButsMPG + Var'!$K$12+COUNTIF(BDD!H346:AR346,9)*'ButsMPG + Var'!$K$11+COUNTIF(BDD!H346:AR346,8)*'ButsMPG + Var'!$K$10+COUNTIF(BDD!H346:AR346,7)*'ButsMPG + Var'!$K$9+COUNTIF(BDD!H346:AR346,6)*'ButsMPG + Var'!$K$8+COUNTIF(BDD!H346:AR346,5)*'ButsMPG + Var'!$K$7+COUNTIF(BDD!H346:AR346,4)*'ButsMPG + Var'!$K$6+COUNTIF(BDD!H346:AR346,3)*'ButsMPG + Var'!$K$5+COUNTIF(BDD!H346:AR346,2)*'ButsMPG + Var'!$K$4+COUNTIF(BDD!H346:AR346,1)*'ButsMPG + Var'!$K$3,IF(C343="M",COUNTIF(BDD!H346:AR346,10)*'ButsMPG + Var'!$K$22+COUNTIF(BDD!H346:AR346,9)*'ButsMPG + Var'!$K$21+COUNTIF(BDD!H346:AR346,8)*'ButsMPG + Var'!$K$20+COUNTIF(BDD!H346:AR346,7)*'ButsMPG + Var'!$K$19+COUNTIF(BDD!H346:AR346,6)*'ButsMPG + Var'!$K$18+COUNTIF(BDD!H346:AR346,5)*'ButsMPG + Var'!$K$17+COUNTIF(BDD!H346:AR346,4)*'ButsMPG + Var'!$K$16+COUNTIF(BDD!H346:AR346,3)*'ButsMPG + Var'!$K$15+COUNTIF(BDD!H346:AR346,2)*'ButsMPG + Var'!$K$14+COUNTIF(BDD!H346:AR346,1)*'ButsMPG + Var'!$K$13,IF(C343="D",COUNTIF(BDD!H346:AR346,10)*'ButsMPG + Var'!$K$32+COUNTIF(BDD!H346:AR346,9)*'ButsMPG + Var'!$K$31+COUNTIF(BDD!H346:AR346,8)*'ButsMPG + Var'!$K$30+COUNTIF(BDD!H346:AR346,7)*'ButsMPG + Var'!$K$29+COUNTIF(BDD!H346:AR346,6)*'ButsMPG + Var'!$K$28+COUNTIF(BDD!H346:AR346,5)*'ButsMPG + Var'!$K$27+COUNTIF(BDD!H346:AR346,4)*'ButsMPG + Var'!$K$26+COUNTIF(BDD!H346:AR346,3)*'ButsMPG + Var'!$K$25+COUNTIF(BDD!H346:AR346,2)*'ButsMPG + Var'!$K$24+COUNTIF(BDD!H346:AR346,1)*'ButsMPG + Var'!$K$23,0)))</f>
        <v>0</v>
      </c>
      <c r="H343" s="25">
        <f t="shared" si="6"/>
        <v>0</v>
      </c>
      <c r="I343" s="25">
        <f>BDD!G346</f>
        <v>0</v>
      </c>
      <c r="J343" s="25">
        <f>SUMPRODUCT(BDD!H346:AS346,'ButsMPG + Var'!$B$46:$AM$46)</f>
        <v>0</v>
      </c>
      <c r="K343" s="25" t="e">
        <f>10*('ButsMPG + Var'!$H$37*J343/MAX(J:J)+'ButsMPG + Var'!$G$37*H343/MAX(H:H))</f>
        <v>#DIV/0!</v>
      </c>
      <c r="L343" s="1">
        <f>IF(ISNA(VLOOKUP(B343,PrixMini!$B$3:$E$573,4,FALSE)),1,VLOOKUP(B343,PrixMini!$B$3:$E$573,4,FALSE))</f>
        <v>1</v>
      </c>
      <c r="M343" s="25" t="e">
        <f>IF(ROUND(CalculCotation!$D$3*EXP(CalculCotation!$C$3*K343)-CalculCotation!$D$3+1,0)&gt;L343,ROUND(CalculCotation!$D$3*EXP(CalculCotation!$C$3*K343)-CalculCotation!$D$3+1,0),L343)</f>
        <v>#DIV/0!</v>
      </c>
    </row>
    <row r="344" spans="2:13" x14ac:dyDescent="0.3">
      <c r="B344" s="1">
        <f>BDD!C347</f>
        <v>0</v>
      </c>
      <c r="C344" s="1">
        <f>BDD!B347</f>
        <v>0</v>
      </c>
      <c r="D344" s="1">
        <f>BDD!A347</f>
        <v>0</v>
      </c>
      <c r="E344" s="1">
        <f>BDD!D347</f>
        <v>0</v>
      </c>
      <c r="F344" s="1">
        <f>BDD!F347</f>
        <v>0</v>
      </c>
      <c r="G344" s="25">
        <f>'ButsMPG + Var'!$I$39*IF(C344="A",COUNTIF(BDD!H347:AR347,10)*'ButsMPG + Var'!$K$12+COUNTIF(BDD!H347:AR347,9)*'ButsMPG + Var'!$K$11+COUNTIF(BDD!H347:AR347,8)*'ButsMPG + Var'!$K$10+COUNTIF(BDD!H347:AR347,7)*'ButsMPG + Var'!$K$9+COUNTIF(BDD!H347:AR347,6)*'ButsMPG + Var'!$K$8+COUNTIF(BDD!H347:AR347,5)*'ButsMPG + Var'!$K$7+COUNTIF(BDD!H347:AR347,4)*'ButsMPG + Var'!$K$6+COUNTIF(BDD!H347:AR347,3)*'ButsMPG + Var'!$K$5+COUNTIF(BDD!H347:AR347,2)*'ButsMPG + Var'!$K$4+COUNTIF(BDD!H347:AR347,1)*'ButsMPG + Var'!$K$3,IF(C344="M",COUNTIF(BDD!H347:AR347,10)*'ButsMPG + Var'!$K$22+COUNTIF(BDD!H347:AR347,9)*'ButsMPG + Var'!$K$21+COUNTIF(BDD!H347:AR347,8)*'ButsMPG + Var'!$K$20+COUNTIF(BDD!H347:AR347,7)*'ButsMPG + Var'!$K$19+COUNTIF(BDD!H347:AR347,6)*'ButsMPG + Var'!$K$18+COUNTIF(BDD!H347:AR347,5)*'ButsMPG + Var'!$K$17+COUNTIF(BDD!H347:AR347,4)*'ButsMPG + Var'!$K$16+COUNTIF(BDD!H347:AR347,3)*'ButsMPG + Var'!$K$15+COUNTIF(BDD!H347:AR347,2)*'ButsMPG + Var'!$K$14+COUNTIF(BDD!H347:AR347,1)*'ButsMPG + Var'!$K$13,IF(C344="D",COUNTIF(BDD!H347:AR347,10)*'ButsMPG + Var'!$K$32+COUNTIF(BDD!H347:AR347,9)*'ButsMPG + Var'!$K$31+COUNTIF(BDD!H347:AR347,8)*'ButsMPG + Var'!$K$30+COUNTIF(BDD!H347:AR347,7)*'ButsMPG + Var'!$K$29+COUNTIF(BDD!H347:AR347,6)*'ButsMPG + Var'!$K$28+COUNTIF(BDD!H347:AR347,5)*'ButsMPG + Var'!$K$27+COUNTIF(BDD!H347:AR347,4)*'ButsMPG + Var'!$K$26+COUNTIF(BDD!H347:AR347,3)*'ButsMPG + Var'!$K$25+COUNTIF(BDD!H347:AR347,2)*'ButsMPG + Var'!$K$24+COUNTIF(BDD!H347:AR347,1)*'ButsMPG + Var'!$K$23,0)))</f>
        <v>0</v>
      </c>
      <c r="H344" s="25">
        <f t="shared" si="6"/>
        <v>0</v>
      </c>
      <c r="I344" s="25">
        <f>BDD!G347</f>
        <v>0</v>
      </c>
      <c r="J344" s="25">
        <f>SUMPRODUCT(BDD!H347:AS347,'ButsMPG + Var'!$B$46:$AM$46)</f>
        <v>0</v>
      </c>
      <c r="K344" s="25" t="e">
        <f>10*('ButsMPG + Var'!$H$37*J344/MAX(J:J)+'ButsMPG + Var'!$G$37*H344/MAX(H:H))</f>
        <v>#DIV/0!</v>
      </c>
      <c r="L344" s="1">
        <f>IF(ISNA(VLOOKUP(B344,PrixMini!$B$3:$E$573,4,FALSE)),1,VLOOKUP(B344,PrixMini!$B$3:$E$573,4,FALSE))</f>
        <v>1</v>
      </c>
      <c r="M344" s="25" t="e">
        <f>IF(ROUND(CalculCotation!$D$3*EXP(CalculCotation!$C$3*K344)-CalculCotation!$D$3+1,0)&gt;L344,ROUND(CalculCotation!$D$3*EXP(CalculCotation!$C$3*K344)-CalculCotation!$D$3+1,0),L344)</f>
        <v>#DIV/0!</v>
      </c>
    </row>
    <row r="345" spans="2:13" x14ac:dyDescent="0.3">
      <c r="B345" s="1">
        <f>BDD!C348</f>
        <v>0</v>
      </c>
      <c r="C345" s="1">
        <f>BDD!B348</f>
        <v>0</v>
      </c>
      <c r="D345" s="1">
        <f>BDD!A348</f>
        <v>0</v>
      </c>
      <c r="E345" s="1">
        <f>BDD!D348</f>
        <v>0</v>
      </c>
      <c r="F345" s="1">
        <f>BDD!F348</f>
        <v>0</v>
      </c>
      <c r="G345" s="25">
        <f>'ButsMPG + Var'!$I$39*IF(C345="A",COUNTIF(BDD!H348:AR348,10)*'ButsMPG + Var'!$K$12+COUNTIF(BDD!H348:AR348,9)*'ButsMPG + Var'!$K$11+COUNTIF(BDD!H348:AR348,8)*'ButsMPG + Var'!$K$10+COUNTIF(BDD!H348:AR348,7)*'ButsMPG + Var'!$K$9+COUNTIF(BDD!H348:AR348,6)*'ButsMPG + Var'!$K$8+COUNTIF(BDD!H348:AR348,5)*'ButsMPG + Var'!$K$7+COUNTIF(BDD!H348:AR348,4)*'ButsMPG + Var'!$K$6+COUNTIF(BDD!H348:AR348,3)*'ButsMPG + Var'!$K$5+COUNTIF(BDD!H348:AR348,2)*'ButsMPG + Var'!$K$4+COUNTIF(BDD!H348:AR348,1)*'ButsMPG + Var'!$K$3,IF(C345="M",COUNTIF(BDD!H348:AR348,10)*'ButsMPG + Var'!$K$22+COUNTIF(BDD!H348:AR348,9)*'ButsMPG + Var'!$K$21+COUNTIF(BDD!H348:AR348,8)*'ButsMPG + Var'!$K$20+COUNTIF(BDD!H348:AR348,7)*'ButsMPG + Var'!$K$19+COUNTIF(BDD!H348:AR348,6)*'ButsMPG + Var'!$K$18+COUNTIF(BDD!H348:AR348,5)*'ButsMPG + Var'!$K$17+COUNTIF(BDD!H348:AR348,4)*'ButsMPG + Var'!$K$16+COUNTIF(BDD!H348:AR348,3)*'ButsMPG + Var'!$K$15+COUNTIF(BDD!H348:AR348,2)*'ButsMPG + Var'!$K$14+COUNTIF(BDD!H348:AR348,1)*'ButsMPG + Var'!$K$13,IF(C345="D",COUNTIF(BDD!H348:AR348,10)*'ButsMPG + Var'!$K$32+COUNTIF(BDD!H348:AR348,9)*'ButsMPG + Var'!$K$31+COUNTIF(BDD!H348:AR348,8)*'ButsMPG + Var'!$K$30+COUNTIF(BDD!H348:AR348,7)*'ButsMPG + Var'!$K$29+COUNTIF(BDD!H348:AR348,6)*'ButsMPG + Var'!$K$28+COUNTIF(BDD!H348:AR348,5)*'ButsMPG + Var'!$K$27+COUNTIF(BDD!H348:AR348,4)*'ButsMPG + Var'!$K$26+COUNTIF(BDD!H348:AR348,3)*'ButsMPG + Var'!$K$25+COUNTIF(BDD!H348:AR348,2)*'ButsMPG + Var'!$K$24+COUNTIF(BDD!H348:AR348,1)*'ButsMPG + Var'!$K$23,0)))</f>
        <v>0</v>
      </c>
      <c r="H345" s="25">
        <f t="shared" si="6"/>
        <v>0</v>
      </c>
      <c r="I345" s="25">
        <f>BDD!G348</f>
        <v>0</v>
      </c>
      <c r="J345" s="25">
        <f>SUMPRODUCT(BDD!H348:AS348,'ButsMPG + Var'!$B$46:$AM$46)</f>
        <v>0</v>
      </c>
      <c r="K345" s="25" t="e">
        <f>10*('ButsMPG + Var'!$H$37*J345/MAX(J:J)+'ButsMPG + Var'!$G$37*H345/MAX(H:H))</f>
        <v>#DIV/0!</v>
      </c>
      <c r="L345" s="1">
        <f>IF(ISNA(VLOOKUP(B345,PrixMini!$B$3:$E$573,4,FALSE)),1,VLOOKUP(B345,PrixMini!$B$3:$E$573,4,FALSE))</f>
        <v>1</v>
      </c>
      <c r="M345" s="25" t="e">
        <f>IF(ROUND(CalculCotation!$D$3*EXP(CalculCotation!$C$3*K345)-CalculCotation!$D$3+1,0)&gt;L345,ROUND(CalculCotation!$D$3*EXP(CalculCotation!$C$3*K345)-CalculCotation!$D$3+1,0),L345)</f>
        <v>#DIV/0!</v>
      </c>
    </row>
    <row r="346" spans="2:13" x14ac:dyDescent="0.3">
      <c r="B346" s="1">
        <f>BDD!C349</f>
        <v>0</v>
      </c>
      <c r="C346" s="1">
        <f>BDD!B349</f>
        <v>0</v>
      </c>
      <c r="D346" s="1">
        <f>BDD!A349</f>
        <v>0</v>
      </c>
      <c r="E346" s="1">
        <f>BDD!D349</f>
        <v>0</v>
      </c>
      <c r="F346" s="1">
        <f>BDD!F349</f>
        <v>0</v>
      </c>
      <c r="G346" s="25">
        <f>'ButsMPG + Var'!$I$39*IF(C346="A",COUNTIF(BDD!H349:AR349,10)*'ButsMPG + Var'!$K$12+COUNTIF(BDD!H349:AR349,9)*'ButsMPG + Var'!$K$11+COUNTIF(BDD!H349:AR349,8)*'ButsMPG + Var'!$K$10+COUNTIF(BDD!H349:AR349,7)*'ButsMPG + Var'!$K$9+COUNTIF(BDD!H349:AR349,6)*'ButsMPG + Var'!$K$8+COUNTIF(BDD!H349:AR349,5)*'ButsMPG + Var'!$K$7+COUNTIF(BDD!H349:AR349,4)*'ButsMPG + Var'!$K$6+COUNTIF(BDD!H349:AR349,3)*'ButsMPG + Var'!$K$5+COUNTIF(BDD!H349:AR349,2)*'ButsMPG + Var'!$K$4+COUNTIF(BDD!H349:AR349,1)*'ButsMPG + Var'!$K$3,IF(C346="M",COUNTIF(BDD!H349:AR349,10)*'ButsMPG + Var'!$K$22+COUNTIF(BDD!H349:AR349,9)*'ButsMPG + Var'!$K$21+COUNTIF(BDD!H349:AR349,8)*'ButsMPG + Var'!$K$20+COUNTIF(BDD!H349:AR349,7)*'ButsMPG + Var'!$K$19+COUNTIF(BDD!H349:AR349,6)*'ButsMPG + Var'!$K$18+COUNTIF(BDD!H349:AR349,5)*'ButsMPG + Var'!$K$17+COUNTIF(BDD!H349:AR349,4)*'ButsMPG + Var'!$K$16+COUNTIF(BDD!H349:AR349,3)*'ButsMPG + Var'!$K$15+COUNTIF(BDD!H349:AR349,2)*'ButsMPG + Var'!$K$14+COUNTIF(BDD!H349:AR349,1)*'ButsMPG + Var'!$K$13,IF(C346="D",COUNTIF(BDD!H349:AR349,10)*'ButsMPG + Var'!$K$32+COUNTIF(BDD!H349:AR349,9)*'ButsMPG + Var'!$K$31+COUNTIF(BDD!H349:AR349,8)*'ButsMPG + Var'!$K$30+COUNTIF(BDD!H349:AR349,7)*'ButsMPG + Var'!$K$29+COUNTIF(BDD!H349:AR349,6)*'ButsMPG + Var'!$K$28+COUNTIF(BDD!H349:AR349,5)*'ButsMPG + Var'!$K$27+COUNTIF(BDD!H349:AR349,4)*'ButsMPG + Var'!$K$26+COUNTIF(BDD!H349:AR349,3)*'ButsMPG + Var'!$K$25+COUNTIF(BDD!H349:AR349,2)*'ButsMPG + Var'!$K$24+COUNTIF(BDD!H349:AR349,1)*'ButsMPG + Var'!$K$23,0)))</f>
        <v>0</v>
      </c>
      <c r="H346" s="25">
        <f t="shared" si="6"/>
        <v>0</v>
      </c>
      <c r="I346" s="25">
        <f>BDD!G349</f>
        <v>0</v>
      </c>
      <c r="J346" s="25">
        <f>SUMPRODUCT(BDD!H349:AS349,'ButsMPG + Var'!$B$46:$AM$46)</f>
        <v>0</v>
      </c>
      <c r="K346" s="25" t="e">
        <f>10*('ButsMPG + Var'!$H$37*J346/MAX(J:J)+'ButsMPG + Var'!$G$37*H346/MAX(H:H))</f>
        <v>#DIV/0!</v>
      </c>
      <c r="L346" s="1">
        <f>IF(ISNA(VLOOKUP(B346,PrixMini!$B$3:$E$573,4,FALSE)),1,VLOOKUP(B346,PrixMini!$B$3:$E$573,4,FALSE))</f>
        <v>1</v>
      </c>
      <c r="M346" s="25" t="e">
        <f>IF(ROUND(CalculCotation!$D$3*EXP(CalculCotation!$C$3*K346)-CalculCotation!$D$3+1,0)&gt;L346,ROUND(CalculCotation!$D$3*EXP(CalculCotation!$C$3*K346)-CalculCotation!$D$3+1,0),L346)</f>
        <v>#DIV/0!</v>
      </c>
    </row>
    <row r="347" spans="2:13" x14ac:dyDescent="0.3">
      <c r="B347" s="1">
        <f>BDD!C350</f>
        <v>0</v>
      </c>
      <c r="C347" s="1">
        <f>BDD!B350</f>
        <v>0</v>
      </c>
      <c r="D347" s="1">
        <f>BDD!A350</f>
        <v>0</v>
      </c>
      <c r="E347" s="1">
        <f>BDD!D350</f>
        <v>0</v>
      </c>
      <c r="F347" s="1">
        <f>BDD!F350</f>
        <v>0</v>
      </c>
      <c r="G347" s="25">
        <f>'ButsMPG + Var'!$I$39*IF(C347="A",COUNTIF(BDD!H350:AR350,10)*'ButsMPG + Var'!$K$12+COUNTIF(BDD!H350:AR350,9)*'ButsMPG + Var'!$K$11+COUNTIF(BDD!H350:AR350,8)*'ButsMPG + Var'!$K$10+COUNTIF(BDD!H350:AR350,7)*'ButsMPG + Var'!$K$9+COUNTIF(BDD!H350:AR350,6)*'ButsMPG + Var'!$K$8+COUNTIF(BDD!H350:AR350,5)*'ButsMPG + Var'!$K$7+COUNTIF(BDD!H350:AR350,4)*'ButsMPG + Var'!$K$6+COUNTIF(BDD!H350:AR350,3)*'ButsMPG + Var'!$K$5+COUNTIF(BDD!H350:AR350,2)*'ButsMPG + Var'!$K$4+COUNTIF(BDD!H350:AR350,1)*'ButsMPG + Var'!$K$3,IF(C347="M",COUNTIF(BDD!H350:AR350,10)*'ButsMPG + Var'!$K$22+COUNTIF(BDD!H350:AR350,9)*'ButsMPG + Var'!$K$21+COUNTIF(BDD!H350:AR350,8)*'ButsMPG + Var'!$K$20+COUNTIF(BDD!H350:AR350,7)*'ButsMPG + Var'!$K$19+COUNTIF(BDD!H350:AR350,6)*'ButsMPG + Var'!$K$18+COUNTIF(BDD!H350:AR350,5)*'ButsMPG + Var'!$K$17+COUNTIF(BDD!H350:AR350,4)*'ButsMPG + Var'!$K$16+COUNTIF(BDD!H350:AR350,3)*'ButsMPG + Var'!$K$15+COUNTIF(BDD!H350:AR350,2)*'ButsMPG + Var'!$K$14+COUNTIF(BDD!H350:AR350,1)*'ButsMPG + Var'!$K$13,IF(C347="D",COUNTIF(BDD!H350:AR350,10)*'ButsMPG + Var'!$K$32+COUNTIF(BDD!H350:AR350,9)*'ButsMPG + Var'!$K$31+COUNTIF(BDD!H350:AR350,8)*'ButsMPG + Var'!$K$30+COUNTIF(BDD!H350:AR350,7)*'ButsMPG + Var'!$K$29+COUNTIF(BDD!H350:AR350,6)*'ButsMPG + Var'!$K$28+COUNTIF(BDD!H350:AR350,5)*'ButsMPG + Var'!$K$27+COUNTIF(BDD!H350:AR350,4)*'ButsMPG + Var'!$K$26+COUNTIF(BDD!H350:AR350,3)*'ButsMPG + Var'!$K$25+COUNTIF(BDD!H350:AR350,2)*'ButsMPG + Var'!$K$24+COUNTIF(BDD!H350:AR350,1)*'ButsMPG + Var'!$K$23,0)))</f>
        <v>0</v>
      </c>
      <c r="H347" s="25">
        <f t="shared" si="6"/>
        <v>0</v>
      </c>
      <c r="I347" s="25">
        <f>BDD!G350</f>
        <v>0</v>
      </c>
      <c r="J347" s="25">
        <f>SUMPRODUCT(BDD!H350:AS350,'ButsMPG + Var'!$B$46:$AM$46)</f>
        <v>0</v>
      </c>
      <c r="K347" s="25" t="e">
        <f>10*('ButsMPG + Var'!$H$37*J347/MAX(J:J)+'ButsMPG + Var'!$G$37*H347/MAX(H:H))</f>
        <v>#DIV/0!</v>
      </c>
      <c r="L347" s="1">
        <f>IF(ISNA(VLOOKUP(B347,PrixMini!$B$3:$E$573,4,FALSE)),1,VLOOKUP(B347,PrixMini!$B$3:$E$573,4,FALSE))</f>
        <v>1</v>
      </c>
      <c r="M347" s="25" t="e">
        <f>IF(ROUND(CalculCotation!$D$3*EXP(CalculCotation!$C$3*K347)-CalculCotation!$D$3+1,0)&gt;L347,ROUND(CalculCotation!$D$3*EXP(CalculCotation!$C$3*K347)-CalculCotation!$D$3+1,0),L347)</f>
        <v>#DIV/0!</v>
      </c>
    </row>
    <row r="348" spans="2:13" x14ac:dyDescent="0.3">
      <c r="B348" s="1">
        <f>BDD!C351</f>
        <v>0</v>
      </c>
      <c r="C348" s="1">
        <f>BDD!B351</f>
        <v>0</v>
      </c>
      <c r="D348" s="1">
        <f>BDD!A351</f>
        <v>0</v>
      </c>
      <c r="E348" s="1">
        <f>BDD!D351</f>
        <v>0</v>
      </c>
      <c r="F348" s="1">
        <f>BDD!F351</f>
        <v>0</v>
      </c>
      <c r="G348" s="25">
        <f>'ButsMPG + Var'!$I$39*IF(C348="A",COUNTIF(BDD!H351:AR351,10)*'ButsMPG + Var'!$K$12+COUNTIF(BDD!H351:AR351,9)*'ButsMPG + Var'!$K$11+COUNTIF(BDD!H351:AR351,8)*'ButsMPG + Var'!$K$10+COUNTIF(BDD!H351:AR351,7)*'ButsMPG + Var'!$K$9+COUNTIF(BDD!H351:AR351,6)*'ButsMPG + Var'!$K$8+COUNTIF(BDD!H351:AR351,5)*'ButsMPG + Var'!$K$7+COUNTIF(BDD!H351:AR351,4)*'ButsMPG + Var'!$K$6+COUNTIF(BDD!H351:AR351,3)*'ButsMPG + Var'!$K$5+COUNTIF(BDD!H351:AR351,2)*'ButsMPG + Var'!$K$4+COUNTIF(BDD!H351:AR351,1)*'ButsMPG + Var'!$K$3,IF(C348="M",COUNTIF(BDD!H351:AR351,10)*'ButsMPG + Var'!$K$22+COUNTIF(BDD!H351:AR351,9)*'ButsMPG + Var'!$K$21+COUNTIF(BDD!H351:AR351,8)*'ButsMPG + Var'!$K$20+COUNTIF(BDD!H351:AR351,7)*'ButsMPG + Var'!$K$19+COUNTIF(BDD!H351:AR351,6)*'ButsMPG + Var'!$K$18+COUNTIF(BDD!H351:AR351,5)*'ButsMPG + Var'!$K$17+COUNTIF(BDD!H351:AR351,4)*'ButsMPG + Var'!$K$16+COUNTIF(BDD!H351:AR351,3)*'ButsMPG + Var'!$K$15+COUNTIF(BDD!H351:AR351,2)*'ButsMPG + Var'!$K$14+COUNTIF(BDD!H351:AR351,1)*'ButsMPG + Var'!$K$13,IF(C348="D",COUNTIF(BDD!H351:AR351,10)*'ButsMPG + Var'!$K$32+COUNTIF(BDD!H351:AR351,9)*'ButsMPG + Var'!$K$31+COUNTIF(BDD!H351:AR351,8)*'ButsMPG + Var'!$K$30+COUNTIF(BDD!H351:AR351,7)*'ButsMPG + Var'!$K$29+COUNTIF(BDD!H351:AR351,6)*'ButsMPG + Var'!$K$28+COUNTIF(BDD!H351:AR351,5)*'ButsMPG + Var'!$K$27+COUNTIF(BDD!H351:AR351,4)*'ButsMPG + Var'!$K$26+COUNTIF(BDD!H351:AR351,3)*'ButsMPG + Var'!$K$25+COUNTIF(BDD!H351:AR351,2)*'ButsMPG + Var'!$K$24+COUNTIF(BDD!H351:AR351,1)*'ButsMPG + Var'!$K$23,0)))</f>
        <v>0</v>
      </c>
      <c r="H348" s="25">
        <f t="shared" si="6"/>
        <v>0</v>
      </c>
      <c r="I348" s="25">
        <f>BDD!G351</f>
        <v>0</v>
      </c>
      <c r="J348" s="25">
        <f>SUMPRODUCT(BDD!H351:AS351,'ButsMPG + Var'!$B$46:$AM$46)</f>
        <v>0</v>
      </c>
      <c r="K348" s="25" t="e">
        <f>10*('ButsMPG + Var'!$H$37*J348/MAX(J:J)+'ButsMPG + Var'!$G$37*H348/MAX(H:H))</f>
        <v>#DIV/0!</v>
      </c>
      <c r="L348" s="1">
        <f>IF(ISNA(VLOOKUP(B348,PrixMini!$B$3:$E$573,4,FALSE)),1,VLOOKUP(B348,PrixMini!$B$3:$E$573,4,FALSE))</f>
        <v>1</v>
      </c>
      <c r="M348" s="25" t="e">
        <f>IF(ROUND(CalculCotation!$D$3*EXP(CalculCotation!$C$3*K348)-CalculCotation!$D$3+1,0)&gt;L348,ROUND(CalculCotation!$D$3*EXP(CalculCotation!$C$3*K348)-CalculCotation!$D$3+1,0),L348)</f>
        <v>#DIV/0!</v>
      </c>
    </row>
    <row r="349" spans="2:13" x14ac:dyDescent="0.3">
      <c r="B349" s="1">
        <f>BDD!C352</f>
        <v>0</v>
      </c>
      <c r="C349" s="1">
        <f>BDD!B352</f>
        <v>0</v>
      </c>
      <c r="D349" s="1">
        <f>BDD!A352</f>
        <v>0</v>
      </c>
      <c r="E349" s="1">
        <f>BDD!D352</f>
        <v>0</v>
      </c>
      <c r="F349" s="1">
        <f>BDD!F352</f>
        <v>0</v>
      </c>
      <c r="G349" s="25">
        <f>'ButsMPG + Var'!$I$39*IF(C349="A",COUNTIF(BDD!H352:AR352,10)*'ButsMPG + Var'!$K$12+COUNTIF(BDD!H352:AR352,9)*'ButsMPG + Var'!$K$11+COUNTIF(BDD!H352:AR352,8)*'ButsMPG + Var'!$K$10+COUNTIF(BDD!H352:AR352,7)*'ButsMPG + Var'!$K$9+COUNTIF(BDD!H352:AR352,6)*'ButsMPG + Var'!$K$8+COUNTIF(BDD!H352:AR352,5)*'ButsMPG + Var'!$K$7+COUNTIF(BDD!H352:AR352,4)*'ButsMPG + Var'!$K$6+COUNTIF(BDD!H352:AR352,3)*'ButsMPG + Var'!$K$5+COUNTIF(BDD!H352:AR352,2)*'ButsMPG + Var'!$K$4+COUNTIF(BDD!H352:AR352,1)*'ButsMPG + Var'!$K$3,IF(C349="M",COUNTIF(BDD!H352:AR352,10)*'ButsMPG + Var'!$K$22+COUNTIF(BDD!H352:AR352,9)*'ButsMPG + Var'!$K$21+COUNTIF(BDD!H352:AR352,8)*'ButsMPG + Var'!$K$20+COUNTIF(BDD!H352:AR352,7)*'ButsMPG + Var'!$K$19+COUNTIF(BDD!H352:AR352,6)*'ButsMPG + Var'!$K$18+COUNTIF(BDD!H352:AR352,5)*'ButsMPG + Var'!$K$17+COUNTIF(BDD!H352:AR352,4)*'ButsMPG + Var'!$K$16+COUNTIF(BDD!H352:AR352,3)*'ButsMPG + Var'!$K$15+COUNTIF(BDD!H352:AR352,2)*'ButsMPG + Var'!$K$14+COUNTIF(BDD!H352:AR352,1)*'ButsMPG + Var'!$K$13,IF(C349="D",COUNTIF(BDD!H352:AR352,10)*'ButsMPG + Var'!$K$32+COUNTIF(BDD!H352:AR352,9)*'ButsMPG + Var'!$K$31+COUNTIF(BDD!H352:AR352,8)*'ButsMPG + Var'!$K$30+COUNTIF(BDD!H352:AR352,7)*'ButsMPG + Var'!$K$29+COUNTIF(BDD!H352:AR352,6)*'ButsMPG + Var'!$K$28+COUNTIF(BDD!H352:AR352,5)*'ButsMPG + Var'!$K$27+COUNTIF(BDD!H352:AR352,4)*'ButsMPG + Var'!$K$26+COUNTIF(BDD!H352:AR352,3)*'ButsMPG + Var'!$K$25+COUNTIF(BDD!H352:AR352,2)*'ButsMPG + Var'!$K$24+COUNTIF(BDD!H352:AR352,1)*'ButsMPG + Var'!$K$23,0)))</f>
        <v>0</v>
      </c>
      <c r="H349" s="25">
        <f t="shared" si="6"/>
        <v>0</v>
      </c>
      <c r="I349" s="25">
        <f>BDD!G352</f>
        <v>0</v>
      </c>
      <c r="J349" s="25">
        <f>SUMPRODUCT(BDD!H352:AS352,'ButsMPG + Var'!$B$46:$AM$46)</f>
        <v>0</v>
      </c>
      <c r="K349" s="25" t="e">
        <f>10*('ButsMPG + Var'!$H$37*J349/MAX(J:J)+'ButsMPG + Var'!$G$37*H349/MAX(H:H))</f>
        <v>#DIV/0!</v>
      </c>
      <c r="L349" s="1">
        <f>IF(ISNA(VLOOKUP(B349,PrixMini!$B$3:$E$573,4,FALSE)),1,VLOOKUP(B349,PrixMini!$B$3:$E$573,4,FALSE))</f>
        <v>1</v>
      </c>
      <c r="M349" s="25" t="e">
        <f>IF(ROUND(CalculCotation!$D$3*EXP(CalculCotation!$C$3*K349)-CalculCotation!$D$3+1,0)&gt;L349,ROUND(CalculCotation!$D$3*EXP(CalculCotation!$C$3*K349)-CalculCotation!$D$3+1,0),L349)</f>
        <v>#DIV/0!</v>
      </c>
    </row>
    <row r="350" spans="2:13" x14ac:dyDescent="0.3">
      <c r="B350" s="1">
        <f>BDD!C353</f>
        <v>0</v>
      </c>
      <c r="C350" s="1">
        <f>BDD!B353</f>
        <v>0</v>
      </c>
      <c r="D350" s="1">
        <f>BDD!A353</f>
        <v>0</v>
      </c>
      <c r="E350" s="1">
        <f>BDD!D353</f>
        <v>0</v>
      </c>
      <c r="F350" s="1">
        <f>BDD!F353</f>
        <v>0</v>
      </c>
      <c r="G350" s="25">
        <f>'ButsMPG + Var'!$I$39*IF(C350="A",COUNTIF(BDD!H353:AR353,10)*'ButsMPG + Var'!$K$12+COUNTIF(BDD!H353:AR353,9)*'ButsMPG + Var'!$K$11+COUNTIF(BDD!H353:AR353,8)*'ButsMPG + Var'!$K$10+COUNTIF(BDD!H353:AR353,7)*'ButsMPG + Var'!$K$9+COUNTIF(BDD!H353:AR353,6)*'ButsMPG + Var'!$K$8+COUNTIF(BDD!H353:AR353,5)*'ButsMPG + Var'!$K$7+COUNTIF(BDD!H353:AR353,4)*'ButsMPG + Var'!$K$6+COUNTIF(BDD!H353:AR353,3)*'ButsMPG + Var'!$K$5+COUNTIF(BDD!H353:AR353,2)*'ButsMPG + Var'!$K$4+COUNTIF(BDD!H353:AR353,1)*'ButsMPG + Var'!$K$3,IF(C350="M",COUNTIF(BDD!H353:AR353,10)*'ButsMPG + Var'!$K$22+COUNTIF(BDD!H353:AR353,9)*'ButsMPG + Var'!$K$21+COUNTIF(BDD!H353:AR353,8)*'ButsMPG + Var'!$K$20+COUNTIF(BDD!H353:AR353,7)*'ButsMPG + Var'!$K$19+COUNTIF(BDD!H353:AR353,6)*'ButsMPG + Var'!$K$18+COUNTIF(BDD!H353:AR353,5)*'ButsMPG + Var'!$K$17+COUNTIF(BDD!H353:AR353,4)*'ButsMPG + Var'!$K$16+COUNTIF(BDD!H353:AR353,3)*'ButsMPG + Var'!$K$15+COUNTIF(BDD!H353:AR353,2)*'ButsMPG + Var'!$K$14+COUNTIF(BDD!H353:AR353,1)*'ButsMPG + Var'!$K$13,IF(C350="D",COUNTIF(BDD!H353:AR353,10)*'ButsMPG + Var'!$K$32+COUNTIF(BDD!H353:AR353,9)*'ButsMPG + Var'!$K$31+COUNTIF(BDD!H353:AR353,8)*'ButsMPG + Var'!$K$30+COUNTIF(BDD!H353:AR353,7)*'ButsMPG + Var'!$K$29+COUNTIF(BDD!H353:AR353,6)*'ButsMPG + Var'!$K$28+COUNTIF(BDD!H353:AR353,5)*'ButsMPG + Var'!$K$27+COUNTIF(BDD!H353:AR353,4)*'ButsMPG + Var'!$K$26+COUNTIF(BDD!H353:AR353,3)*'ButsMPG + Var'!$K$25+COUNTIF(BDD!H353:AR353,2)*'ButsMPG + Var'!$K$24+COUNTIF(BDD!H353:AR353,1)*'ButsMPG + Var'!$K$23,0)))</f>
        <v>0</v>
      </c>
      <c r="H350" s="25">
        <f t="shared" si="6"/>
        <v>0</v>
      </c>
      <c r="I350" s="25">
        <f>BDD!G353</f>
        <v>0</v>
      </c>
      <c r="J350" s="25">
        <f>SUMPRODUCT(BDD!H353:AS353,'ButsMPG + Var'!$B$46:$AM$46)</f>
        <v>0</v>
      </c>
      <c r="K350" s="25" t="e">
        <f>10*('ButsMPG + Var'!$H$37*J350/MAX(J:J)+'ButsMPG + Var'!$G$37*H350/MAX(H:H))</f>
        <v>#DIV/0!</v>
      </c>
      <c r="L350" s="1">
        <f>IF(ISNA(VLOOKUP(B350,PrixMini!$B$3:$E$573,4,FALSE)),1,VLOOKUP(B350,PrixMini!$B$3:$E$573,4,FALSE))</f>
        <v>1</v>
      </c>
      <c r="M350" s="25" t="e">
        <f>IF(ROUND(CalculCotation!$D$3*EXP(CalculCotation!$C$3*K350)-CalculCotation!$D$3+1,0)&gt;L350,ROUND(CalculCotation!$D$3*EXP(CalculCotation!$C$3*K350)-CalculCotation!$D$3+1,0),L350)</f>
        <v>#DIV/0!</v>
      </c>
    </row>
    <row r="351" spans="2:13" x14ac:dyDescent="0.3">
      <c r="B351" s="1">
        <f>BDD!C354</f>
        <v>0</v>
      </c>
      <c r="C351" s="1">
        <f>BDD!B354</f>
        <v>0</v>
      </c>
      <c r="D351" s="1">
        <f>BDD!A354</f>
        <v>0</v>
      </c>
      <c r="E351" s="1">
        <f>BDD!D354</f>
        <v>0</v>
      </c>
      <c r="F351" s="1">
        <f>BDD!F354</f>
        <v>0</v>
      </c>
      <c r="G351" s="25">
        <f>'ButsMPG + Var'!$I$39*IF(C351="A",COUNTIF(BDD!H354:AR354,10)*'ButsMPG + Var'!$K$12+COUNTIF(BDD!H354:AR354,9)*'ButsMPG + Var'!$K$11+COUNTIF(BDD!H354:AR354,8)*'ButsMPG + Var'!$K$10+COUNTIF(BDD!H354:AR354,7)*'ButsMPG + Var'!$K$9+COUNTIF(BDD!H354:AR354,6)*'ButsMPG + Var'!$K$8+COUNTIF(BDD!H354:AR354,5)*'ButsMPG + Var'!$K$7+COUNTIF(BDD!H354:AR354,4)*'ButsMPG + Var'!$K$6+COUNTIF(BDD!H354:AR354,3)*'ButsMPG + Var'!$K$5+COUNTIF(BDD!H354:AR354,2)*'ButsMPG + Var'!$K$4+COUNTIF(BDD!H354:AR354,1)*'ButsMPG + Var'!$K$3,IF(C351="M",COUNTIF(BDD!H354:AR354,10)*'ButsMPG + Var'!$K$22+COUNTIF(BDD!H354:AR354,9)*'ButsMPG + Var'!$K$21+COUNTIF(BDD!H354:AR354,8)*'ButsMPG + Var'!$K$20+COUNTIF(BDD!H354:AR354,7)*'ButsMPG + Var'!$K$19+COUNTIF(BDD!H354:AR354,6)*'ButsMPG + Var'!$K$18+COUNTIF(BDD!H354:AR354,5)*'ButsMPG + Var'!$K$17+COUNTIF(BDD!H354:AR354,4)*'ButsMPG + Var'!$K$16+COUNTIF(BDD!H354:AR354,3)*'ButsMPG + Var'!$K$15+COUNTIF(BDD!H354:AR354,2)*'ButsMPG + Var'!$K$14+COUNTIF(BDD!H354:AR354,1)*'ButsMPG + Var'!$K$13,IF(C351="D",COUNTIF(BDD!H354:AR354,10)*'ButsMPG + Var'!$K$32+COUNTIF(BDD!H354:AR354,9)*'ButsMPG + Var'!$K$31+COUNTIF(BDD!H354:AR354,8)*'ButsMPG + Var'!$K$30+COUNTIF(BDD!H354:AR354,7)*'ButsMPG + Var'!$K$29+COUNTIF(BDD!H354:AR354,6)*'ButsMPG + Var'!$K$28+COUNTIF(BDD!H354:AR354,5)*'ButsMPG + Var'!$K$27+COUNTIF(BDD!H354:AR354,4)*'ButsMPG + Var'!$K$26+COUNTIF(BDD!H354:AR354,3)*'ButsMPG + Var'!$K$25+COUNTIF(BDD!H354:AR354,2)*'ButsMPG + Var'!$K$24+COUNTIF(BDD!H354:AR354,1)*'ButsMPG + Var'!$K$23,0)))</f>
        <v>0</v>
      </c>
      <c r="H351" s="25">
        <f t="shared" si="6"/>
        <v>0</v>
      </c>
      <c r="I351" s="25">
        <f>BDD!G354</f>
        <v>0</v>
      </c>
      <c r="J351" s="25">
        <f>SUMPRODUCT(BDD!H354:AS354,'ButsMPG + Var'!$B$46:$AM$46)</f>
        <v>0</v>
      </c>
      <c r="K351" s="25" t="e">
        <f>10*('ButsMPG + Var'!$H$37*J351/MAX(J:J)+'ButsMPG + Var'!$G$37*H351/MAX(H:H))</f>
        <v>#DIV/0!</v>
      </c>
      <c r="L351" s="1">
        <f>IF(ISNA(VLOOKUP(B351,PrixMini!$B$3:$E$573,4,FALSE)),1,VLOOKUP(B351,PrixMini!$B$3:$E$573,4,FALSE))</f>
        <v>1</v>
      </c>
      <c r="M351" s="25" t="e">
        <f>IF(ROUND(CalculCotation!$D$3*EXP(CalculCotation!$C$3*K351)-CalculCotation!$D$3+1,0)&gt;L351,ROUND(CalculCotation!$D$3*EXP(CalculCotation!$C$3*K351)-CalculCotation!$D$3+1,0),L351)</f>
        <v>#DIV/0!</v>
      </c>
    </row>
    <row r="352" spans="2:13" x14ac:dyDescent="0.3">
      <c r="B352" s="1">
        <f>BDD!C355</f>
        <v>0</v>
      </c>
      <c r="C352" s="1">
        <f>BDD!B355</f>
        <v>0</v>
      </c>
      <c r="D352" s="1">
        <f>BDD!A355</f>
        <v>0</v>
      </c>
      <c r="E352" s="1">
        <f>BDD!D355</f>
        <v>0</v>
      </c>
      <c r="F352" s="1">
        <f>BDD!F355</f>
        <v>0</v>
      </c>
      <c r="G352" s="25">
        <f>'ButsMPG + Var'!$I$39*IF(C352="A",COUNTIF(BDD!H355:AR355,10)*'ButsMPG + Var'!$K$12+COUNTIF(BDD!H355:AR355,9)*'ButsMPG + Var'!$K$11+COUNTIF(BDD!H355:AR355,8)*'ButsMPG + Var'!$K$10+COUNTIF(BDD!H355:AR355,7)*'ButsMPG + Var'!$K$9+COUNTIF(BDD!H355:AR355,6)*'ButsMPG + Var'!$K$8+COUNTIF(BDD!H355:AR355,5)*'ButsMPG + Var'!$K$7+COUNTIF(BDD!H355:AR355,4)*'ButsMPG + Var'!$K$6+COUNTIF(BDD!H355:AR355,3)*'ButsMPG + Var'!$K$5+COUNTIF(BDD!H355:AR355,2)*'ButsMPG + Var'!$K$4+COUNTIF(BDD!H355:AR355,1)*'ButsMPG + Var'!$K$3,IF(C352="M",COUNTIF(BDD!H355:AR355,10)*'ButsMPG + Var'!$K$22+COUNTIF(BDD!H355:AR355,9)*'ButsMPG + Var'!$K$21+COUNTIF(BDD!H355:AR355,8)*'ButsMPG + Var'!$K$20+COUNTIF(BDD!H355:AR355,7)*'ButsMPG + Var'!$K$19+COUNTIF(BDD!H355:AR355,6)*'ButsMPG + Var'!$K$18+COUNTIF(BDD!H355:AR355,5)*'ButsMPG + Var'!$K$17+COUNTIF(BDD!H355:AR355,4)*'ButsMPG + Var'!$K$16+COUNTIF(BDD!H355:AR355,3)*'ButsMPG + Var'!$K$15+COUNTIF(BDD!H355:AR355,2)*'ButsMPG + Var'!$K$14+COUNTIF(BDD!H355:AR355,1)*'ButsMPG + Var'!$K$13,IF(C352="D",COUNTIF(BDD!H355:AR355,10)*'ButsMPG + Var'!$K$32+COUNTIF(BDD!H355:AR355,9)*'ButsMPG + Var'!$K$31+COUNTIF(BDD!H355:AR355,8)*'ButsMPG + Var'!$K$30+COUNTIF(BDD!H355:AR355,7)*'ButsMPG + Var'!$K$29+COUNTIF(BDD!H355:AR355,6)*'ButsMPG + Var'!$K$28+COUNTIF(BDD!H355:AR355,5)*'ButsMPG + Var'!$K$27+COUNTIF(BDD!H355:AR355,4)*'ButsMPG + Var'!$K$26+COUNTIF(BDD!H355:AR355,3)*'ButsMPG + Var'!$K$25+COUNTIF(BDD!H355:AR355,2)*'ButsMPG + Var'!$K$24+COUNTIF(BDD!H355:AR355,1)*'ButsMPG + Var'!$K$23,0)))</f>
        <v>0</v>
      </c>
      <c r="H352" s="25">
        <f t="shared" si="6"/>
        <v>0</v>
      </c>
      <c r="I352" s="25">
        <f>BDD!G355</f>
        <v>0</v>
      </c>
      <c r="J352" s="25">
        <f>SUMPRODUCT(BDD!H355:AS355,'ButsMPG + Var'!$B$46:$AM$46)</f>
        <v>0</v>
      </c>
      <c r="K352" s="25" t="e">
        <f>10*('ButsMPG + Var'!$H$37*J352/MAX(J:J)+'ButsMPG + Var'!$G$37*H352/MAX(H:H))</f>
        <v>#DIV/0!</v>
      </c>
      <c r="L352" s="1">
        <f>IF(ISNA(VLOOKUP(B352,PrixMini!$B$3:$E$573,4,FALSE)),1,VLOOKUP(B352,PrixMini!$B$3:$E$573,4,FALSE))</f>
        <v>1</v>
      </c>
      <c r="M352" s="25" t="e">
        <f>IF(ROUND(CalculCotation!$D$3*EXP(CalculCotation!$C$3*K352)-CalculCotation!$D$3+1,0)&gt;L352,ROUND(CalculCotation!$D$3*EXP(CalculCotation!$C$3*K352)-CalculCotation!$D$3+1,0),L352)</f>
        <v>#DIV/0!</v>
      </c>
    </row>
    <row r="353" spans="2:13" x14ac:dyDescent="0.3">
      <c r="B353" s="1">
        <f>BDD!C356</f>
        <v>0</v>
      </c>
      <c r="C353" s="1">
        <f>BDD!B356</f>
        <v>0</v>
      </c>
      <c r="D353" s="1">
        <f>BDD!A356</f>
        <v>0</v>
      </c>
      <c r="E353" s="1">
        <f>BDD!D356</f>
        <v>0</v>
      </c>
      <c r="F353" s="1">
        <f>BDD!F356</f>
        <v>0</v>
      </c>
      <c r="G353" s="25">
        <f>'ButsMPG + Var'!$I$39*IF(C353="A",COUNTIF(BDD!H356:AR356,10)*'ButsMPG + Var'!$K$12+COUNTIF(BDD!H356:AR356,9)*'ButsMPG + Var'!$K$11+COUNTIF(BDD!H356:AR356,8)*'ButsMPG + Var'!$K$10+COUNTIF(BDD!H356:AR356,7)*'ButsMPG + Var'!$K$9+COUNTIF(BDD!H356:AR356,6)*'ButsMPG + Var'!$K$8+COUNTIF(BDD!H356:AR356,5)*'ButsMPG + Var'!$K$7+COUNTIF(BDD!H356:AR356,4)*'ButsMPG + Var'!$K$6+COUNTIF(BDD!H356:AR356,3)*'ButsMPG + Var'!$K$5+COUNTIF(BDD!H356:AR356,2)*'ButsMPG + Var'!$K$4+COUNTIF(BDD!H356:AR356,1)*'ButsMPG + Var'!$K$3,IF(C353="M",COUNTIF(BDD!H356:AR356,10)*'ButsMPG + Var'!$K$22+COUNTIF(BDD!H356:AR356,9)*'ButsMPG + Var'!$K$21+COUNTIF(BDD!H356:AR356,8)*'ButsMPG + Var'!$K$20+COUNTIF(BDD!H356:AR356,7)*'ButsMPG + Var'!$K$19+COUNTIF(BDD!H356:AR356,6)*'ButsMPG + Var'!$K$18+COUNTIF(BDD!H356:AR356,5)*'ButsMPG + Var'!$K$17+COUNTIF(BDD!H356:AR356,4)*'ButsMPG + Var'!$K$16+COUNTIF(BDD!H356:AR356,3)*'ButsMPG + Var'!$K$15+COUNTIF(BDD!H356:AR356,2)*'ButsMPG + Var'!$K$14+COUNTIF(BDD!H356:AR356,1)*'ButsMPG + Var'!$K$13,IF(C353="D",COUNTIF(BDD!H356:AR356,10)*'ButsMPG + Var'!$K$32+COUNTIF(BDD!H356:AR356,9)*'ButsMPG + Var'!$K$31+COUNTIF(BDD!H356:AR356,8)*'ButsMPG + Var'!$K$30+COUNTIF(BDD!H356:AR356,7)*'ButsMPG + Var'!$K$29+COUNTIF(BDD!H356:AR356,6)*'ButsMPG + Var'!$K$28+COUNTIF(BDD!H356:AR356,5)*'ButsMPG + Var'!$K$27+COUNTIF(BDD!H356:AR356,4)*'ButsMPG + Var'!$K$26+COUNTIF(BDD!H356:AR356,3)*'ButsMPG + Var'!$K$25+COUNTIF(BDD!H356:AR356,2)*'ButsMPG + Var'!$K$24+COUNTIF(BDD!H356:AR356,1)*'ButsMPG + Var'!$K$23,0)))</f>
        <v>0</v>
      </c>
      <c r="H353" s="25">
        <f t="shared" si="6"/>
        <v>0</v>
      </c>
      <c r="I353" s="25">
        <f>BDD!G356</f>
        <v>0</v>
      </c>
      <c r="J353" s="25">
        <f>SUMPRODUCT(BDD!H356:AS356,'ButsMPG + Var'!$B$46:$AM$46)</f>
        <v>0</v>
      </c>
      <c r="K353" s="25" t="e">
        <f>10*('ButsMPG + Var'!$H$37*J353/MAX(J:J)+'ButsMPG + Var'!$G$37*H353/MAX(H:H))</f>
        <v>#DIV/0!</v>
      </c>
      <c r="L353" s="1">
        <f>IF(ISNA(VLOOKUP(B353,PrixMini!$B$3:$E$573,4,FALSE)),1,VLOOKUP(B353,PrixMini!$B$3:$E$573,4,FALSE))</f>
        <v>1</v>
      </c>
      <c r="M353" s="25" t="e">
        <f>IF(ROUND(CalculCotation!$D$3*EXP(CalculCotation!$C$3*K353)-CalculCotation!$D$3+1,0)&gt;L353,ROUND(CalculCotation!$D$3*EXP(CalculCotation!$C$3*K353)-CalculCotation!$D$3+1,0),L353)</f>
        <v>#DIV/0!</v>
      </c>
    </row>
    <row r="354" spans="2:13" x14ac:dyDescent="0.3">
      <c r="B354" s="1">
        <f>BDD!C357</f>
        <v>0</v>
      </c>
      <c r="C354" s="1">
        <f>BDD!B357</f>
        <v>0</v>
      </c>
      <c r="D354" s="1">
        <f>BDD!A357</f>
        <v>0</v>
      </c>
      <c r="E354" s="1">
        <f>BDD!D357</f>
        <v>0</v>
      </c>
      <c r="F354" s="1">
        <f>BDD!F357</f>
        <v>0</v>
      </c>
      <c r="G354" s="25">
        <f>'ButsMPG + Var'!$I$39*IF(C354="A",COUNTIF(BDD!H357:AR357,10)*'ButsMPG + Var'!$K$12+COUNTIF(BDD!H357:AR357,9)*'ButsMPG + Var'!$K$11+COUNTIF(BDD!H357:AR357,8)*'ButsMPG + Var'!$K$10+COUNTIF(BDD!H357:AR357,7)*'ButsMPG + Var'!$K$9+COUNTIF(BDD!H357:AR357,6)*'ButsMPG + Var'!$K$8+COUNTIF(BDD!H357:AR357,5)*'ButsMPG + Var'!$K$7+COUNTIF(BDD!H357:AR357,4)*'ButsMPG + Var'!$K$6+COUNTIF(BDD!H357:AR357,3)*'ButsMPG + Var'!$K$5+COUNTIF(BDD!H357:AR357,2)*'ButsMPG + Var'!$K$4+COUNTIF(BDD!H357:AR357,1)*'ButsMPG + Var'!$K$3,IF(C354="M",COUNTIF(BDD!H357:AR357,10)*'ButsMPG + Var'!$K$22+COUNTIF(BDD!H357:AR357,9)*'ButsMPG + Var'!$K$21+COUNTIF(BDD!H357:AR357,8)*'ButsMPG + Var'!$K$20+COUNTIF(BDD!H357:AR357,7)*'ButsMPG + Var'!$K$19+COUNTIF(BDD!H357:AR357,6)*'ButsMPG + Var'!$K$18+COUNTIF(BDD!H357:AR357,5)*'ButsMPG + Var'!$K$17+COUNTIF(BDD!H357:AR357,4)*'ButsMPG + Var'!$K$16+COUNTIF(BDD!H357:AR357,3)*'ButsMPG + Var'!$K$15+COUNTIF(BDD!H357:AR357,2)*'ButsMPG + Var'!$K$14+COUNTIF(BDD!H357:AR357,1)*'ButsMPG + Var'!$K$13,IF(C354="D",COUNTIF(BDD!H357:AR357,10)*'ButsMPG + Var'!$K$32+COUNTIF(BDD!H357:AR357,9)*'ButsMPG + Var'!$K$31+COUNTIF(BDD!H357:AR357,8)*'ButsMPG + Var'!$K$30+COUNTIF(BDD!H357:AR357,7)*'ButsMPG + Var'!$K$29+COUNTIF(BDD!H357:AR357,6)*'ButsMPG + Var'!$K$28+COUNTIF(BDD!H357:AR357,5)*'ButsMPG + Var'!$K$27+COUNTIF(BDD!H357:AR357,4)*'ButsMPG + Var'!$K$26+COUNTIF(BDD!H357:AR357,3)*'ButsMPG + Var'!$K$25+COUNTIF(BDD!H357:AR357,2)*'ButsMPG + Var'!$K$24+COUNTIF(BDD!H357:AR357,1)*'ButsMPG + Var'!$K$23,0)))</f>
        <v>0</v>
      </c>
      <c r="H354" s="25">
        <f t="shared" si="6"/>
        <v>0</v>
      </c>
      <c r="I354" s="25">
        <f>BDD!G357</f>
        <v>0</v>
      </c>
      <c r="J354" s="25">
        <f>SUMPRODUCT(BDD!H357:AS357,'ButsMPG + Var'!$B$46:$AM$46)</f>
        <v>0</v>
      </c>
      <c r="K354" s="25" t="e">
        <f>10*('ButsMPG + Var'!$H$37*J354/MAX(J:J)+'ButsMPG + Var'!$G$37*H354/MAX(H:H))</f>
        <v>#DIV/0!</v>
      </c>
      <c r="L354" s="1">
        <f>IF(ISNA(VLOOKUP(B354,PrixMini!$B$3:$E$573,4,FALSE)),1,VLOOKUP(B354,PrixMini!$B$3:$E$573,4,FALSE))</f>
        <v>1</v>
      </c>
      <c r="M354" s="25" t="e">
        <f>IF(ROUND(CalculCotation!$D$3*EXP(CalculCotation!$C$3*K354)-CalculCotation!$D$3+1,0)&gt;L354,ROUND(CalculCotation!$D$3*EXP(CalculCotation!$C$3*K354)-CalculCotation!$D$3+1,0),L354)</f>
        <v>#DIV/0!</v>
      </c>
    </row>
    <row r="355" spans="2:13" x14ac:dyDescent="0.3">
      <c r="B355" s="1">
        <f>BDD!C358</f>
        <v>0</v>
      </c>
      <c r="C355" s="1">
        <f>BDD!B358</f>
        <v>0</v>
      </c>
      <c r="D355" s="1">
        <f>BDD!A358</f>
        <v>0</v>
      </c>
      <c r="E355" s="1">
        <f>BDD!D358</f>
        <v>0</v>
      </c>
      <c r="F355" s="1">
        <f>BDD!F358</f>
        <v>0</v>
      </c>
      <c r="G355" s="25">
        <f>'ButsMPG + Var'!$I$39*IF(C355="A",COUNTIF(BDD!H358:AR358,10)*'ButsMPG + Var'!$K$12+COUNTIF(BDD!H358:AR358,9)*'ButsMPG + Var'!$K$11+COUNTIF(BDD!H358:AR358,8)*'ButsMPG + Var'!$K$10+COUNTIF(BDD!H358:AR358,7)*'ButsMPG + Var'!$K$9+COUNTIF(BDD!H358:AR358,6)*'ButsMPG + Var'!$K$8+COUNTIF(BDD!H358:AR358,5)*'ButsMPG + Var'!$K$7+COUNTIF(BDD!H358:AR358,4)*'ButsMPG + Var'!$K$6+COUNTIF(BDD!H358:AR358,3)*'ButsMPG + Var'!$K$5+COUNTIF(BDD!H358:AR358,2)*'ButsMPG + Var'!$K$4+COUNTIF(BDD!H358:AR358,1)*'ButsMPG + Var'!$K$3,IF(C355="M",COUNTIF(BDD!H358:AR358,10)*'ButsMPG + Var'!$K$22+COUNTIF(BDD!H358:AR358,9)*'ButsMPG + Var'!$K$21+COUNTIF(BDD!H358:AR358,8)*'ButsMPG + Var'!$K$20+COUNTIF(BDD!H358:AR358,7)*'ButsMPG + Var'!$K$19+COUNTIF(BDD!H358:AR358,6)*'ButsMPG + Var'!$K$18+COUNTIF(BDD!H358:AR358,5)*'ButsMPG + Var'!$K$17+COUNTIF(BDD!H358:AR358,4)*'ButsMPG + Var'!$K$16+COUNTIF(BDD!H358:AR358,3)*'ButsMPG + Var'!$K$15+COUNTIF(BDD!H358:AR358,2)*'ButsMPG + Var'!$K$14+COUNTIF(BDD!H358:AR358,1)*'ButsMPG + Var'!$K$13,IF(C355="D",COUNTIF(BDD!H358:AR358,10)*'ButsMPG + Var'!$K$32+COUNTIF(BDD!H358:AR358,9)*'ButsMPG + Var'!$K$31+COUNTIF(BDD!H358:AR358,8)*'ButsMPG + Var'!$K$30+COUNTIF(BDD!H358:AR358,7)*'ButsMPG + Var'!$K$29+COUNTIF(BDD!H358:AR358,6)*'ButsMPG + Var'!$K$28+COUNTIF(BDD!H358:AR358,5)*'ButsMPG + Var'!$K$27+COUNTIF(BDD!H358:AR358,4)*'ButsMPG + Var'!$K$26+COUNTIF(BDD!H358:AR358,3)*'ButsMPG + Var'!$K$25+COUNTIF(BDD!H358:AR358,2)*'ButsMPG + Var'!$K$24+COUNTIF(BDD!H358:AR358,1)*'ButsMPG + Var'!$K$23,0)))</f>
        <v>0</v>
      </c>
      <c r="H355" s="25">
        <f t="shared" si="6"/>
        <v>0</v>
      </c>
      <c r="I355" s="25">
        <f>BDD!G358</f>
        <v>0</v>
      </c>
      <c r="J355" s="25">
        <f>SUMPRODUCT(BDD!H358:AS358,'ButsMPG + Var'!$B$46:$AM$46)</f>
        <v>0</v>
      </c>
      <c r="K355" s="25" t="e">
        <f>10*('ButsMPG + Var'!$H$37*J355/MAX(J:J)+'ButsMPG + Var'!$G$37*H355/MAX(H:H))</f>
        <v>#DIV/0!</v>
      </c>
      <c r="L355" s="1">
        <f>IF(ISNA(VLOOKUP(B355,PrixMini!$B$3:$E$573,4,FALSE)),1,VLOOKUP(B355,PrixMini!$B$3:$E$573,4,FALSE))</f>
        <v>1</v>
      </c>
      <c r="M355" s="25" t="e">
        <f>IF(ROUND(CalculCotation!$D$3*EXP(CalculCotation!$C$3*K355)-CalculCotation!$D$3+1,0)&gt;L355,ROUND(CalculCotation!$D$3*EXP(CalculCotation!$C$3*K355)-CalculCotation!$D$3+1,0),L355)</f>
        <v>#DIV/0!</v>
      </c>
    </row>
    <row r="356" spans="2:13" x14ac:dyDescent="0.3">
      <c r="B356" s="1">
        <f>BDD!C359</f>
        <v>0</v>
      </c>
      <c r="C356" s="1">
        <f>BDD!B359</f>
        <v>0</v>
      </c>
      <c r="D356" s="1">
        <f>BDD!A359</f>
        <v>0</v>
      </c>
      <c r="E356" s="1">
        <f>BDD!D359</f>
        <v>0</v>
      </c>
      <c r="F356" s="1">
        <f>BDD!F359</f>
        <v>0</v>
      </c>
      <c r="G356" s="25">
        <f>'ButsMPG + Var'!$I$39*IF(C356="A",COUNTIF(BDD!H359:AR359,10)*'ButsMPG + Var'!$K$12+COUNTIF(BDD!H359:AR359,9)*'ButsMPG + Var'!$K$11+COUNTIF(BDD!H359:AR359,8)*'ButsMPG + Var'!$K$10+COUNTIF(BDD!H359:AR359,7)*'ButsMPG + Var'!$K$9+COUNTIF(BDD!H359:AR359,6)*'ButsMPG + Var'!$K$8+COUNTIF(BDD!H359:AR359,5)*'ButsMPG + Var'!$K$7+COUNTIF(BDD!H359:AR359,4)*'ButsMPG + Var'!$K$6+COUNTIF(BDD!H359:AR359,3)*'ButsMPG + Var'!$K$5+COUNTIF(BDD!H359:AR359,2)*'ButsMPG + Var'!$K$4+COUNTIF(BDD!H359:AR359,1)*'ButsMPG + Var'!$K$3,IF(C356="M",COUNTIF(BDD!H359:AR359,10)*'ButsMPG + Var'!$K$22+COUNTIF(BDD!H359:AR359,9)*'ButsMPG + Var'!$K$21+COUNTIF(BDD!H359:AR359,8)*'ButsMPG + Var'!$K$20+COUNTIF(BDD!H359:AR359,7)*'ButsMPG + Var'!$K$19+COUNTIF(BDD!H359:AR359,6)*'ButsMPG + Var'!$K$18+COUNTIF(BDD!H359:AR359,5)*'ButsMPG + Var'!$K$17+COUNTIF(BDD!H359:AR359,4)*'ButsMPG + Var'!$K$16+COUNTIF(BDD!H359:AR359,3)*'ButsMPG + Var'!$K$15+COUNTIF(BDD!H359:AR359,2)*'ButsMPG + Var'!$K$14+COUNTIF(BDD!H359:AR359,1)*'ButsMPG + Var'!$K$13,IF(C356="D",COUNTIF(BDD!H359:AR359,10)*'ButsMPG + Var'!$K$32+COUNTIF(BDD!H359:AR359,9)*'ButsMPG + Var'!$K$31+COUNTIF(BDD!H359:AR359,8)*'ButsMPG + Var'!$K$30+COUNTIF(BDD!H359:AR359,7)*'ButsMPG + Var'!$K$29+COUNTIF(BDD!H359:AR359,6)*'ButsMPG + Var'!$K$28+COUNTIF(BDD!H359:AR359,5)*'ButsMPG + Var'!$K$27+COUNTIF(BDD!H359:AR359,4)*'ButsMPG + Var'!$K$26+COUNTIF(BDD!H359:AR359,3)*'ButsMPG + Var'!$K$25+COUNTIF(BDD!H359:AR359,2)*'ButsMPG + Var'!$K$24+COUNTIF(BDD!H359:AR359,1)*'ButsMPG + Var'!$K$23,0)))</f>
        <v>0</v>
      </c>
      <c r="H356" s="25">
        <f t="shared" si="6"/>
        <v>0</v>
      </c>
      <c r="I356" s="25">
        <f>BDD!G359</f>
        <v>0</v>
      </c>
      <c r="J356" s="25">
        <f>SUMPRODUCT(BDD!H359:AS359,'ButsMPG + Var'!$B$46:$AM$46)</f>
        <v>0</v>
      </c>
      <c r="K356" s="25" t="e">
        <f>10*('ButsMPG + Var'!$H$37*J356/MAX(J:J)+'ButsMPG + Var'!$G$37*H356/MAX(H:H))</f>
        <v>#DIV/0!</v>
      </c>
      <c r="L356" s="1">
        <f>IF(ISNA(VLOOKUP(B356,PrixMini!$B$3:$E$573,4,FALSE)),1,VLOOKUP(B356,PrixMini!$B$3:$E$573,4,FALSE))</f>
        <v>1</v>
      </c>
      <c r="M356" s="25" t="e">
        <f>IF(ROUND(CalculCotation!$D$3*EXP(CalculCotation!$C$3*K356)-CalculCotation!$D$3+1,0)&gt;L356,ROUND(CalculCotation!$D$3*EXP(CalculCotation!$C$3*K356)-CalculCotation!$D$3+1,0),L356)</f>
        <v>#DIV/0!</v>
      </c>
    </row>
    <row r="357" spans="2:13" x14ac:dyDescent="0.3">
      <c r="B357" s="1">
        <f>BDD!C360</f>
        <v>0</v>
      </c>
      <c r="C357" s="1">
        <f>BDD!B360</f>
        <v>0</v>
      </c>
      <c r="D357" s="1">
        <f>BDD!A360</f>
        <v>0</v>
      </c>
      <c r="E357" s="1">
        <f>BDD!D360</f>
        <v>0</v>
      </c>
      <c r="F357" s="1">
        <f>BDD!F360</f>
        <v>0</v>
      </c>
      <c r="G357" s="25">
        <f>'ButsMPG + Var'!$I$39*IF(C357="A",COUNTIF(BDD!H360:AR360,10)*'ButsMPG + Var'!$K$12+COUNTIF(BDD!H360:AR360,9)*'ButsMPG + Var'!$K$11+COUNTIF(BDD!H360:AR360,8)*'ButsMPG + Var'!$K$10+COUNTIF(BDD!H360:AR360,7)*'ButsMPG + Var'!$K$9+COUNTIF(BDD!H360:AR360,6)*'ButsMPG + Var'!$K$8+COUNTIF(BDD!H360:AR360,5)*'ButsMPG + Var'!$K$7+COUNTIF(BDD!H360:AR360,4)*'ButsMPG + Var'!$K$6+COUNTIF(BDD!H360:AR360,3)*'ButsMPG + Var'!$K$5+COUNTIF(BDD!H360:AR360,2)*'ButsMPG + Var'!$K$4+COUNTIF(BDD!H360:AR360,1)*'ButsMPG + Var'!$K$3,IF(C357="M",COUNTIF(BDD!H360:AR360,10)*'ButsMPG + Var'!$K$22+COUNTIF(BDD!H360:AR360,9)*'ButsMPG + Var'!$K$21+COUNTIF(BDD!H360:AR360,8)*'ButsMPG + Var'!$K$20+COUNTIF(BDD!H360:AR360,7)*'ButsMPG + Var'!$K$19+COUNTIF(BDD!H360:AR360,6)*'ButsMPG + Var'!$K$18+COUNTIF(BDD!H360:AR360,5)*'ButsMPG + Var'!$K$17+COUNTIF(BDD!H360:AR360,4)*'ButsMPG + Var'!$K$16+COUNTIF(BDD!H360:AR360,3)*'ButsMPG + Var'!$K$15+COUNTIF(BDD!H360:AR360,2)*'ButsMPG + Var'!$K$14+COUNTIF(BDD!H360:AR360,1)*'ButsMPG + Var'!$K$13,IF(C357="D",COUNTIF(BDD!H360:AR360,10)*'ButsMPG + Var'!$K$32+COUNTIF(BDD!H360:AR360,9)*'ButsMPG + Var'!$K$31+COUNTIF(BDD!H360:AR360,8)*'ButsMPG + Var'!$K$30+COUNTIF(BDD!H360:AR360,7)*'ButsMPG + Var'!$K$29+COUNTIF(BDD!H360:AR360,6)*'ButsMPG + Var'!$K$28+COUNTIF(BDD!H360:AR360,5)*'ButsMPG + Var'!$K$27+COUNTIF(BDD!H360:AR360,4)*'ButsMPG + Var'!$K$26+COUNTIF(BDD!H360:AR360,3)*'ButsMPG + Var'!$K$25+COUNTIF(BDD!H360:AR360,2)*'ButsMPG + Var'!$K$24+COUNTIF(BDD!H360:AR360,1)*'ButsMPG + Var'!$K$23,0)))</f>
        <v>0</v>
      </c>
      <c r="H357" s="25">
        <f t="shared" si="6"/>
        <v>0</v>
      </c>
      <c r="I357" s="25">
        <f>BDD!G360</f>
        <v>0</v>
      </c>
      <c r="J357" s="25">
        <f>SUMPRODUCT(BDD!H360:AS360,'ButsMPG + Var'!$B$46:$AM$46)</f>
        <v>0</v>
      </c>
      <c r="K357" s="25" t="e">
        <f>10*('ButsMPG + Var'!$H$37*J357/MAX(J:J)+'ButsMPG + Var'!$G$37*H357/MAX(H:H))</f>
        <v>#DIV/0!</v>
      </c>
      <c r="L357" s="1">
        <f>IF(ISNA(VLOOKUP(B357,PrixMini!$B$3:$E$573,4,FALSE)),1,VLOOKUP(B357,PrixMini!$B$3:$E$573,4,FALSE))</f>
        <v>1</v>
      </c>
      <c r="M357" s="25" t="e">
        <f>IF(ROUND(CalculCotation!$D$3*EXP(CalculCotation!$C$3*K357)-CalculCotation!$D$3+1,0)&gt;L357,ROUND(CalculCotation!$D$3*EXP(CalculCotation!$C$3*K357)-CalculCotation!$D$3+1,0),L357)</f>
        <v>#DIV/0!</v>
      </c>
    </row>
    <row r="358" spans="2:13" x14ac:dyDescent="0.3">
      <c r="B358" s="1">
        <f>BDD!C361</f>
        <v>0</v>
      </c>
      <c r="C358" s="1">
        <f>BDD!B361</f>
        <v>0</v>
      </c>
      <c r="D358" s="1">
        <f>BDD!A361</f>
        <v>0</v>
      </c>
      <c r="E358" s="1">
        <f>BDD!D361</f>
        <v>0</v>
      </c>
      <c r="F358" s="1">
        <f>BDD!F361</f>
        <v>0</v>
      </c>
      <c r="G358" s="25">
        <f>'ButsMPG + Var'!$I$39*IF(C358="A",COUNTIF(BDD!H361:AR361,10)*'ButsMPG + Var'!$K$12+COUNTIF(BDD!H361:AR361,9)*'ButsMPG + Var'!$K$11+COUNTIF(BDD!H361:AR361,8)*'ButsMPG + Var'!$K$10+COUNTIF(BDD!H361:AR361,7)*'ButsMPG + Var'!$K$9+COUNTIF(BDD!H361:AR361,6)*'ButsMPG + Var'!$K$8+COUNTIF(BDD!H361:AR361,5)*'ButsMPG + Var'!$K$7+COUNTIF(BDD!H361:AR361,4)*'ButsMPG + Var'!$K$6+COUNTIF(BDD!H361:AR361,3)*'ButsMPG + Var'!$K$5+COUNTIF(BDD!H361:AR361,2)*'ButsMPG + Var'!$K$4+COUNTIF(BDD!H361:AR361,1)*'ButsMPG + Var'!$K$3,IF(C358="M",COUNTIF(BDD!H361:AR361,10)*'ButsMPG + Var'!$K$22+COUNTIF(BDD!H361:AR361,9)*'ButsMPG + Var'!$K$21+COUNTIF(BDD!H361:AR361,8)*'ButsMPG + Var'!$K$20+COUNTIF(BDD!H361:AR361,7)*'ButsMPG + Var'!$K$19+COUNTIF(BDD!H361:AR361,6)*'ButsMPG + Var'!$K$18+COUNTIF(BDD!H361:AR361,5)*'ButsMPG + Var'!$K$17+COUNTIF(BDD!H361:AR361,4)*'ButsMPG + Var'!$K$16+COUNTIF(BDD!H361:AR361,3)*'ButsMPG + Var'!$K$15+COUNTIF(BDD!H361:AR361,2)*'ButsMPG + Var'!$K$14+COUNTIF(BDD!H361:AR361,1)*'ButsMPG + Var'!$K$13,IF(C358="D",COUNTIF(BDD!H361:AR361,10)*'ButsMPG + Var'!$K$32+COUNTIF(BDD!H361:AR361,9)*'ButsMPG + Var'!$K$31+COUNTIF(BDD!H361:AR361,8)*'ButsMPG + Var'!$K$30+COUNTIF(BDD!H361:AR361,7)*'ButsMPG + Var'!$K$29+COUNTIF(BDD!H361:AR361,6)*'ButsMPG + Var'!$K$28+COUNTIF(BDD!H361:AR361,5)*'ButsMPG + Var'!$K$27+COUNTIF(BDD!H361:AR361,4)*'ButsMPG + Var'!$K$26+COUNTIF(BDD!H361:AR361,3)*'ButsMPG + Var'!$K$25+COUNTIF(BDD!H361:AR361,2)*'ButsMPG + Var'!$K$24+COUNTIF(BDD!H361:AR361,1)*'ButsMPG + Var'!$K$23,0)))</f>
        <v>0</v>
      </c>
      <c r="H358" s="25">
        <f t="shared" si="6"/>
        <v>0</v>
      </c>
      <c r="I358" s="25">
        <f>BDD!G361</f>
        <v>0</v>
      </c>
      <c r="J358" s="25">
        <f>SUMPRODUCT(BDD!H361:AS361,'ButsMPG + Var'!$B$46:$AM$46)</f>
        <v>0</v>
      </c>
      <c r="K358" s="25" t="e">
        <f>10*('ButsMPG + Var'!$H$37*J358/MAX(J:J)+'ButsMPG + Var'!$G$37*H358/MAX(H:H))</f>
        <v>#DIV/0!</v>
      </c>
      <c r="L358" s="1">
        <f>IF(ISNA(VLOOKUP(B358,PrixMini!$B$3:$E$573,4,FALSE)),1,VLOOKUP(B358,PrixMini!$B$3:$E$573,4,FALSE))</f>
        <v>1</v>
      </c>
      <c r="M358" s="25" t="e">
        <f>IF(ROUND(CalculCotation!$D$3*EXP(CalculCotation!$C$3*K358)-CalculCotation!$D$3+1,0)&gt;L358,ROUND(CalculCotation!$D$3*EXP(CalculCotation!$C$3*K358)-CalculCotation!$D$3+1,0),L358)</f>
        <v>#DIV/0!</v>
      </c>
    </row>
    <row r="359" spans="2:13" x14ac:dyDescent="0.3">
      <c r="B359" s="1">
        <f>BDD!C362</f>
        <v>0</v>
      </c>
      <c r="C359" s="1">
        <f>BDD!B362</f>
        <v>0</v>
      </c>
      <c r="D359" s="1">
        <f>BDD!A362</f>
        <v>0</v>
      </c>
      <c r="E359" s="1">
        <f>BDD!D362</f>
        <v>0</v>
      </c>
      <c r="F359" s="1">
        <f>BDD!F362</f>
        <v>0</v>
      </c>
      <c r="G359" s="25">
        <f>'ButsMPG + Var'!$I$39*IF(C359="A",COUNTIF(BDD!H362:AR362,10)*'ButsMPG + Var'!$K$12+COUNTIF(BDD!H362:AR362,9)*'ButsMPG + Var'!$K$11+COUNTIF(BDD!H362:AR362,8)*'ButsMPG + Var'!$K$10+COUNTIF(BDD!H362:AR362,7)*'ButsMPG + Var'!$K$9+COUNTIF(BDD!H362:AR362,6)*'ButsMPG + Var'!$K$8+COUNTIF(BDD!H362:AR362,5)*'ButsMPG + Var'!$K$7+COUNTIF(BDD!H362:AR362,4)*'ButsMPG + Var'!$K$6+COUNTIF(BDD!H362:AR362,3)*'ButsMPG + Var'!$K$5+COUNTIF(BDD!H362:AR362,2)*'ButsMPG + Var'!$K$4+COUNTIF(BDD!H362:AR362,1)*'ButsMPG + Var'!$K$3,IF(C359="M",COUNTIF(BDD!H362:AR362,10)*'ButsMPG + Var'!$K$22+COUNTIF(BDD!H362:AR362,9)*'ButsMPG + Var'!$K$21+COUNTIF(BDD!H362:AR362,8)*'ButsMPG + Var'!$K$20+COUNTIF(BDD!H362:AR362,7)*'ButsMPG + Var'!$K$19+COUNTIF(BDD!H362:AR362,6)*'ButsMPG + Var'!$K$18+COUNTIF(BDD!H362:AR362,5)*'ButsMPG + Var'!$K$17+COUNTIF(BDD!H362:AR362,4)*'ButsMPG + Var'!$K$16+COUNTIF(BDD!H362:AR362,3)*'ButsMPG + Var'!$K$15+COUNTIF(BDD!H362:AR362,2)*'ButsMPG + Var'!$K$14+COUNTIF(BDD!H362:AR362,1)*'ButsMPG + Var'!$K$13,IF(C359="D",COUNTIF(BDD!H362:AR362,10)*'ButsMPG + Var'!$K$32+COUNTIF(BDD!H362:AR362,9)*'ButsMPG + Var'!$K$31+COUNTIF(BDD!H362:AR362,8)*'ButsMPG + Var'!$K$30+COUNTIF(BDD!H362:AR362,7)*'ButsMPG + Var'!$K$29+COUNTIF(BDD!H362:AR362,6)*'ButsMPG + Var'!$K$28+COUNTIF(BDD!H362:AR362,5)*'ButsMPG + Var'!$K$27+COUNTIF(BDD!H362:AR362,4)*'ButsMPG + Var'!$K$26+COUNTIF(BDD!H362:AR362,3)*'ButsMPG + Var'!$K$25+COUNTIF(BDD!H362:AR362,2)*'ButsMPG + Var'!$K$24+COUNTIF(BDD!H362:AR362,1)*'ButsMPG + Var'!$K$23,0)))</f>
        <v>0</v>
      </c>
      <c r="H359" s="25">
        <f t="shared" si="6"/>
        <v>0</v>
      </c>
      <c r="I359" s="25">
        <f>BDD!G362</f>
        <v>0</v>
      </c>
      <c r="J359" s="25">
        <f>SUMPRODUCT(BDD!H362:AS362,'ButsMPG + Var'!$B$46:$AM$46)</f>
        <v>0</v>
      </c>
      <c r="K359" s="25" t="e">
        <f>10*('ButsMPG + Var'!$H$37*J359/MAX(J:J)+'ButsMPG + Var'!$G$37*H359/MAX(H:H))</f>
        <v>#DIV/0!</v>
      </c>
      <c r="L359" s="1">
        <f>IF(ISNA(VLOOKUP(B359,PrixMini!$B$3:$E$573,4,FALSE)),1,VLOOKUP(B359,PrixMini!$B$3:$E$573,4,FALSE))</f>
        <v>1</v>
      </c>
      <c r="M359" s="25" t="e">
        <f>IF(ROUND(CalculCotation!$D$3*EXP(CalculCotation!$C$3*K359)-CalculCotation!$D$3+1,0)&gt;L359,ROUND(CalculCotation!$D$3*EXP(CalculCotation!$C$3*K359)-CalculCotation!$D$3+1,0),L359)</f>
        <v>#DIV/0!</v>
      </c>
    </row>
    <row r="360" spans="2:13" x14ac:dyDescent="0.3">
      <c r="B360" s="1">
        <f>BDD!C363</f>
        <v>0</v>
      </c>
      <c r="C360" s="1">
        <f>BDD!B363</f>
        <v>0</v>
      </c>
      <c r="D360" s="1">
        <f>BDD!A363</f>
        <v>0</v>
      </c>
      <c r="E360" s="1">
        <f>BDD!D363</f>
        <v>0</v>
      </c>
      <c r="F360" s="1">
        <f>BDD!F363</f>
        <v>0</v>
      </c>
      <c r="G360" s="25">
        <f>'ButsMPG + Var'!$I$39*IF(C360="A",COUNTIF(BDD!H363:AR363,10)*'ButsMPG + Var'!$K$12+COUNTIF(BDD!H363:AR363,9)*'ButsMPG + Var'!$K$11+COUNTIF(BDD!H363:AR363,8)*'ButsMPG + Var'!$K$10+COUNTIF(BDD!H363:AR363,7)*'ButsMPG + Var'!$K$9+COUNTIF(BDD!H363:AR363,6)*'ButsMPG + Var'!$K$8+COUNTIF(BDD!H363:AR363,5)*'ButsMPG + Var'!$K$7+COUNTIF(BDD!H363:AR363,4)*'ButsMPG + Var'!$K$6+COUNTIF(BDD!H363:AR363,3)*'ButsMPG + Var'!$K$5+COUNTIF(BDD!H363:AR363,2)*'ButsMPG + Var'!$K$4+COUNTIF(BDD!H363:AR363,1)*'ButsMPG + Var'!$K$3,IF(C360="M",COUNTIF(BDD!H363:AR363,10)*'ButsMPG + Var'!$K$22+COUNTIF(BDD!H363:AR363,9)*'ButsMPG + Var'!$K$21+COUNTIF(BDD!H363:AR363,8)*'ButsMPG + Var'!$K$20+COUNTIF(BDD!H363:AR363,7)*'ButsMPG + Var'!$K$19+COUNTIF(BDD!H363:AR363,6)*'ButsMPG + Var'!$K$18+COUNTIF(BDD!H363:AR363,5)*'ButsMPG + Var'!$K$17+COUNTIF(BDD!H363:AR363,4)*'ButsMPG + Var'!$K$16+COUNTIF(BDD!H363:AR363,3)*'ButsMPG + Var'!$K$15+COUNTIF(BDD!H363:AR363,2)*'ButsMPG + Var'!$K$14+COUNTIF(BDD!H363:AR363,1)*'ButsMPG + Var'!$K$13,IF(C360="D",COUNTIF(BDD!H363:AR363,10)*'ButsMPG + Var'!$K$32+COUNTIF(BDD!H363:AR363,9)*'ButsMPG + Var'!$K$31+COUNTIF(BDD!H363:AR363,8)*'ButsMPG + Var'!$K$30+COUNTIF(BDD!H363:AR363,7)*'ButsMPG + Var'!$K$29+COUNTIF(BDD!H363:AR363,6)*'ButsMPG + Var'!$K$28+COUNTIF(BDD!H363:AR363,5)*'ButsMPG + Var'!$K$27+COUNTIF(BDD!H363:AR363,4)*'ButsMPG + Var'!$K$26+COUNTIF(BDD!H363:AR363,3)*'ButsMPG + Var'!$K$25+COUNTIF(BDD!H363:AR363,2)*'ButsMPG + Var'!$K$24+COUNTIF(BDD!H363:AR363,1)*'ButsMPG + Var'!$K$23,0)))</f>
        <v>0</v>
      </c>
      <c r="H360" s="25">
        <f t="shared" si="6"/>
        <v>0</v>
      </c>
      <c r="I360" s="25">
        <f>BDD!G363</f>
        <v>0</v>
      </c>
      <c r="J360" s="25">
        <f>SUMPRODUCT(BDD!H363:AS363,'ButsMPG + Var'!$B$46:$AM$46)</f>
        <v>0</v>
      </c>
      <c r="K360" s="25" t="e">
        <f>10*('ButsMPG + Var'!$H$37*J360/MAX(J:J)+'ButsMPG + Var'!$G$37*H360/MAX(H:H))</f>
        <v>#DIV/0!</v>
      </c>
      <c r="L360" s="1">
        <f>IF(ISNA(VLOOKUP(B360,PrixMini!$B$3:$E$573,4,FALSE)),1,VLOOKUP(B360,PrixMini!$B$3:$E$573,4,FALSE))</f>
        <v>1</v>
      </c>
      <c r="M360" s="25" t="e">
        <f>IF(ROUND(CalculCotation!$D$3*EXP(CalculCotation!$C$3*K360)-CalculCotation!$D$3+1,0)&gt;L360,ROUND(CalculCotation!$D$3*EXP(CalculCotation!$C$3*K360)-CalculCotation!$D$3+1,0),L360)</f>
        <v>#DIV/0!</v>
      </c>
    </row>
    <row r="361" spans="2:13" x14ac:dyDescent="0.3">
      <c r="B361" s="1">
        <f>BDD!C364</f>
        <v>0</v>
      </c>
      <c r="C361" s="1">
        <f>BDD!B364</f>
        <v>0</v>
      </c>
      <c r="D361" s="1">
        <f>BDD!A364</f>
        <v>0</v>
      </c>
      <c r="E361" s="1">
        <f>BDD!D364</f>
        <v>0</v>
      </c>
      <c r="F361" s="1">
        <f>BDD!F364</f>
        <v>0</v>
      </c>
      <c r="G361" s="25">
        <f>'ButsMPG + Var'!$I$39*IF(C361="A",COUNTIF(BDD!H364:AR364,10)*'ButsMPG + Var'!$K$12+COUNTIF(BDD!H364:AR364,9)*'ButsMPG + Var'!$K$11+COUNTIF(BDD!H364:AR364,8)*'ButsMPG + Var'!$K$10+COUNTIF(BDD!H364:AR364,7)*'ButsMPG + Var'!$K$9+COUNTIF(BDD!H364:AR364,6)*'ButsMPG + Var'!$K$8+COUNTIF(BDD!H364:AR364,5)*'ButsMPG + Var'!$K$7+COUNTIF(BDD!H364:AR364,4)*'ButsMPG + Var'!$K$6+COUNTIF(BDD!H364:AR364,3)*'ButsMPG + Var'!$K$5+COUNTIF(BDD!H364:AR364,2)*'ButsMPG + Var'!$K$4+COUNTIF(BDD!H364:AR364,1)*'ButsMPG + Var'!$K$3,IF(C361="M",COUNTIF(BDD!H364:AR364,10)*'ButsMPG + Var'!$K$22+COUNTIF(BDD!H364:AR364,9)*'ButsMPG + Var'!$K$21+COUNTIF(BDD!H364:AR364,8)*'ButsMPG + Var'!$K$20+COUNTIF(BDD!H364:AR364,7)*'ButsMPG + Var'!$K$19+COUNTIF(BDD!H364:AR364,6)*'ButsMPG + Var'!$K$18+COUNTIF(BDD!H364:AR364,5)*'ButsMPG + Var'!$K$17+COUNTIF(BDD!H364:AR364,4)*'ButsMPG + Var'!$K$16+COUNTIF(BDD!H364:AR364,3)*'ButsMPG + Var'!$K$15+COUNTIF(BDD!H364:AR364,2)*'ButsMPG + Var'!$K$14+COUNTIF(BDD!H364:AR364,1)*'ButsMPG + Var'!$K$13,IF(C361="D",COUNTIF(BDD!H364:AR364,10)*'ButsMPG + Var'!$K$32+COUNTIF(BDD!H364:AR364,9)*'ButsMPG + Var'!$K$31+COUNTIF(BDD!H364:AR364,8)*'ButsMPG + Var'!$K$30+COUNTIF(BDD!H364:AR364,7)*'ButsMPG + Var'!$K$29+COUNTIF(BDD!H364:AR364,6)*'ButsMPG + Var'!$K$28+COUNTIF(BDD!H364:AR364,5)*'ButsMPG + Var'!$K$27+COUNTIF(BDD!H364:AR364,4)*'ButsMPG + Var'!$K$26+COUNTIF(BDD!H364:AR364,3)*'ButsMPG + Var'!$K$25+COUNTIF(BDD!H364:AR364,2)*'ButsMPG + Var'!$K$24+COUNTIF(BDD!H364:AR364,1)*'ButsMPG + Var'!$K$23,0)))</f>
        <v>0</v>
      </c>
      <c r="H361" s="25">
        <f t="shared" si="6"/>
        <v>0</v>
      </c>
      <c r="I361" s="25">
        <f>BDD!G364</f>
        <v>0</v>
      </c>
      <c r="J361" s="25">
        <f>SUMPRODUCT(BDD!H364:AS364,'ButsMPG + Var'!$B$46:$AM$46)</f>
        <v>0</v>
      </c>
      <c r="K361" s="25" t="e">
        <f>10*('ButsMPG + Var'!$H$37*J361/MAX(J:J)+'ButsMPG + Var'!$G$37*H361/MAX(H:H))</f>
        <v>#DIV/0!</v>
      </c>
      <c r="L361" s="1">
        <f>IF(ISNA(VLOOKUP(B361,PrixMini!$B$3:$E$573,4,FALSE)),1,VLOOKUP(B361,PrixMini!$B$3:$E$573,4,FALSE))</f>
        <v>1</v>
      </c>
      <c r="M361" s="25" t="e">
        <f>IF(ROUND(CalculCotation!$D$3*EXP(CalculCotation!$C$3*K361)-CalculCotation!$D$3+1,0)&gt;L361,ROUND(CalculCotation!$D$3*EXP(CalculCotation!$C$3*K361)-CalculCotation!$D$3+1,0),L361)</f>
        <v>#DIV/0!</v>
      </c>
    </row>
    <row r="362" spans="2:13" x14ac:dyDescent="0.3">
      <c r="B362" s="1">
        <f>BDD!C365</f>
        <v>0</v>
      </c>
      <c r="C362" s="1">
        <f>BDD!B365</f>
        <v>0</v>
      </c>
      <c r="D362" s="1">
        <f>BDD!A365</f>
        <v>0</v>
      </c>
      <c r="E362" s="1">
        <f>BDD!D365</f>
        <v>0</v>
      </c>
      <c r="F362" s="1">
        <f>BDD!F365</f>
        <v>0</v>
      </c>
      <c r="G362" s="25">
        <f>'ButsMPG + Var'!$I$39*IF(C362="A",COUNTIF(BDD!H365:AR365,10)*'ButsMPG + Var'!$K$12+COUNTIF(BDD!H365:AR365,9)*'ButsMPG + Var'!$K$11+COUNTIF(BDD!H365:AR365,8)*'ButsMPG + Var'!$K$10+COUNTIF(BDD!H365:AR365,7)*'ButsMPG + Var'!$K$9+COUNTIF(BDD!H365:AR365,6)*'ButsMPG + Var'!$K$8+COUNTIF(BDD!H365:AR365,5)*'ButsMPG + Var'!$K$7+COUNTIF(BDD!H365:AR365,4)*'ButsMPG + Var'!$K$6+COUNTIF(BDD!H365:AR365,3)*'ButsMPG + Var'!$K$5+COUNTIF(BDD!H365:AR365,2)*'ButsMPG + Var'!$K$4+COUNTIF(BDD!H365:AR365,1)*'ButsMPG + Var'!$K$3,IF(C362="M",COUNTIF(BDD!H365:AR365,10)*'ButsMPG + Var'!$K$22+COUNTIF(BDD!H365:AR365,9)*'ButsMPG + Var'!$K$21+COUNTIF(BDD!H365:AR365,8)*'ButsMPG + Var'!$K$20+COUNTIF(BDD!H365:AR365,7)*'ButsMPG + Var'!$K$19+COUNTIF(BDD!H365:AR365,6)*'ButsMPG + Var'!$K$18+COUNTIF(BDD!H365:AR365,5)*'ButsMPG + Var'!$K$17+COUNTIF(BDD!H365:AR365,4)*'ButsMPG + Var'!$K$16+COUNTIF(BDD!H365:AR365,3)*'ButsMPG + Var'!$K$15+COUNTIF(BDD!H365:AR365,2)*'ButsMPG + Var'!$K$14+COUNTIF(BDD!H365:AR365,1)*'ButsMPG + Var'!$K$13,IF(C362="D",COUNTIF(BDD!H365:AR365,10)*'ButsMPG + Var'!$K$32+COUNTIF(BDD!H365:AR365,9)*'ButsMPG + Var'!$K$31+COUNTIF(BDD!H365:AR365,8)*'ButsMPG + Var'!$K$30+COUNTIF(BDD!H365:AR365,7)*'ButsMPG + Var'!$K$29+COUNTIF(BDD!H365:AR365,6)*'ButsMPG + Var'!$K$28+COUNTIF(BDD!H365:AR365,5)*'ButsMPG + Var'!$K$27+COUNTIF(BDD!H365:AR365,4)*'ButsMPG + Var'!$K$26+COUNTIF(BDD!H365:AR365,3)*'ButsMPG + Var'!$K$25+COUNTIF(BDD!H365:AR365,2)*'ButsMPG + Var'!$K$24+COUNTIF(BDD!H365:AR365,1)*'ButsMPG + Var'!$K$23,0)))</f>
        <v>0</v>
      </c>
      <c r="H362" s="25">
        <f t="shared" si="6"/>
        <v>0</v>
      </c>
      <c r="I362" s="25">
        <f>BDD!G365</f>
        <v>0</v>
      </c>
      <c r="J362" s="25">
        <f>SUMPRODUCT(BDD!H365:AS365,'ButsMPG + Var'!$B$46:$AM$46)</f>
        <v>0</v>
      </c>
      <c r="K362" s="25" t="e">
        <f>10*('ButsMPG + Var'!$H$37*J362/MAX(J:J)+'ButsMPG + Var'!$G$37*H362/MAX(H:H))</f>
        <v>#DIV/0!</v>
      </c>
      <c r="L362" s="1">
        <f>IF(ISNA(VLOOKUP(B362,PrixMini!$B$3:$E$573,4,FALSE)),1,VLOOKUP(B362,PrixMini!$B$3:$E$573,4,FALSE))</f>
        <v>1</v>
      </c>
      <c r="M362" s="25" t="e">
        <f>IF(ROUND(CalculCotation!$D$3*EXP(CalculCotation!$C$3*K362)-CalculCotation!$D$3+1,0)&gt;L362,ROUND(CalculCotation!$D$3*EXP(CalculCotation!$C$3*K362)-CalculCotation!$D$3+1,0),L362)</f>
        <v>#DIV/0!</v>
      </c>
    </row>
    <row r="363" spans="2:13" x14ac:dyDescent="0.3">
      <c r="B363" s="1">
        <f>BDD!C366</f>
        <v>0</v>
      </c>
      <c r="C363" s="1">
        <f>BDD!B366</f>
        <v>0</v>
      </c>
      <c r="D363" s="1">
        <f>BDD!A366</f>
        <v>0</v>
      </c>
      <c r="E363" s="1">
        <f>BDD!D366</f>
        <v>0</v>
      </c>
      <c r="F363" s="1">
        <f>BDD!F366</f>
        <v>0</v>
      </c>
      <c r="G363" s="25">
        <f>'ButsMPG + Var'!$I$39*IF(C363="A",COUNTIF(BDD!H366:AR366,10)*'ButsMPG + Var'!$K$12+COUNTIF(BDD!H366:AR366,9)*'ButsMPG + Var'!$K$11+COUNTIF(BDD!H366:AR366,8)*'ButsMPG + Var'!$K$10+COUNTIF(BDD!H366:AR366,7)*'ButsMPG + Var'!$K$9+COUNTIF(BDD!H366:AR366,6)*'ButsMPG + Var'!$K$8+COUNTIF(BDD!H366:AR366,5)*'ButsMPG + Var'!$K$7+COUNTIF(BDD!H366:AR366,4)*'ButsMPG + Var'!$K$6+COUNTIF(BDD!H366:AR366,3)*'ButsMPG + Var'!$K$5+COUNTIF(BDD!H366:AR366,2)*'ButsMPG + Var'!$K$4+COUNTIF(BDD!H366:AR366,1)*'ButsMPG + Var'!$K$3,IF(C363="M",COUNTIF(BDD!H366:AR366,10)*'ButsMPG + Var'!$K$22+COUNTIF(BDD!H366:AR366,9)*'ButsMPG + Var'!$K$21+COUNTIF(BDD!H366:AR366,8)*'ButsMPG + Var'!$K$20+COUNTIF(BDD!H366:AR366,7)*'ButsMPG + Var'!$K$19+COUNTIF(BDD!H366:AR366,6)*'ButsMPG + Var'!$K$18+COUNTIF(BDD!H366:AR366,5)*'ButsMPG + Var'!$K$17+COUNTIF(BDD!H366:AR366,4)*'ButsMPG + Var'!$K$16+COUNTIF(BDD!H366:AR366,3)*'ButsMPG + Var'!$K$15+COUNTIF(BDD!H366:AR366,2)*'ButsMPG + Var'!$K$14+COUNTIF(BDD!H366:AR366,1)*'ButsMPG + Var'!$K$13,IF(C363="D",COUNTIF(BDD!H366:AR366,10)*'ButsMPG + Var'!$K$32+COUNTIF(BDD!H366:AR366,9)*'ButsMPG + Var'!$K$31+COUNTIF(BDD!H366:AR366,8)*'ButsMPG + Var'!$K$30+COUNTIF(BDD!H366:AR366,7)*'ButsMPG + Var'!$K$29+COUNTIF(BDD!H366:AR366,6)*'ButsMPG + Var'!$K$28+COUNTIF(BDD!H366:AR366,5)*'ButsMPG + Var'!$K$27+COUNTIF(BDD!H366:AR366,4)*'ButsMPG + Var'!$K$26+COUNTIF(BDD!H366:AR366,3)*'ButsMPG + Var'!$K$25+COUNTIF(BDD!H366:AR366,2)*'ButsMPG + Var'!$K$24+COUNTIF(BDD!H366:AR366,1)*'ButsMPG + Var'!$K$23,0)))</f>
        <v>0</v>
      </c>
      <c r="H363" s="25">
        <f t="shared" si="6"/>
        <v>0</v>
      </c>
      <c r="I363" s="25">
        <f>BDD!G366</f>
        <v>0</v>
      </c>
      <c r="J363" s="25">
        <f>SUMPRODUCT(BDD!H366:AS366,'ButsMPG + Var'!$B$46:$AM$46)</f>
        <v>0</v>
      </c>
      <c r="K363" s="25" t="e">
        <f>10*('ButsMPG + Var'!$H$37*J363/MAX(J:J)+'ButsMPG + Var'!$G$37*H363/MAX(H:H))</f>
        <v>#DIV/0!</v>
      </c>
      <c r="L363" s="1">
        <f>IF(ISNA(VLOOKUP(B363,PrixMini!$B$3:$E$573,4,FALSE)),1,VLOOKUP(B363,PrixMini!$B$3:$E$573,4,FALSE))</f>
        <v>1</v>
      </c>
      <c r="M363" s="25" t="e">
        <f>IF(ROUND(CalculCotation!$D$3*EXP(CalculCotation!$C$3*K363)-CalculCotation!$D$3+1,0)&gt;L363,ROUND(CalculCotation!$D$3*EXP(CalculCotation!$C$3*K363)-CalculCotation!$D$3+1,0),L363)</f>
        <v>#DIV/0!</v>
      </c>
    </row>
    <row r="364" spans="2:13" x14ac:dyDescent="0.3">
      <c r="B364" s="1">
        <f>BDD!C367</f>
        <v>0</v>
      </c>
      <c r="C364" s="1">
        <f>BDD!B367</f>
        <v>0</v>
      </c>
      <c r="D364" s="1">
        <f>BDD!A367</f>
        <v>0</v>
      </c>
      <c r="E364" s="1">
        <f>BDD!D367</f>
        <v>0</v>
      </c>
      <c r="F364" s="1">
        <f>BDD!F367</f>
        <v>0</v>
      </c>
      <c r="G364" s="25">
        <f>'ButsMPG + Var'!$I$39*IF(C364="A",COUNTIF(BDD!H367:AR367,10)*'ButsMPG + Var'!$K$12+COUNTIF(BDD!H367:AR367,9)*'ButsMPG + Var'!$K$11+COUNTIF(BDD!H367:AR367,8)*'ButsMPG + Var'!$K$10+COUNTIF(BDD!H367:AR367,7)*'ButsMPG + Var'!$K$9+COUNTIF(BDD!H367:AR367,6)*'ButsMPG + Var'!$K$8+COUNTIF(BDD!H367:AR367,5)*'ButsMPG + Var'!$K$7+COUNTIF(BDD!H367:AR367,4)*'ButsMPG + Var'!$K$6+COUNTIF(BDD!H367:AR367,3)*'ButsMPG + Var'!$K$5+COUNTIF(BDD!H367:AR367,2)*'ButsMPG + Var'!$K$4+COUNTIF(BDD!H367:AR367,1)*'ButsMPG + Var'!$K$3,IF(C364="M",COUNTIF(BDD!H367:AR367,10)*'ButsMPG + Var'!$K$22+COUNTIF(BDD!H367:AR367,9)*'ButsMPG + Var'!$K$21+COUNTIF(BDD!H367:AR367,8)*'ButsMPG + Var'!$K$20+COUNTIF(BDD!H367:AR367,7)*'ButsMPG + Var'!$K$19+COUNTIF(BDD!H367:AR367,6)*'ButsMPG + Var'!$K$18+COUNTIF(BDD!H367:AR367,5)*'ButsMPG + Var'!$K$17+COUNTIF(BDD!H367:AR367,4)*'ButsMPG + Var'!$K$16+COUNTIF(BDD!H367:AR367,3)*'ButsMPG + Var'!$K$15+COUNTIF(BDD!H367:AR367,2)*'ButsMPG + Var'!$K$14+COUNTIF(BDD!H367:AR367,1)*'ButsMPG + Var'!$K$13,IF(C364="D",COUNTIF(BDD!H367:AR367,10)*'ButsMPG + Var'!$K$32+COUNTIF(BDD!H367:AR367,9)*'ButsMPG + Var'!$K$31+COUNTIF(BDD!H367:AR367,8)*'ButsMPG + Var'!$K$30+COUNTIF(BDD!H367:AR367,7)*'ButsMPG + Var'!$K$29+COUNTIF(BDD!H367:AR367,6)*'ButsMPG + Var'!$K$28+COUNTIF(BDD!H367:AR367,5)*'ButsMPG + Var'!$K$27+COUNTIF(BDD!H367:AR367,4)*'ButsMPG + Var'!$K$26+COUNTIF(BDD!H367:AR367,3)*'ButsMPG + Var'!$K$25+COUNTIF(BDD!H367:AR367,2)*'ButsMPG + Var'!$K$24+COUNTIF(BDD!H367:AR367,1)*'ButsMPG + Var'!$K$23,0)))</f>
        <v>0</v>
      </c>
      <c r="H364" s="25">
        <f t="shared" si="6"/>
        <v>0</v>
      </c>
      <c r="I364" s="25">
        <f>BDD!G367</f>
        <v>0</v>
      </c>
      <c r="J364" s="25">
        <f>SUMPRODUCT(BDD!H367:AS367,'ButsMPG + Var'!$B$46:$AM$46)</f>
        <v>0</v>
      </c>
      <c r="K364" s="25" t="e">
        <f>10*('ButsMPG + Var'!$H$37*J364/MAX(J:J)+'ButsMPG + Var'!$G$37*H364/MAX(H:H))</f>
        <v>#DIV/0!</v>
      </c>
      <c r="L364" s="1">
        <f>IF(ISNA(VLOOKUP(B364,PrixMini!$B$3:$E$573,4,FALSE)),1,VLOOKUP(B364,PrixMini!$B$3:$E$573,4,FALSE))</f>
        <v>1</v>
      </c>
      <c r="M364" s="25" t="e">
        <f>IF(ROUND(CalculCotation!$D$3*EXP(CalculCotation!$C$3*K364)-CalculCotation!$D$3+1,0)&gt;L364,ROUND(CalculCotation!$D$3*EXP(CalculCotation!$C$3*K364)-CalculCotation!$D$3+1,0),L364)</f>
        <v>#DIV/0!</v>
      </c>
    </row>
    <row r="365" spans="2:13" x14ac:dyDescent="0.3">
      <c r="B365" s="1">
        <f>BDD!C368</f>
        <v>0</v>
      </c>
      <c r="C365" s="1">
        <f>BDD!B368</f>
        <v>0</v>
      </c>
      <c r="D365" s="1">
        <f>BDD!A368</f>
        <v>0</v>
      </c>
      <c r="E365" s="1">
        <f>BDD!D368</f>
        <v>0</v>
      </c>
      <c r="F365" s="1">
        <f>BDD!F368</f>
        <v>0</v>
      </c>
      <c r="G365" s="25">
        <f>'ButsMPG + Var'!$I$39*IF(C365="A",COUNTIF(BDD!H368:AR368,10)*'ButsMPG + Var'!$K$12+COUNTIF(BDD!H368:AR368,9)*'ButsMPG + Var'!$K$11+COUNTIF(BDD!H368:AR368,8)*'ButsMPG + Var'!$K$10+COUNTIF(BDD!H368:AR368,7)*'ButsMPG + Var'!$K$9+COUNTIF(BDD!H368:AR368,6)*'ButsMPG + Var'!$K$8+COUNTIF(BDD!H368:AR368,5)*'ButsMPG + Var'!$K$7+COUNTIF(BDD!H368:AR368,4)*'ButsMPG + Var'!$K$6+COUNTIF(BDD!H368:AR368,3)*'ButsMPG + Var'!$K$5+COUNTIF(BDD!H368:AR368,2)*'ButsMPG + Var'!$K$4+COUNTIF(BDD!H368:AR368,1)*'ButsMPG + Var'!$K$3,IF(C365="M",COUNTIF(BDD!H368:AR368,10)*'ButsMPG + Var'!$K$22+COUNTIF(BDD!H368:AR368,9)*'ButsMPG + Var'!$K$21+COUNTIF(BDD!H368:AR368,8)*'ButsMPG + Var'!$K$20+COUNTIF(BDD!H368:AR368,7)*'ButsMPG + Var'!$K$19+COUNTIF(BDD!H368:AR368,6)*'ButsMPG + Var'!$K$18+COUNTIF(BDD!H368:AR368,5)*'ButsMPG + Var'!$K$17+COUNTIF(BDD!H368:AR368,4)*'ButsMPG + Var'!$K$16+COUNTIF(BDD!H368:AR368,3)*'ButsMPG + Var'!$K$15+COUNTIF(BDD!H368:AR368,2)*'ButsMPG + Var'!$K$14+COUNTIF(BDD!H368:AR368,1)*'ButsMPG + Var'!$K$13,IF(C365="D",COUNTIF(BDD!H368:AR368,10)*'ButsMPG + Var'!$K$32+COUNTIF(BDD!H368:AR368,9)*'ButsMPG + Var'!$K$31+COUNTIF(BDD!H368:AR368,8)*'ButsMPG + Var'!$K$30+COUNTIF(BDD!H368:AR368,7)*'ButsMPG + Var'!$K$29+COUNTIF(BDD!H368:AR368,6)*'ButsMPG + Var'!$K$28+COUNTIF(BDD!H368:AR368,5)*'ButsMPG + Var'!$K$27+COUNTIF(BDD!H368:AR368,4)*'ButsMPG + Var'!$K$26+COUNTIF(BDD!H368:AR368,3)*'ButsMPG + Var'!$K$25+COUNTIF(BDD!H368:AR368,2)*'ButsMPG + Var'!$K$24+COUNTIF(BDD!H368:AR368,1)*'ButsMPG + Var'!$K$23,0)))</f>
        <v>0</v>
      </c>
      <c r="H365" s="25">
        <f t="shared" si="6"/>
        <v>0</v>
      </c>
      <c r="I365" s="25">
        <f>BDD!G368</f>
        <v>0</v>
      </c>
      <c r="J365" s="25">
        <f>SUMPRODUCT(BDD!H368:AS368,'ButsMPG + Var'!$B$46:$AM$46)</f>
        <v>0</v>
      </c>
      <c r="K365" s="25" t="e">
        <f>10*('ButsMPG + Var'!$H$37*J365/MAX(J:J)+'ButsMPG + Var'!$G$37*H365/MAX(H:H))</f>
        <v>#DIV/0!</v>
      </c>
      <c r="L365" s="1">
        <f>IF(ISNA(VLOOKUP(B365,PrixMini!$B$3:$E$573,4,FALSE)),1,VLOOKUP(B365,PrixMini!$B$3:$E$573,4,FALSE))</f>
        <v>1</v>
      </c>
      <c r="M365" s="25" t="e">
        <f>IF(ROUND(CalculCotation!$D$3*EXP(CalculCotation!$C$3*K365)-CalculCotation!$D$3+1,0)&gt;L365,ROUND(CalculCotation!$D$3*EXP(CalculCotation!$C$3*K365)-CalculCotation!$D$3+1,0),L365)</f>
        <v>#DIV/0!</v>
      </c>
    </row>
    <row r="366" spans="2:13" x14ac:dyDescent="0.3">
      <c r="B366" s="1">
        <f>BDD!C369</f>
        <v>0</v>
      </c>
      <c r="C366" s="1">
        <f>BDD!B369</f>
        <v>0</v>
      </c>
      <c r="D366" s="1">
        <f>BDD!A369</f>
        <v>0</v>
      </c>
      <c r="E366" s="1">
        <f>BDD!D369</f>
        <v>0</v>
      </c>
      <c r="F366" s="1">
        <f>BDD!F369</f>
        <v>0</v>
      </c>
      <c r="G366" s="25">
        <f>'ButsMPG + Var'!$I$39*IF(C366="A",COUNTIF(BDD!H369:AR369,10)*'ButsMPG + Var'!$K$12+COUNTIF(BDD!H369:AR369,9)*'ButsMPG + Var'!$K$11+COUNTIF(BDD!H369:AR369,8)*'ButsMPG + Var'!$K$10+COUNTIF(BDD!H369:AR369,7)*'ButsMPG + Var'!$K$9+COUNTIF(BDD!H369:AR369,6)*'ButsMPG + Var'!$K$8+COUNTIF(BDD!H369:AR369,5)*'ButsMPG + Var'!$K$7+COUNTIF(BDD!H369:AR369,4)*'ButsMPG + Var'!$K$6+COUNTIF(BDD!H369:AR369,3)*'ButsMPG + Var'!$K$5+COUNTIF(BDD!H369:AR369,2)*'ButsMPG + Var'!$K$4+COUNTIF(BDD!H369:AR369,1)*'ButsMPG + Var'!$K$3,IF(C366="M",COUNTIF(BDD!H369:AR369,10)*'ButsMPG + Var'!$K$22+COUNTIF(BDD!H369:AR369,9)*'ButsMPG + Var'!$K$21+COUNTIF(BDD!H369:AR369,8)*'ButsMPG + Var'!$K$20+COUNTIF(BDD!H369:AR369,7)*'ButsMPG + Var'!$K$19+COUNTIF(BDD!H369:AR369,6)*'ButsMPG + Var'!$K$18+COUNTIF(BDD!H369:AR369,5)*'ButsMPG + Var'!$K$17+COUNTIF(BDD!H369:AR369,4)*'ButsMPG + Var'!$K$16+COUNTIF(BDD!H369:AR369,3)*'ButsMPG + Var'!$K$15+COUNTIF(BDD!H369:AR369,2)*'ButsMPG + Var'!$K$14+COUNTIF(BDD!H369:AR369,1)*'ButsMPG + Var'!$K$13,IF(C366="D",COUNTIF(BDD!H369:AR369,10)*'ButsMPG + Var'!$K$32+COUNTIF(BDD!H369:AR369,9)*'ButsMPG + Var'!$K$31+COUNTIF(BDD!H369:AR369,8)*'ButsMPG + Var'!$K$30+COUNTIF(BDD!H369:AR369,7)*'ButsMPG + Var'!$K$29+COUNTIF(BDD!H369:AR369,6)*'ButsMPG + Var'!$K$28+COUNTIF(BDD!H369:AR369,5)*'ButsMPG + Var'!$K$27+COUNTIF(BDD!H369:AR369,4)*'ButsMPG + Var'!$K$26+COUNTIF(BDD!H369:AR369,3)*'ButsMPG + Var'!$K$25+COUNTIF(BDD!H369:AR369,2)*'ButsMPG + Var'!$K$24+COUNTIF(BDD!H369:AR369,1)*'ButsMPG + Var'!$K$23,0)))</f>
        <v>0</v>
      </c>
      <c r="H366" s="25">
        <f t="shared" si="6"/>
        <v>0</v>
      </c>
      <c r="I366" s="25">
        <f>BDD!G369</f>
        <v>0</v>
      </c>
      <c r="J366" s="25">
        <f>SUMPRODUCT(BDD!H369:AS369,'ButsMPG + Var'!$B$46:$AM$46)</f>
        <v>0</v>
      </c>
      <c r="K366" s="25" t="e">
        <f>10*('ButsMPG + Var'!$H$37*J366/MAX(J:J)+'ButsMPG + Var'!$G$37*H366/MAX(H:H))</f>
        <v>#DIV/0!</v>
      </c>
      <c r="L366" s="1">
        <f>IF(ISNA(VLOOKUP(B366,PrixMini!$B$3:$E$573,4,FALSE)),1,VLOOKUP(B366,PrixMini!$B$3:$E$573,4,FALSE))</f>
        <v>1</v>
      </c>
      <c r="M366" s="25" t="e">
        <f>IF(ROUND(CalculCotation!$D$3*EXP(CalculCotation!$C$3*K366)-CalculCotation!$D$3+1,0)&gt;L366,ROUND(CalculCotation!$D$3*EXP(CalculCotation!$C$3*K366)-CalculCotation!$D$3+1,0),L366)</f>
        <v>#DIV/0!</v>
      </c>
    </row>
    <row r="367" spans="2:13" x14ac:dyDescent="0.3">
      <c r="B367" s="1">
        <f>BDD!C370</f>
        <v>0</v>
      </c>
      <c r="C367" s="1">
        <f>BDD!B370</f>
        <v>0</v>
      </c>
      <c r="D367" s="1">
        <f>BDD!A370</f>
        <v>0</v>
      </c>
      <c r="E367" s="1">
        <f>BDD!D370</f>
        <v>0</v>
      </c>
      <c r="F367" s="1">
        <f>BDD!F370</f>
        <v>0</v>
      </c>
      <c r="G367" s="25">
        <f>'ButsMPG + Var'!$I$39*IF(C367="A",COUNTIF(BDD!H370:AR370,10)*'ButsMPG + Var'!$K$12+COUNTIF(BDD!H370:AR370,9)*'ButsMPG + Var'!$K$11+COUNTIF(BDD!H370:AR370,8)*'ButsMPG + Var'!$K$10+COUNTIF(BDD!H370:AR370,7)*'ButsMPG + Var'!$K$9+COUNTIF(BDD!H370:AR370,6)*'ButsMPG + Var'!$K$8+COUNTIF(BDD!H370:AR370,5)*'ButsMPG + Var'!$K$7+COUNTIF(BDD!H370:AR370,4)*'ButsMPG + Var'!$K$6+COUNTIF(BDD!H370:AR370,3)*'ButsMPG + Var'!$K$5+COUNTIF(BDD!H370:AR370,2)*'ButsMPG + Var'!$K$4+COUNTIF(BDD!H370:AR370,1)*'ButsMPG + Var'!$K$3,IF(C367="M",COUNTIF(BDD!H370:AR370,10)*'ButsMPG + Var'!$K$22+COUNTIF(BDD!H370:AR370,9)*'ButsMPG + Var'!$K$21+COUNTIF(BDD!H370:AR370,8)*'ButsMPG + Var'!$K$20+COUNTIF(BDD!H370:AR370,7)*'ButsMPG + Var'!$K$19+COUNTIF(BDD!H370:AR370,6)*'ButsMPG + Var'!$K$18+COUNTIF(BDD!H370:AR370,5)*'ButsMPG + Var'!$K$17+COUNTIF(BDD!H370:AR370,4)*'ButsMPG + Var'!$K$16+COUNTIF(BDD!H370:AR370,3)*'ButsMPG + Var'!$K$15+COUNTIF(BDD!H370:AR370,2)*'ButsMPG + Var'!$K$14+COUNTIF(BDD!H370:AR370,1)*'ButsMPG + Var'!$K$13,IF(C367="D",COUNTIF(BDD!H370:AR370,10)*'ButsMPG + Var'!$K$32+COUNTIF(BDD!H370:AR370,9)*'ButsMPG + Var'!$K$31+COUNTIF(BDD!H370:AR370,8)*'ButsMPG + Var'!$K$30+COUNTIF(BDD!H370:AR370,7)*'ButsMPG + Var'!$K$29+COUNTIF(BDD!H370:AR370,6)*'ButsMPG + Var'!$K$28+COUNTIF(BDD!H370:AR370,5)*'ButsMPG + Var'!$K$27+COUNTIF(BDD!H370:AR370,4)*'ButsMPG + Var'!$K$26+COUNTIF(BDD!H370:AR370,3)*'ButsMPG + Var'!$K$25+COUNTIF(BDD!H370:AR370,2)*'ButsMPG + Var'!$K$24+COUNTIF(BDD!H370:AR370,1)*'ButsMPG + Var'!$K$23,0)))</f>
        <v>0</v>
      </c>
      <c r="H367" s="25">
        <f t="shared" si="6"/>
        <v>0</v>
      </c>
      <c r="I367" s="25">
        <f>BDD!G370</f>
        <v>0</v>
      </c>
      <c r="J367" s="25">
        <f>SUMPRODUCT(BDD!H370:AS370,'ButsMPG + Var'!$B$46:$AM$46)</f>
        <v>0</v>
      </c>
      <c r="K367" s="25" t="e">
        <f>10*('ButsMPG + Var'!$H$37*J367/MAX(J:J)+'ButsMPG + Var'!$G$37*H367/MAX(H:H))</f>
        <v>#DIV/0!</v>
      </c>
      <c r="L367" s="1">
        <f>IF(ISNA(VLOOKUP(B367,PrixMini!$B$3:$E$573,4,FALSE)),1,VLOOKUP(B367,PrixMini!$B$3:$E$573,4,FALSE))</f>
        <v>1</v>
      </c>
      <c r="M367" s="25" t="e">
        <f>IF(ROUND(CalculCotation!$D$3*EXP(CalculCotation!$C$3*K367)-CalculCotation!$D$3+1,0)&gt;L367,ROUND(CalculCotation!$D$3*EXP(CalculCotation!$C$3*K367)-CalculCotation!$D$3+1,0),L367)</f>
        <v>#DIV/0!</v>
      </c>
    </row>
    <row r="368" spans="2:13" x14ac:dyDescent="0.3">
      <c r="B368" s="1">
        <f>BDD!C371</f>
        <v>0</v>
      </c>
      <c r="C368" s="1">
        <f>BDD!B371</f>
        <v>0</v>
      </c>
      <c r="D368" s="1">
        <f>BDD!A371</f>
        <v>0</v>
      </c>
      <c r="E368" s="1">
        <f>BDD!D371</f>
        <v>0</v>
      </c>
      <c r="F368" s="1">
        <f>BDD!F371</f>
        <v>0</v>
      </c>
      <c r="G368" s="25">
        <f>'ButsMPG + Var'!$I$39*IF(C368="A",COUNTIF(BDD!H371:AR371,10)*'ButsMPG + Var'!$K$12+COUNTIF(BDD!H371:AR371,9)*'ButsMPG + Var'!$K$11+COUNTIF(BDD!H371:AR371,8)*'ButsMPG + Var'!$K$10+COUNTIF(BDD!H371:AR371,7)*'ButsMPG + Var'!$K$9+COUNTIF(BDD!H371:AR371,6)*'ButsMPG + Var'!$K$8+COUNTIF(BDD!H371:AR371,5)*'ButsMPG + Var'!$K$7+COUNTIF(BDD!H371:AR371,4)*'ButsMPG + Var'!$K$6+COUNTIF(BDD!H371:AR371,3)*'ButsMPG + Var'!$K$5+COUNTIF(BDD!H371:AR371,2)*'ButsMPG + Var'!$K$4+COUNTIF(BDD!H371:AR371,1)*'ButsMPG + Var'!$K$3,IF(C368="M",COUNTIF(BDD!H371:AR371,10)*'ButsMPG + Var'!$K$22+COUNTIF(BDD!H371:AR371,9)*'ButsMPG + Var'!$K$21+COUNTIF(BDD!H371:AR371,8)*'ButsMPG + Var'!$K$20+COUNTIF(BDD!H371:AR371,7)*'ButsMPG + Var'!$K$19+COUNTIF(BDD!H371:AR371,6)*'ButsMPG + Var'!$K$18+COUNTIF(BDD!H371:AR371,5)*'ButsMPG + Var'!$K$17+COUNTIF(BDD!H371:AR371,4)*'ButsMPG + Var'!$K$16+COUNTIF(BDD!H371:AR371,3)*'ButsMPG + Var'!$K$15+COUNTIF(BDD!H371:AR371,2)*'ButsMPG + Var'!$K$14+COUNTIF(BDD!H371:AR371,1)*'ButsMPG + Var'!$K$13,IF(C368="D",COUNTIF(BDD!H371:AR371,10)*'ButsMPG + Var'!$K$32+COUNTIF(BDD!H371:AR371,9)*'ButsMPG + Var'!$K$31+COUNTIF(BDD!H371:AR371,8)*'ButsMPG + Var'!$K$30+COUNTIF(BDD!H371:AR371,7)*'ButsMPG + Var'!$K$29+COUNTIF(BDD!H371:AR371,6)*'ButsMPG + Var'!$K$28+COUNTIF(BDD!H371:AR371,5)*'ButsMPG + Var'!$K$27+COUNTIF(BDD!H371:AR371,4)*'ButsMPG + Var'!$K$26+COUNTIF(BDD!H371:AR371,3)*'ButsMPG + Var'!$K$25+COUNTIF(BDD!H371:AR371,2)*'ButsMPG + Var'!$K$24+COUNTIF(BDD!H371:AR371,1)*'ButsMPG + Var'!$K$23,0)))</f>
        <v>0</v>
      </c>
      <c r="H368" s="25">
        <f t="shared" si="6"/>
        <v>0</v>
      </c>
      <c r="I368" s="25">
        <f>BDD!G371</f>
        <v>0</v>
      </c>
      <c r="J368" s="25">
        <f>SUMPRODUCT(BDD!H371:AS371,'ButsMPG + Var'!$B$46:$AM$46)</f>
        <v>0</v>
      </c>
      <c r="K368" s="25" t="e">
        <f>10*('ButsMPG + Var'!$H$37*J368/MAX(J:J)+'ButsMPG + Var'!$G$37*H368/MAX(H:H))</f>
        <v>#DIV/0!</v>
      </c>
      <c r="L368" s="1">
        <f>IF(ISNA(VLOOKUP(B368,PrixMini!$B$3:$E$573,4,FALSE)),1,VLOOKUP(B368,PrixMini!$B$3:$E$573,4,FALSE))</f>
        <v>1</v>
      </c>
      <c r="M368" s="25" t="e">
        <f>IF(ROUND(CalculCotation!$D$3*EXP(CalculCotation!$C$3*K368)-CalculCotation!$D$3+1,0)&gt;L368,ROUND(CalculCotation!$D$3*EXP(CalculCotation!$C$3*K368)-CalculCotation!$D$3+1,0),L368)</f>
        <v>#DIV/0!</v>
      </c>
    </row>
    <row r="369" spans="2:13" x14ac:dyDescent="0.3">
      <c r="B369" s="1">
        <f>BDD!C372</f>
        <v>0</v>
      </c>
      <c r="C369" s="1">
        <f>BDD!B372</f>
        <v>0</v>
      </c>
      <c r="D369" s="1">
        <f>BDD!A372</f>
        <v>0</v>
      </c>
      <c r="E369" s="1">
        <f>BDD!D372</f>
        <v>0</v>
      </c>
      <c r="F369" s="1">
        <f>BDD!F372</f>
        <v>0</v>
      </c>
      <c r="G369" s="25">
        <f>'ButsMPG + Var'!$I$39*IF(C369="A",COUNTIF(BDD!H372:AR372,10)*'ButsMPG + Var'!$K$12+COUNTIF(BDD!H372:AR372,9)*'ButsMPG + Var'!$K$11+COUNTIF(BDD!H372:AR372,8)*'ButsMPG + Var'!$K$10+COUNTIF(BDD!H372:AR372,7)*'ButsMPG + Var'!$K$9+COUNTIF(BDD!H372:AR372,6)*'ButsMPG + Var'!$K$8+COUNTIF(BDD!H372:AR372,5)*'ButsMPG + Var'!$K$7+COUNTIF(BDD!H372:AR372,4)*'ButsMPG + Var'!$K$6+COUNTIF(BDD!H372:AR372,3)*'ButsMPG + Var'!$K$5+COUNTIF(BDD!H372:AR372,2)*'ButsMPG + Var'!$K$4+COUNTIF(BDD!H372:AR372,1)*'ButsMPG + Var'!$K$3,IF(C369="M",COUNTIF(BDD!H372:AR372,10)*'ButsMPG + Var'!$K$22+COUNTIF(BDD!H372:AR372,9)*'ButsMPG + Var'!$K$21+COUNTIF(BDD!H372:AR372,8)*'ButsMPG + Var'!$K$20+COUNTIF(BDD!H372:AR372,7)*'ButsMPG + Var'!$K$19+COUNTIF(BDD!H372:AR372,6)*'ButsMPG + Var'!$K$18+COUNTIF(BDD!H372:AR372,5)*'ButsMPG + Var'!$K$17+COUNTIF(BDD!H372:AR372,4)*'ButsMPG + Var'!$K$16+COUNTIF(BDD!H372:AR372,3)*'ButsMPG + Var'!$K$15+COUNTIF(BDD!H372:AR372,2)*'ButsMPG + Var'!$K$14+COUNTIF(BDD!H372:AR372,1)*'ButsMPG + Var'!$K$13,IF(C369="D",COUNTIF(BDD!H372:AR372,10)*'ButsMPG + Var'!$K$32+COUNTIF(BDD!H372:AR372,9)*'ButsMPG + Var'!$K$31+COUNTIF(BDD!H372:AR372,8)*'ButsMPG + Var'!$K$30+COUNTIF(BDD!H372:AR372,7)*'ButsMPG + Var'!$K$29+COUNTIF(BDD!H372:AR372,6)*'ButsMPG + Var'!$K$28+COUNTIF(BDD!H372:AR372,5)*'ButsMPG + Var'!$K$27+COUNTIF(BDD!H372:AR372,4)*'ButsMPG + Var'!$K$26+COUNTIF(BDD!H372:AR372,3)*'ButsMPG + Var'!$K$25+COUNTIF(BDD!H372:AR372,2)*'ButsMPG + Var'!$K$24+COUNTIF(BDD!H372:AR372,1)*'ButsMPG + Var'!$K$23,0)))</f>
        <v>0</v>
      </c>
      <c r="H369" s="25">
        <f t="shared" si="6"/>
        <v>0</v>
      </c>
      <c r="I369" s="25">
        <f>BDD!G372</f>
        <v>0</v>
      </c>
      <c r="J369" s="25">
        <f>SUMPRODUCT(BDD!H372:AS372,'ButsMPG + Var'!$B$46:$AM$46)</f>
        <v>0</v>
      </c>
      <c r="K369" s="25" t="e">
        <f>10*('ButsMPG + Var'!$H$37*J369/MAX(J:J)+'ButsMPG + Var'!$G$37*H369/MAX(H:H))</f>
        <v>#DIV/0!</v>
      </c>
      <c r="L369" s="1">
        <f>IF(ISNA(VLOOKUP(B369,PrixMini!$B$3:$E$573,4,FALSE)),1,VLOOKUP(B369,PrixMini!$B$3:$E$573,4,FALSE))</f>
        <v>1</v>
      </c>
      <c r="M369" s="25" t="e">
        <f>IF(ROUND(CalculCotation!$D$3*EXP(CalculCotation!$C$3*K369)-CalculCotation!$D$3+1,0)&gt;L369,ROUND(CalculCotation!$D$3*EXP(CalculCotation!$C$3*K369)-CalculCotation!$D$3+1,0),L369)</f>
        <v>#DIV/0!</v>
      </c>
    </row>
    <row r="370" spans="2:13" x14ac:dyDescent="0.3">
      <c r="B370" s="1">
        <f>BDD!C373</f>
        <v>0</v>
      </c>
      <c r="C370" s="1">
        <f>BDD!B373</f>
        <v>0</v>
      </c>
      <c r="D370" s="1">
        <f>BDD!A373</f>
        <v>0</v>
      </c>
      <c r="E370" s="1">
        <f>BDD!D373</f>
        <v>0</v>
      </c>
      <c r="F370" s="1">
        <f>BDD!F373</f>
        <v>0</v>
      </c>
      <c r="G370" s="25">
        <f>'ButsMPG + Var'!$I$39*IF(C370="A",COUNTIF(BDD!H373:AR373,10)*'ButsMPG + Var'!$K$12+COUNTIF(BDD!H373:AR373,9)*'ButsMPG + Var'!$K$11+COUNTIF(BDD!H373:AR373,8)*'ButsMPG + Var'!$K$10+COUNTIF(BDD!H373:AR373,7)*'ButsMPG + Var'!$K$9+COUNTIF(BDD!H373:AR373,6)*'ButsMPG + Var'!$K$8+COUNTIF(BDD!H373:AR373,5)*'ButsMPG + Var'!$K$7+COUNTIF(BDD!H373:AR373,4)*'ButsMPG + Var'!$K$6+COUNTIF(BDD!H373:AR373,3)*'ButsMPG + Var'!$K$5+COUNTIF(BDD!H373:AR373,2)*'ButsMPG + Var'!$K$4+COUNTIF(BDD!H373:AR373,1)*'ButsMPG + Var'!$K$3,IF(C370="M",COUNTIF(BDD!H373:AR373,10)*'ButsMPG + Var'!$K$22+COUNTIF(BDD!H373:AR373,9)*'ButsMPG + Var'!$K$21+COUNTIF(BDD!H373:AR373,8)*'ButsMPG + Var'!$K$20+COUNTIF(BDD!H373:AR373,7)*'ButsMPG + Var'!$K$19+COUNTIF(BDD!H373:AR373,6)*'ButsMPG + Var'!$K$18+COUNTIF(BDD!H373:AR373,5)*'ButsMPG + Var'!$K$17+COUNTIF(BDD!H373:AR373,4)*'ButsMPG + Var'!$K$16+COUNTIF(BDD!H373:AR373,3)*'ButsMPG + Var'!$K$15+COUNTIF(BDD!H373:AR373,2)*'ButsMPG + Var'!$K$14+COUNTIF(BDD!H373:AR373,1)*'ButsMPG + Var'!$K$13,IF(C370="D",COUNTIF(BDD!H373:AR373,10)*'ButsMPG + Var'!$K$32+COUNTIF(BDD!H373:AR373,9)*'ButsMPG + Var'!$K$31+COUNTIF(BDD!H373:AR373,8)*'ButsMPG + Var'!$K$30+COUNTIF(BDD!H373:AR373,7)*'ButsMPG + Var'!$K$29+COUNTIF(BDD!H373:AR373,6)*'ButsMPG + Var'!$K$28+COUNTIF(BDD!H373:AR373,5)*'ButsMPG + Var'!$K$27+COUNTIF(BDD!H373:AR373,4)*'ButsMPG + Var'!$K$26+COUNTIF(BDD!H373:AR373,3)*'ButsMPG + Var'!$K$25+COUNTIF(BDD!H373:AR373,2)*'ButsMPG + Var'!$K$24+COUNTIF(BDD!H373:AR373,1)*'ButsMPG + Var'!$K$23,0)))</f>
        <v>0</v>
      </c>
      <c r="H370" s="25">
        <f t="shared" si="6"/>
        <v>0</v>
      </c>
      <c r="I370" s="25">
        <f>BDD!G373</f>
        <v>0</v>
      </c>
      <c r="J370" s="25">
        <f>SUMPRODUCT(BDD!H373:AS373,'ButsMPG + Var'!$B$46:$AM$46)</f>
        <v>0</v>
      </c>
      <c r="K370" s="25" t="e">
        <f>10*('ButsMPG + Var'!$H$37*J370/MAX(J:J)+'ButsMPG + Var'!$G$37*H370/MAX(H:H))</f>
        <v>#DIV/0!</v>
      </c>
      <c r="L370" s="1">
        <f>IF(ISNA(VLOOKUP(B370,PrixMini!$B$3:$E$573,4,FALSE)),1,VLOOKUP(B370,PrixMini!$B$3:$E$573,4,FALSE))</f>
        <v>1</v>
      </c>
      <c r="M370" s="25" t="e">
        <f>IF(ROUND(CalculCotation!$D$3*EXP(CalculCotation!$C$3*K370)-CalculCotation!$D$3+1,0)&gt;L370,ROUND(CalculCotation!$D$3*EXP(CalculCotation!$C$3*K370)-CalculCotation!$D$3+1,0),L370)</f>
        <v>#DIV/0!</v>
      </c>
    </row>
    <row r="371" spans="2:13" x14ac:dyDescent="0.3">
      <c r="B371" s="1">
        <f>BDD!C374</f>
        <v>0</v>
      </c>
      <c r="C371" s="1">
        <f>BDD!B374</f>
        <v>0</v>
      </c>
      <c r="D371" s="1">
        <f>BDD!A374</f>
        <v>0</v>
      </c>
      <c r="E371" s="1">
        <f>BDD!D374</f>
        <v>0</v>
      </c>
      <c r="F371" s="1">
        <f>BDD!F374</f>
        <v>0</v>
      </c>
      <c r="G371" s="25">
        <f>'ButsMPG + Var'!$I$39*IF(C371="A",COUNTIF(BDD!H374:AR374,10)*'ButsMPG + Var'!$K$12+COUNTIF(BDD!H374:AR374,9)*'ButsMPG + Var'!$K$11+COUNTIF(BDD!H374:AR374,8)*'ButsMPG + Var'!$K$10+COUNTIF(BDD!H374:AR374,7)*'ButsMPG + Var'!$K$9+COUNTIF(BDD!H374:AR374,6)*'ButsMPG + Var'!$K$8+COUNTIF(BDD!H374:AR374,5)*'ButsMPG + Var'!$K$7+COUNTIF(BDD!H374:AR374,4)*'ButsMPG + Var'!$K$6+COUNTIF(BDD!H374:AR374,3)*'ButsMPG + Var'!$K$5+COUNTIF(BDD!H374:AR374,2)*'ButsMPG + Var'!$K$4+COUNTIF(BDD!H374:AR374,1)*'ButsMPG + Var'!$K$3,IF(C371="M",COUNTIF(BDD!H374:AR374,10)*'ButsMPG + Var'!$K$22+COUNTIF(BDD!H374:AR374,9)*'ButsMPG + Var'!$K$21+COUNTIF(BDD!H374:AR374,8)*'ButsMPG + Var'!$K$20+COUNTIF(BDD!H374:AR374,7)*'ButsMPG + Var'!$K$19+COUNTIF(BDD!H374:AR374,6)*'ButsMPG + Var'!$K$18+COUNTIF(BDD!H374:AR374,5)*'ButsMPG + Var'!$K$17+COUNTIF(BDD!H374:AR374,4)*'ButsMPG + Var'!$K$16+COUNTIF(BDD!H374:AR374,3)*'ButsMPG + Var'!$K$15+COUNTIF(BDD!H374:AR374,2)*'ButsMPG + Var'!$K$14+COUNTIF(BDD!H374:AR374,1)*'ButsMPG + Var'!$K$13,IF(C371="D",COUNTIF(BDD!H374:AR374,10)*'ButsMPG + Var'!$K$32+COUNTIF(BDD!H374:AR374,9)*'ButsMPG + Var'!$K$31+COUNTIF(BDD!H374:AR374,8)*'ButsMPG + Var'!$K$30+COUNTIF(BDD!H374:AR374,7)*'ButsMPG + Var'!$K$29+COUNTIF(BDD!H374:AR374,6)*'ButsMPG + Var'!$K$28+COUNTIF(BDD!H374:AR374,5)*'ButsMPG + Var'!$K$27+COUNTIF(BDD!H374:AR374,4)*'ButsMPG + Var'!$K$26+COUNTIF(BDD!H374:AR374,3)*'ButsMPG + Var'!$K$25+COUNTIF(BDD!H374:AR374,2)*'ButsMPG + Var'!$K$24+COUNTIF(BDD!H374:AR374,1)*'ButsMPG + Var'!$K$23,0)))</f>
        <v>0</v>
      </c>
      <c r="H371" s="25">
        <f t="shared" si="6"/>
        <v>0</v>
      </c>
      <c r="I371" s="25">
        <f>BDD!G374</f>
        <v>0</v>
      </c>
      <c r="J371" s="25">
        <f>SUMPRODUCT(BDD!H374:AS374,'ButsMPG + Var'!$B$46:$AM$46)</f>
        <v>0</v>
      </c>
      <c r="K371" s="25" t="e">
        <f>10*('ButsMPG + Var'!$H$37*J371/MAX(J:J)+'ButsMPG + Var'!$G$37*H371/MAX(H:H))</f>
        <v>#DIV/0!</v>
      </c>
      <c r="L371" s="1">
        <f>IF(ISNA(VLOOKUP(B371,PrixMini!$B$3:$E$573,4,FALSE)),1,VLOOKUP(B371,PrixMini!$B$3:$E$573,4,FALSE))</f>
        <v>1</v>
      </c>
      <c r="M371" s="25" t="e">
        <f>IF(ROUND(CalculCotation!$D$3*EXP(CalculCotation!$C$3*K371)-CalculCotation!$D$3+1,0)&gt;L371,ROUND(CalculCotation!$D$3*EXP(CalculCotation!$C$3*K371)-CalculCotation!$D$3+1,0),L371)</f>
        <v>#DIV/0!</v>
      </c>
    </row>
    <row r="372" spans="2:13" x14ac:dyDescent="0.3">
      <c r="B372" s="1">
        <f>BDD!C375</f>
        <v>0</v>
      </c>
      <c r="C372" s="1">
        <f>BDD!B375</f>
        <v>0</v>
      </c>
      <c r="D372" s="1">
        <f>BDD!A375</f>
        <v>0</v>
      </c>
      <c r="E372" s="1">
        <f>BDD!D375</f>
        <v>0</v>
      </c>
      <c r="F372" s="1">
        <f>BDD!F375</f>
        <v>0</v>
      </c>
      <c r="G372" s="25">
        <f>'ButsMPG + Var'!$I$39*IF(C372="A",COUNTIF(BDD!H375:AR375,10)*'ButsMPG + Var'!$K$12+COUNTIF(BDD!H375:AR375,9)*'ButsMPG + Var'!$K$11+COUNTIF(BDD!H375:AR375,8)*'ButsMPG + Var'!$K$10+COUNTIF(BDD!H375:AR375,7)*'ButsMPG + Var'!$K$9+COUNTIF(BDD!H375:AR375,6)*'ButsMPG + Var'!$K$8+COUNTIF(BDD!H375:AR375,5)*'ButsMPG + Var'!$K$7+COUNTIF(BDD!H375:AR375,4)*'ButsMPG + Var'!$K$6+COUNTIF(BDD!H375:AR375,3)*'ButsMPG + Var'!$K$5+COUNTIF(BDD!H375:AR375,2)*'ButsMPG + Var'!$K$4+COUNTIF(BDD!H375:AR375,1)*'ButsMPG + Var'!$K$3,IF(C372="M",COUNTIF(BDD!H375:AR375,10)*'ButsMPG + Var'!$K$22+COUNTIF(BDD!H375:AR375,9)*'ButsMPG + Var'!$K$21+COUNTIF(BDD!H375:AR375,8)*'ButsMPG + Var'!$K$20+COUNTIF(BDD!H375:AR375,7)*'ButsMPG + Var'!$K$19+COUNTIF(BDD!H375:AR375,6)*'ButsMPG + Var'!$K$18+COUNTIF(BDD!H375:AR375,5)*'ButsMPG + Var'!$K$17+COUNTIF(BDD!H375:AR375,4)*'ButsMPG + Var'!$K$16+COUNTIF(BDD!H375:AR375,3)*'ButsMPG + Var'!$K$15+COUNTIF(BDD!H375:AR375,2)*'ButsMPG + Var'!$K$14+COUNTIF(BDD!H375:AR375,1)*'ButsMPG + Var'!$K$13,IF(C372="D",COUNTIF(BDD!H375:AR375,10)*'ButsMPG + Var'!$K$32+COUNTIF(BDD!H375:AR375,9)*'ButsMPG + Var'!$K$31+COUNTIF(BDD!H375:AR375,8)*'ButsMPG + Var'!$K$30+COUNTIF(BDD!H375:AR375,7)*'ButsMPG + Var'!$K$29+COUNTIF(BDD!H375:AR375,6)*'ButsMPG + Var'!$K$28+COUNTIF(BDD!H375:AR375,5)*'ButsMPG + Var'!$K$27+COUNTIF(BDD!H375:AR375,4)*'ButsMPG + Var'!$K$26+COUNTIF(BDD!H375:AR375,3)*'ButsMPG + Var'!$K$25+COUNTIF(BDD!H375:AR375,2)*'ButsMPG + Var'!$K$24+COUNTIF(BDD!H375:AR375,1)*'ButsMPG + Var'!$K$23,0)))</f>
        <v>0</v>
      </c>
      <c r="H372" s="25">
        <f t="shared" si="6"/>
        <v>0</v>
      </c>
      <c r="I372" s="25">
        <f>BDD!G375</f>
        <v>0</v>
      </c>
      <c r="J372" s="25">
        <f>SUMPRODUCT(BDD!H375:AS375,'ButsMPG + Var'!$B$46:$AM$46)</f>
        <v>0</v>
      </c>
      <c r="K372" s="25" t="e">
        <f>10*('ButsMPG + Var'!$H$37*J372/MAX(J:J)+'ButsMPG + Var'!$G$37*H372/MAX(H:H))</f>
        <v>#DIV/0!</v>
      </c>
      <c r="L372" s="1">
        <f>IF(ISNA(VLOOKUP(B372,PrixMini!$B$3:$E$573,4,FALSE)),1,VLOOKUP(B372,PrixMini!$B$3:$E$573,4,FALSE))</f>
        <v>1</v>
      </c>
      <c r="M372" s="25" t="e">
        <f>IF(ROUND(CalculCotation!$D$3*EXP(CalculCotation!$C$3*K372)-CalculCotation!$D$3+1,0)&gt;L372,ROUND(CalculCotation!$D$3*EXP(CalculCotation!$C$3*K372)-CalculCotation!$D$3+1,0),L372)</f>
        <v>#DIV/0!</v>
      </c>
    </row>
    <row r="373" spans="2:13" x14ac:dyDescent="0.3">
      <c r="B373" s="1">
        <f>BDD!C376</f>
        <v>0</v>
      </c>
      <c r="C373" s="1">
        <f>BDD!B376</f>
        <v>0</v>
      </c>
      <c r="D373" s="1">
        <f>BDD!A376</f>
        <v>0</v>
      </c>
      <c r="E373" s="1">
        <f>BDD!D376</f>
        <v>0</v>
      </c>
      <c r="F373" s="1">
        <f>BDD!F376</f>
        <v>0</v>
      </c>
      <c r="G373" s="25">
        <f>'ButsMPG + Var'!$I$39*IF(C373="A",COUNTIF(BDD!H376:AR376,10)*'ButsMPG + Var'!$K$12+COUNTIF(BDD!H376:AR376,9)*'ButsMPG + Var'!$K$11+COUNTIF(BDD!H376:AR376,8)*'ButsMPG + Var'!$K$10+COUNTIF(BDD!H376:AR376,7)*'ButsMPG + Var'!$K$9+COUNTIF(BDD!H376:AR376,6)*'ButsMPG + Var'!$K$8+COUNTIF(BDD!H376:AR376,5)*'ButsMPG + Var'!$K$7+COUNTIF(BDD!H376:AR376,4)*'ButsMPG + Var'!$K$6+COUNTIF(BDD!H376:AR376,3)*'ButsMPG + Var'!$K$5+COUNTIF(BDD!H376:AR376,2)*'ButsMPG + Var'!$K$4+COUNTIF(BDD!H376:AR376,1)*'ButsMPG + Var'!$K$3,IF(C373="M",COUNTIF(BDD!H376:AR376,10)*'ButsMPG + Var'!$K$22+COUNTIF(BDD!H376:AR376,9)*'ButsMPG + Var'!$K$21+COUNTIF(BDD!H376:AR376,8)*'ButsMPG + Var'!$K$20+COUNTIF(BDD!H376:AR376,7)*'ButsMPG + Var'!$K$19+COUNTIF(BDD!H376:AR376,6)*'ButsMPG + Var'!$K$18+COUNTIF(BDD!H376:AR376,5)*'ButsMPG + Var'!$K$17+COUNTIF(BDD!H376:AR376,4)*'ButsMPG + Var'!$K$16+COUNTIF(BDD!H376:AR376,3)*'ButsMPG + Var'!$K$15+COUNTIF(BDD!H376:AR376,2)*'ButsMPG + Var'!$K$14+COUNTIF(BDD!H376:AR376,1)*'ButsMPG + Var'!$K$13,IF(C373="D",COUNTIF(BDD!H376:AR376,10)*'ButsMPG + Var'!$K$32+COUNTIF(BDD!H376:AR376,9)*'ButsMPG + Var'!$K$31+COUNTIF(BDD!H376:AR376,8)*'ButsMPG + Var'!$K$30+COUNTIF(BDD!H376:AR376,7)*'ButsMPG + Var'!$K$29+COUNTIF(BDD!H376:AR376,6)*'ButsMPG + Var'!$K$28+COUNTIF(BDD!H376:AR376,5)*'ButsMPG + Var'!$K$27+COUNTIF(BDD!H376:AR376,4)*'ButsMPG + Var'!$K$26+COUNTIF(BDD!H376:AR376,3)*'ButsMPG + Var'!$K$25+COUNTIF(BDD!H376:AR376,2)*'ButsMPG + Var'!$K$24+COUNTIF(BDD!H376:AR376,1)*'ButsMPG + Var'!$K$23,0)))</f>
        <v>0</v>
      </c>
      <c r="H373" s="25">
        <f t="shared" si="6"/>
        <v>0</v>
      </c>
      <c r="I373" s="25">
        <f>BDD!G376</f>
        <v>0</v>
      </c>
      <c r="J373" s="25">
        <f>SUMPRODUCT(BDD!H376:AS376,'ButsMPG + Var'!$B$46:$AM$46)</f>
        <v>0</v>
      </c>
      <c r="K373" s="25" t="e">
        <f>10*('ButsMPG + Var'!$H$37*J373/MAX(J:J)+'ButsMPG + Var'!$G$37*H373/MAX(H:H))</f>
        <v>#DIV/0!</v>
      </c>
      <c r="L373" s="1">
        <f>IF(ISNA(VLOOKUP(B373,PrixMini!$B$3:$E$573,4,FALSE)),1,VLOOKUP(B373,PrixMini!$B$3:$E$573,4,FALSE))</f>
        <v>1</v>
      </c>
      <c r="M373" s="25" t="e">
        <f>IF(ROUND(CalculCotation!$D$3*EXP(CalculCotation!$C$3*K373)-CalculCotation!$D$3+1,0)&gt;L373,ROUND(CalculCotation!$D$3*EXP(CalculCotation!$C$3*K373)-CalculCotation!$D$3+1,0),L373)</f>
        <v>#DIV/0!</v>
      </c>
    </row>
    <row r="374" spans="2:13" x14ac:dyDescent="0.3">
      <c r="B374" s="1">
        <f>BDD!C377</f>
        <v>0</v>
      </c>
      <c r="C374" s="1">
        <f>BDD!B377</f>
        <v>0</v>
      </c>
      <c r="D374" s="1">
        <f>BDD!A377</f>
        <v>0</v>
      </c>
      <c r="E374" s="1">
        <f>BDD!D377</f>
        <v>0</v>
      </c>
      <c r="F374" s="1">
        <f>BDD!F377</f>
        <v>0</v>
      </c>
      <c r="G374" s="25">
        <f>'ButsMPG + Var'!$I$39*IF(C374="A",COUNTIF(BDD!H377:AR377,10)*'ButsMPG + Var'!$K$12+COUNTIF(BDD!H377:AR377,9)*'ButsMPG + Var'!$K$11+COUNTIF(BDD!H377:AR377,8)*'ButsMPG + Var'!$K$10+COUNTIF(BDD!H377:AR377,7)*'ButsMPG + Var'!$K$9+COUNTIF(BDD!H377:AR377,6)*'ButsMPG + Var'!$K$8+COUNTIF(BDD!H377:AR377,5)*'ButsMPG + Var'!$K$7+COUNTIF(BDD!H377:AR377,4)*'ButsMPG + Var'!$K$6+COUNTIF(BDD!H377:AR377,3)*'ButsMPG + Var'!$K$5+COUNTIF(BDD!H377:AR377,2)*'ButsMPG + Var'!$K$4+COUNTIF(BDD!H377:AR377,1)*'ButsMPG + Var'!$K$3,IF(C374="M",COUNTIF(BDD!H377:AR377,10)*'ButsMPG + Var'!$K$22+COUNTIF(BDD!H377:AR377,9)*'ButsMPG + Var'!$K$21+COUNTIF(BDD!H377:AR377,8)*'ButsMPG + Var'!$K$20+COUNTIF(BDD!H377:AR377,7)*'ButsMPG + Var'!$K$19+COUNTIF(BDD!H377:AR377,6)*'ButsMPG + Var'!$K$18+COUNTIF(BDD!H377:AR377,5)*'ButsMPG + Var'!$K$17+COUNTIF(BDD!H377:AR377,4)*'ButsMPG + Var'!$K$16+COUNTIF(BDD!H377:AR377,3)*'ButsMPG + Var'!$K$15+COUNTIF(BDD!H377:AR377,2)*'ButsMPG + Var'!$K$14+COUNTIF(BDD!H377:AR377,1)*'ButsMPG + Var'!$K$13,IF(C374="D",COUNTIF(BDD!H377:AR377,10)*'ButsMPG + Var'!$K$32+COUNTIF(BDD!H377:AR377,9)*'ButsMPG + Var'!$K$31+COUNTIF(BDD!H377:AR377,8)*'ButsMPG + Var'!$K$30+COUNTIF(BDD!H377:AR377,7)*'ButsMPG + Var'!$K$29+COUNTIF(BDD!H377:AR377,6)*'ButsMPG + Var'!$K$28+COUNTIF(BDD!H377:AR377,5)*'ButsMPG + Var'!$K$27+COUNTIF(BDD!H377:AR377,4)*'ButsMPG + Var'!$K$26+COUNTIF(BDD!H377:AR377,3)*'ButsMPG + Var'!$K$25+COUNTIF(BDD!H377:AR377,2)*'ButsMPG + Var'!$K$24+COUNTIF(BDD!H377:AR377,1)*'ButsMPG + Var'!$K$23,0)))</f>
        <v>0</v>
      </c>
      <c r="H374" s="25">
        <f t="shared" si="6"/>
        <v>0</v>
      </c>
      <c r="I374" s="25">
        <f>BDD!G377</f>
        <v>0</v>
      </c>
      <c r="J374" s="25">
        <f>SUMPRODUCT(BDD!H377:AS377,'ButsMPG + Var'!$B$46:$AM$46)</f>
        <v>0</v>
      </c>
      <c r="K374" s="25" t="e">
        <f>10*('ButsMPG + Var'!$H$37*J374/MAX(J:J)+'ButsMPG + Var'!$G$37*H374/MAX(H:H))</f>
        <v>#DIV/0!</v>
      </c>
      <c r="L374" s="1">
        <f>IF(ISNA(VLOOKUP(B374,PrixMini!$B$3:$E$573,4,FALSE)),1,VLOOKUP(B374,PrixMini!$B$3:$E$573,4,FALSE))</f>
        <v>1</v>
      </c>
      <c r="M374" s="25" t="e">
        <f>IF(ROUND(CalculCotation!$D$3*EXP(CalculCotation!$C$3*K374)-CalculCotation!$D$3+1,0)&gt;L374,ROUND(CalculCotation!$D$3*EXP(CalculCotation!$C$3*K374)-CalculCotation!$D$3+1,0),L374)</f>
        <v>#DIV/0!</v>
      </c>
    </row>
    <row r="375" spans="2:13" x14ac:dyDescent="0.3">
      <c r="B375" s="1">
        <f>BDD!C378</f>
        <v>0</v>
      </c>
      <c r="C375" s="1">
        <f>BDD!B378</f>
        <v>0</v>
      </c>
      <c r="D375" s="1">
        <f>BDD!A378</f>
        <v>0</v>
      </c>
      <c r="E375" s="1">
        <f>BDD!D378</f>
        <v>0</v>
      </c>
      <c r="F375" s="1">
        <f>BDD!F378</f>
        <v>0</v>
      </c>
      <c r="G375" s="25">
        <f>'ButsMPG + Var'!$I$39*IF(C375="A",COUNTIF(BDD!H378:AR378,10)*'ButsMPG + Var'!$K$12+COUNTIF(BDD!H378:AR378,9)*'ButsMPG + Var'!$K$11+COUNTIF(BDD!H378:AR378,8)*'ButsMPG + Var'!$K$10+COUNTIF(BDD!H378:AR378,7)*'ButsMPG + Var'!$K$9+COUNTIF(BDD!H378:AR378,6)*'ButsMPG + Var'!$K$8+COUNTIF(BDD!H378:AR378,5)*'ButsMPG + Var'!$K$7+COUNTIF(BDD!H378:AR378,4)*'ButsMPG + Var'!$K$6+COUNTIF(BDD!H378:AR378,3)*'ButsMPG + Var'!$K$5+COUNTIF(BDD!H378:AR378,2)*'ButsMPG + Var'!$K$4+COUNTIF(BDD!H378:AR378,1)*'ButsMPG + Var'!$K$3,IF(C375="M",COUNTIF(BDD!H378:AR378,10)*'ButsMPG + Var'!$K$22+COUNTIF(BDD!H378:AR378,9)*'ButsMPG + Var'!$K$21+COUNTIF(BDD!H378:AR378,8)*'ButsMPG + Var'!$K$20+COUNTIF(BDD!H378:AR378,7)*'ButsMPG + Var'!$K$19+COUNTIF(BDD!H378:AR378,6)*'ButsMPG + Var'!$K$18+COUNTIF(BDD!H378:AR378,5)*'ButsMPG + Var'!$K$17+COUNTIF(BDD!H378:AR378,4)*'ButsMPG + Var'!$K$16+COUNTIF(BDD!H378:AR378,3)*'ButsMPG + Var'!$K$15+COUNTIF(BDD!H378:AR378,2)*'ButsMPG + Var'!$K$14+COUNTIF(BDD!H378:AR378,1)*'ButsMPG + Var'!$K$13,IF(C375="D",COUNTIF(BDD!H378:AR378,10)*'ButsMPG + Var'!$K$32+COUNTIF(BDD!H378:AR378,9)*'ButsMPG + Var'!$K$31+COUNTIF(BDD!H378:AR378,8)*'ButsMPG + Var'!$K$30+COUNTIF(BDD!H378:AR378,7)*'ButsMPG + Var'!$K$29+COUNTIF(BDD!H378:AR378,6)*'ButsMPG + Var'!$K$28+COUNTIF(BDD!H378:AR378,5)*'ButsMPG + Var'!$K$27+COUNTIF(BDD!H378:AR378,4)*'ButsMPG + Var'!$K$26+COUNTIF(BDD!H378:AR378,3)*'ButsMPG + Var'!$K$25+COUNTIF(BDD!H378:AR378,2)*'ButsMPG + Var'!$K$24+COUNTIF(BDD!H378:AR378,1)*'ButsMPG + Var'!$K$23,0)))</f>
        <v>0</v>
      </c>
      <c r="H375" s="25">
        <f t="shared" si="6"/>
        <v>0</v>
      </c>
      <c r="I375" s="25">
        <f>BDD!G378</f>
        <v>0</v>
      </c>
      <c r="J375" s="25">
        <f>SUMPRODUCT(BDD!H378:AS378,'ButsMPG + Var'!$B$46:$AM$46)</f>
        <v>0</v>
      </c>
      <c r="K375" s="25" t="e">
        <f>10*('ButsMPG + Var'!$H$37*J375/MAX(J:J)+'ButsMPG + Var'!$G$37*H375/MAX(H:H))</f>
        <v>#DIV/0!</v>
      </c>
      <c r="L375" s="1">
        <f>IF(ISNA(VLOOKUP(B375,PrixMini!$B$3:$E$573,4,FALSE)),1,VLOOKUP(B375,PrixMini!$B$3:$E$573,4,FALSE))</f>
        <v>1</v>
      </c>
      <c r="M375" s="25" t="e">
        <f>IF(ROUND(CalculCotation!$D$3*EXP(CalculCotation!$C$3*K375)-CalculCotation!$D$3+1,0)&gt;L375,ROUND(CalculCotation!$D$3*EXP(CalculCotation!$C$3*K375)-CalculCotation!$D$3+1,0),L375)</f>
        <v>#DIV/0!</v>
      </c>
    </row>
    <row r="376" spans="2:13" x14ac:dyDescent="0.3">
      <c r="B376" s="1">
        <f>BDD!C379</f>
        <v>0</v>
      </c>
      <c r="C376" s="1">
        <f>BDD!B379</f>
        <v>0</v>
      </c>
      <c r="D376" s="1">
        <f>BDD!A379</f>
        <v>0</v>
      </c>
      <c r="E376" s="1">
        <f>BDD!D379</f>
        <v>0</v>
      </c>
      <c r="F376" s="1">
        <f>BDD!F379</f>
        <v>0</v>
      </c>
      <c r="G376" s="25">
        <f>'ButsMPG + Var'!$I$39*IF(C376="A",COUNTIF(BDD!H379:AR379,10)*'ButsMPG + Var'!$K$12+COUNTIF(BDD!H379:AR379,9)*'ButsMPG + Var'!$K$11+COUNTIF(BDD!H379:AR379,8)*'ButsMPG + Var'!$K$10+COUNTIF(BDD!H379:AR379,7)*'ButsMPG + Var'!$K$9+COUNTIF(BDD!H379:AR379,6)*'ButsMPG + Var'!$K$8+COUNTIF(BDD!H379:AR379,5)*'ButsMPG + Var'!$K$7+COUNTIF(BDD!H379:AR379,4)*'ButsMPG + Var'!$K$6+COUNTIF(BDD!H379:AR379,3)*'ButsMPG + Var'!$K$5+COUNTIF(BDD!H379:AR379,2)*'ButsMPG + Var'!$K$4+COUNTIF(BDD!H379:AR379,1)*'ButsMPG + Var'!$K$3,IF(C376="M",COUNTIF(BDD!H379:AR379,10)*'ButsMPG + Var'!$K$22+COUNTIF(BDD!H379:AR379,9)*'ButsMPG + Var'!$K$21+COUNTIF(BDD!H379:AR379,8)*'ButsMPG + Var'!$K$20+COUNTIF(BDD!H379:AR379,7)*'ButsMPG + Var'!$K$19+COUNTIF(BDD!H379:AR379,6)*'ButsMPG + Var'!$K$18+COUNTIF(BDD!H379:AR379,5)*'ButsMPG + Var'!$K$17+COUNTIF(BDD!H379:AR379,4)*'ButsMPG + Var'!$K$16+COUNTIF(BDD!H379:AR379,3)*'ButsMPG + Var'!$K$15+COUNTIF(BDD!H379:AR379,2)*'ButsMPG + Var'!$K$14+COUNTIF(BDD!H379:AR379,1)*'ButsMPG + Var'!$K$13,IF(C376="D",COUNTIF(BDD!H379:AR379,10)*'ButsMPG + Var'!$K$32+COUNTIF(BDD!H379:AR379,9)*'ButsMPG + Var'!$K$31+COUNTIF(BDD!H379:AR379,8)*'ButsMPG + Var'!$K$30+COUNTIF(BDD!H379:AR379,7)*'ButsMPG + Var'!$K$29+COUNTIF(BDD!H379:AR379,6)*'ButsMPG + Var'!$K$28+COUNTIF(BDD!H379:AR379,5)*'ButsMPG + Var'!$K$27+COUNTIF(BDD!H379:AR379,4)*'ButsMPG + Var'!$K$26+COUNTIF(BDD!H379:AR379,3)*'ButsMPG + Var'!$K$25+COUNTIF(BDD!H379:AR379,2)*'ButsMPG + Var'!$K$24+COUNTIF(BDD!H379:AR379,1)*'ButsMPG + Var'!$K$23,0)))</f>
        <v>0</v>
      </c>
      <c r="H376" s="25">
        <f t="shared" si="6"/>
        <v>0</v>
      </c>
      <c r="I376" s="25">
        <f>BDD!G379</f>
        <v>0</v>
      </c>
      <c r="J376" s="25">
        <f>SUMPRODUCT(BDD!H379:AS379,'ButsMPG + Var'!$B$46:$AM$46)</f>
        <v>0</v>
      </c>
      <c r="K376" s="25" t="e">
        <f>10*('ButsMPG + Var'!$H$37*J376/MAX(J:J)+'ButsMPG + Var'!$G$37*H376/MAX(H:H))</f>
        <v>#DIV/0!</v>
      </c>
      <c r="L376" s="1">
        <f>IF(ISNA(VLOOKUP(B376,PrixMini!$B$3:$E$573,4,FALSE)),1,VLOOKUP(B376,PrixMini!$B$3:$E$573,4,FALSE))</f>
        <v>1</v>
      </c>
      <c r="M376" s="25" t="e">
        <f>IF(ROUND(CalculCotation!$D$3*EXP(CalculCotation!$C$3*K376)-CalculCotation!$D$3+1,0)&gt;L376,ROUND(CalculCotation!$D$3*EXP(CalculCotation!$C$3*K376)-CalculCotation!$D$3+1,0),L376)</f>
        <v>#DIV/0!</v>
      </c>
    </row>
    <row r="377" spans="2:13" x14ac:dyDescent="0.3">
      <c r="B377" s="1">
        <f>BDD!C380</f>
        <v>0</v>
      </c>
      <c r="C377" s="1">
        <f>BDD!B380</f>
        <v>0</v>
      </c>
      <c r="D377" s="1">
        <f>BDD!A380</f>
        <v>0</v>
      </c>
      <c r="E377" s="1">
        <f>BDD!D380</f>
        <v>0</v>
      </c>
      <c r="F377" s="1">
        <f>BDD!F380</f>
        <v>0</v>
      </c>
      <c r="G377" s="25">
        <f>'ButsMPG + Var'!$I$39*IF(C377="A",COUNTIF(BDD!H380:AR380,10)*'ButsMPG + Var'!$K$12+COUNTIF(BDD!H380:AR380,9)*'ButsMPG + Var'!$K$11+COUNTIF(BDD!H380:AR380,8)*'ButsMPG + Var'!$K$10+COUNTIF(BDD!H380:AR380,7)*'ButsMPG + Var'!$K$9+COUNTIF(BDD!H380:AR380,6)*'ButsMPG + Var'!$K$8+COUNTIF(BDD!H380:AR380,5)*'ButsMPG + Var'!$K$7+COUNTIF(BDD!H380:AR380,4)*'ButsMPG + Var'!$K$6+COUNTIF(BDD!H380:AR380,3)*'ButsMPG + Var'!$K$5+COUNTIF(BDD!H380:AR380,2)*'ButsMPG + Var'!$K$4+COUNTIF(BDD!H380:AR380,1)*'ButsMPG + Var'!$K$3,IF(C377="M",COUNTIF(BDD!H380:AR380,10)*'ButsMPG + Var'!$K$22+COUNTIF(BDD!H380:AR380,9)*'ButsMPG + Var'!$K$21+COUNTIF(BDD!H380:AR380,8)*'ButsMPG + Var'!$K$20+COUNTIF(BDD!H380:AR380,7)*'ButsMPG + Var'!$K$19+COUNTIF(BDD!H380:AR380,6)*'ButsMPG + Var'!$K$18+COUNTIF(BDD!H380:AR380,5)*'ButsMPG + Var'!$K$17+COUNTIF(BDD!H380:AR380,4)*'ButsMPG + Var'!$K$16+COUNTIF(BDD!H380:AR380,3)*'ButsMPG + Var'!$K$15+COUNTIF(BDD!H380:AR380,2)*'ButsMPG + Var'!$K$14+COUNTIF(BDD!H380:AR380,1)*'ButsMPG + Var'!$K$13,IF(C377="D",COUNTIF(BDD!H380:AR380,10)*'ButsMPG + Var'!$K$32+COUNTIF(BDD!H380:AR380,9)*'ButsMPG + Var'!$K$31+COUNTIF(BDD!H380:AR380,8)*'ButsMPG + Var'!$K$30+COUNTIF(BDD!H380:AR380,7)*'ButsMPG + Var'!$K$29+COUNTIF(BDD!H380:AR380,6)*'ButsMPG + Var'!$K$28+COUNTIF(BDD!H380:AR380,5)*'ButsMPG + Var'!$K$27+COUNTIF(BDD!H380:AR380,4)*'ButsMPG + Var'!$K$26+COUNTIF(BDD!H380:AR380,3)*'ButsMPG + Var'!$K$25+COUNTIF(BDD!H380:AR380,2)*'ButsMPG + Var'!$K$24+COUNTIF(BDD!H380:AR380,1)*'ButsMPG + Var'!$K$23,0)))</f>
        <v>0</v>
      </c>
      <c r="H377" s="25">
        <f t="shared" si="6"/>
        <v>0</v>
      </c>
      <c r="I377" s="25">
        <f>BDD!G380</f>
        <v>0</v>
      </c>
      <c r="J377" s="25">
        <f>SUMPRODUCT(BDD!H380:AS380,'ButsMPG + Var'!$B$46:$AM$46)</f>
        <v>0</v>
      </c>
      <c r="K377" s="25" t="e">
        <f>10*('ButsMPG + Var'!$H$37*J377/MAX(J:J)+'ButsMPG + Var'!$G$37*H377/MAX(H:H))</f>
        <v>#DIV/0!</v>
      </c>
      <c r="L377" s="1">
        <f>IF(ISNA(VLOOKUP(B377,PrixMini!$B$3:$E$573,4,FALSE)),1,VLOOKUP(B377,PrixMini!$B$3:$E$573,4,FALSE))</f>
        <v>1</v>
      </c>
      <c r="M377" s="25" t="e">
        <f>IF(ROUND(CalculCotation!$D$3*EXP(CalculCotation!$C$3*K377)-CalculCotation!$D$3+1,0)&gt;L377,ROUND(CalculCotation!$D$3*EXP(CalculCotation!$C$3*K377)-CalculCotation!$D$3+1,0),L377)</f>
        <v>#DIV/0!</v>
      </c>
    </row>
    <row r="378" spans="2:13" x14ac:dyDescent="0.3">
      <c r="B378" s="1">
        <f>BDD!C381</f>
        <v>0</v>
      </c>
      <c r="C378" s="1">
        <f>BDD!B381</f>
        <v>0</v>
      </c>
      <c r="D378" s="1">
        <f>BDD!A381</f>
        <v>0</v>
      </c>
      <c r="E378" s="1">
        <f>BDD!D381</f>
        <v>0</v>
      </c>
      <c r="F378" s="1">
        <f>BDD!F381</f>
        <v>0</v>
      </c>
      <c r="G378" s="25">
        <f>'ButsMPG + Var'!$I$39*IF(C378="A",COUNTIF(BDD!H381:AR381,10)*'ButsMPG + Var'!$K$12+COUNTIF(BDD!H381:AR381,9)*'ButsMPG + Var'!$K$11+COUNTIF(BDD!H381:AR381,8)*'ButsMPG + Var'!$K$10+COUNTIF(BDD!H381:AR381,7)*'ButsMPG + Var'!$K$9+COUNTIF(BDD!H381:AR381,6)*'ButsMPG + Var'!$K$8+COUNTIF(BDD!H381:AR381,5)*'ButsMPG + Var'!$K$7+COUNTIF(BDD!H381:AR381,4)*'ButsMPG + Var'!$K$6+COUNTIF(BDD!H381:AR381,3)*'ButsMPG + Var'!$K$5+COUNTIF(BDD!H381:AR381,2)*'ButsMPG + Var'!$K$4+COUNTIF(BDD!H381:AR381,1)*'ButsMPG + Var'!$K$3,IF(C378="M",COUNTIF(BDD!H381:AR381,10)*'ButsMPG + Var'!$K$22+COUNTIF(BDD!H381:AR381,9)*'ButsMPG + Var'!$K$21+COUNTIF(BDD!H381:AR381,8)*'ButsMPG + Var'!$K$20+COUNTIF(BDD!H381:AR381,7)*'ButsMPG + Var'!$K$19+COUNTIF(BDD!H381:AR381,6)*'ButsMPG + Var'!$K$18+COUNTIF(BDD!H381:AR381,5)*'ButsMPG + Var'!$K$17+COUNTIF(BDD!H381:AR381,4)*'ButsMPG + Var'!$K$16+COUNTIF(BDD!H381:AR381,3)*'ButsMPG + Var'!$K$15+COUNTIF(BDD!H381:AR381,2)*'ButsMPG + Var'!$K$14+COUNTIF(BDD!H381:AR381,1)*'ButsMPG + Var'!$K$13,IF(C378="D",COUNTIF(BDD!H381:AR381,10)*'ButsMPG + Var'!$K$32+COUNTIF(BDD!H381:AR381,9)*'ButsMPG + Var'!$K$31+COUNTIF(BDD!H381:AR381,8)*'ButsMPG + Var'!$K$30+COUNTIF(BDD!H381:AR381,7)*'ButsMPG + Var'!$K$29+COUNTIF(BDD!H381:AR381,6)*'ButsMPG + Var'!$K$28+COUNTIF(BDD!H381:AR381,5)*'ButsMPG + Var'!$K$27+COUNTIF(BDD!H381:AR381,4)*'ButsMPG + Var'!$K$26+COUNTIF(BDD!H381:AR381,3)*'ButsMPG + Var'!$K$25+COUNTIF(BDD!H381:AR381,2)*'ButsMPG + Var'!$K$24+COUNTIF(BDD!H381:AR381,1)*'ButsMPG + Var'!$K$23,0)))</f>
        <v>0</v>
      </c>
      <c r="H378" s="25">
        <f t="shared" si="6"/>
        <v>0</v>
      </c>
      <c r="I378" s="25">
        <f>BDD!G381</f>
        <v>0</v>
      </c>
      <c r="J378" s="25">
        <f>SUMPRODUCT(BDD!H381:AS381,'ButsMPG + Var'!$B$46:$AM$46)</f>
        <v>0</v>
      </c>
      <c r="K378" s="25" t="e">
        <f>10*('ButsMPG + Var'!$H$37*J378/MAX(J:J)+'ButsMPG + Var'!$G$37*H378/MAX(H:H))</f>
        <v>#DIV/0!</v>
      </c>
      <c r="L378" s="1">
        <f>IF(ISNA(VLOOKUP(B378,PrixMini!$B$3:$E$573,4,FALSE)),1,VLOOKUP(B378,PrixMini!$B$3:$E$573,4,FALSE))</f>
        <v>1</v>
      </c>
      <c r="M378" s="25" t="e">
        <f>IF(ROUND(CalculCotation!$D$3*EXP(CalculCotation!$C$3*K378)-CalculCotation!$D$3+1,0)&gt;L378,ROUND(CalculCotation!$D$3*EXP(CalculCotation!$C$3*K378)-CalculCotation!$D$3+1,0),L378)</f>
        <v>#DIV/0!</v>
      </c>
    </row>
    <row r="379" spans="2:13" x14ac:dyDescent="0.3">
      <c r="B379" s="1">
        <f>BDD!C382</f>
        <v>0</v>
      </c>
      <c r="C379" s="1">
        <f>BDD!B382</f>
        <v>0</v>
      </c>
      <c r="D379" s="1">
        <f>BDD!A382</f>
        <v>0</v>
      </c>
      <c r="E379" s="1">
        <f>BDD!D382</f>
        <v>0</v>
      </c>
      <c r="F379" s="1">
        <f>BDD!F382</f>
        <v>0</v>
      </c>
      <c r="G379" s="25">
        <f>'ButsMPG + Var'!$I$39*IF(C379="A",COUNTIF(BDD!H382:AR382,10)*'ButsMPG + Var'!$K$12+COUNTIF(BDD!H382:AR382,9)*'ButsMPG + Var'!$K$11+COUNTIF(BDD!H382:AR382,8)*'ButsMPG + Var'!$K$10+COUNTIF(BDD!H382:AR382,7)*'ButsMPG + Var'!$K$9+COUNTIF(BDD!H382:AR382,6)*'ButsMPG + Var'!$K$8+COUNTIF(BDD!H382:AR382,5)*'ButsMPG + Var'!$K$7+COUNTIF(BDD!H382:AR382,4)*'ButsMPG + Var'!$K$6+COUNTIF(BDD!H382:AR382,3)*'ButsMPG + Var'!$K$5+COUNTIF(BDD!H382:AR382,2)*'ButsMPG + Var'!$K$4+COUNTIF(BDD!H382:AR382,1)*'ButsMPG + Var'!$K$3,IF(C379="M",COUNTIF(BDD!H382:AR382,10)*'ButsMPG + Var'!$K$22+COUNTIF(BDD!H382:AR382,9)*'ButsMPG + Var'!$K$21+COUNTIF(BDD!H382:AR382,8)*'ButsMPG + Var'!$K$20+COUNTIF(BDD!H382:AR382,7)*'ButsMPG + Var'!$K$19+COUNTIF(BDD!H382:AR382,6)*'ButsMPG + Var'!$K$18+COUNTIF(BDD!H382:AR382,5)*'ButsMPG + Var'!$K$17+COUNTIF(BDD!H382:AR382,4)*'ButsMPG + Var'!$K$16+COUNTIF(BDD!H382:AR382,3)*'ButsMPG + Var'!$K$15+COUNTIF(BDD!H382:AR382,2)*'ButsMPG + Var'!$K$14+COUNTIF(BDD!H382:AR382,1)*'ButsMPG + Var'!$K$13,IF(C379="D",COUNTIF(BDD!H382:AR382,10)*'ButsMPG + Var'!$K$32+COUNTIF(BDD!H382:AR382,9)*'ButsMPG + Var'!$K$31+COUNTIF(BDD!H382:AR382,8)*'ButsMPG + Var'!$K$30+COUNTIF(BDD!H382:AR382,7)*'ButsMPG + Var'!$K$29+COUNTIF(BDD!H382:AR382,6)*'ButsMPG + Var'!$K$28+COUNTIF(BDD!H382:AR382,5)*'ButsMPG + Var'!$K$27+COUNTIF(BDD!H382:AR382,4)*'ButsMPG + Var'!$K$26+COUNTIF(BDD!H382:AR382,3)*'ButsMPG + Var'!$K$25+COUNTIF(BDD!H382:AR382,2)*'ButsMPG + Var'!$K$24+COUNTIF(BDD!H382:AR382,1)*'ButsMPG + Var'!$K$23,0)))</f>
        <v>0</v>
      </c>
      <c r="H379" s="25">
        <f t="shared" si="6"/>
        <v>0</v>
      </c>
      <c r="I379" s="25">
        <f>BDD!G382</f>
        <v>0</v>
      </c>
      <c r="J379" s="25">
        <f>SUMPRODUCT(BDD!H382:AS382,'ButsMPG + Var'!$B$46:$AM$46)</f>
        <v>0</v>
      </c>
      <c r="K379" s="25" t="e">
        <f>10*('ButsMPG + Var'!$H$37*J379/MAX(J:J)+'ButsMPG + Var'!$G$37*H379/MAX(H:H))</f>
        <v>#DIV/0!</v>
      </c>
      <c r="L379" s="1">
        <f>IF(ISNA(VLOOKUP(B379,PrixMini!$B$3:$E$573,4,FALSE)),1,VLOOKUP(B379,PrixMini!$B$3:$E$573,4,FALSE))</f>
        <v>1</v>
      </c>
      <c r="M379" s="25" t="e">
        <f>IF(ROUND(CalculCotation!$D$3*EXP(CalculCotation!$C$3*K379)-CalculCotation!$D$3+1,0)&gt;L379,ROUND(CalculCotation!$D$3*EXP(CalculCotation!$C$3*K379)-CalculCotation!$D$3+1,0),L379)</f>
        <v>#DIV/0!</v>
      </c>
    </row>
    <row r="380" spans="2:13" x14ac:dyDescent="0.3">
      <c r="B380" s="1">
        <f>BDD!C383</f>
        <v>0</v>
      </c>
      <c r="C380" s="1">
        <f>BDD!B383</f>
        <v>0</v>
      </c>
      <c r="D380" s="1">
        <f>BDD!A383</f>
        <v>0</v>
      </c>
      <c r="E380" s="1">
        <f>BDD!D383</f>
        <v>0</v>
      </c>
      <c r="F380" s="1">
        <f>BDD!F383</f>
        <v>0</v>
      </c>
      <c r="G380" s="25">
        <f>'ButsMPG + Var'!$I$39*IF(C380="A",COUNTIF(BDD!H383:AR383,10)*'ButsMPG + Var'!$K$12+COUNTIF(BDD!H383:AR383,9)*'ButsMPG + Var'!$K$11+COUNTIF(BDD!H383:AR383,8)*'ButsMPG + Var'!$K$10+COUNTIF(BDD!H383:AR383,7)*'ButsMPG + Var'!$K$9+COUNTIF(BDD!H383:AR383,6)*'ButsMPG + Var'!$K$8+COUNTIF(BDD!H383:AR383,5)*'ButsMPG + Var'!$K$7+COUNTIF(BDD!H383:AR383,4)*'ButsMPG + Var'!$K$6+COUNTIF(BDD!H383:AR383,3)*'ButsMPG + Var'!$K$5+COUNTIF(BDD!H383:AR383,2)*'ButsMPG + Var'!$K$4+COUNTIF(BDD!H383:AR383,1)*'ButsMPG + Var'!$K$3,IF(C380="M",COUNTIF(BDD!H383:AR383,10)*'ButsMPG + Var'!$K$22+COUNTIF(BDD!H383:AR383,9)*'ButsMPG + Var'!$K$21+COUNTIF(BDD!H383:AR383,8)*'ButsMPG + Var'!$K$20+COUNTIF(BDD!H383:AR383,7)*'ButsMPG + Var'!$K$19+COUNTIF(BDD!H383:AR383,6)*'ButsMPG + Var'!$K$18+COUNTIF(BDD!H383:AR383,5)*'ButsMPG + Var'!$K$17+COUNTIF(BDD!H383:AR383,4)*'ButsMPG + Var'!$K$16+COUNTIF(BDD!H383:AR383,3)*'ButsMPG + Var'!$K$15+COUNTIF(BDD!H383:AR383,2)*'ButsMPG + Var'!$K$14+COUNTIF(BDD!H383:AR383,1)*'ButsMPG + Var'!$K$13,IF(C380="D",COUNTIF(BDD!H383:AR383,10)*'ButsMPG + Var'!$K$32+COUNTIF(BDD!H383:AR383,9)*'ButsMPG + Var'!$K$31+COUNTIF(BDD!H383:AR383,8)*'ButsMPG + Var'!$K$30+COUNTIF(BDD!H383:AR383,7)*'ButsMPG + Var'!$K$29+COUNTIF(BDD!H383:AR383,6)*'ButsMPG + Var'!$K$28+COUNTIF(BDD!H383:AR383,5)*'ButsMPG + Var'!$K$27+COUNTIF(BDD!H383:AR383,4)*'ButsMPG + Var'!$K$26+COUNTIF(BDD!H383:AR383,3)*'ButsMPG + Var'!$K$25+COUNTIF(BDD!H383:AR383,2)*'ButsMPG + Var'!$K$24+COUNTIF(BDD!H383:AR383,1)*'ButsMPG + Var'!$K$23,0)))</f>
        <v>0</v>
      </c>
      <c r="H380" s="25">
        <f t="shared" si="6"/>
        <v>0</v>
      </c>
      <c r="I380" s="25">
        <f>BDD!G383</f>
        <v>0</v>
      </c>
      <c r="J380" s="25">
        <f>SUMPRODUCT(BDD!H383:AS383,'ButsMPG + Var'!$B$46:$AM$46)</f>
        <v>0</v>
      </c>
      <c r="K380" s="25" t="e">
        <f>10*('ButsMPG + Var'!$H$37*J380/MAX(J:J)+'ButsMPG + Var'!$G$37*H380/MAX(H:H))</f>
        <v>#DIV/0!</v>
      </c>
      <c r="L380" s="1">
        <f>IF(ISNA(VLOOKUP(B380,PrixMini!$B$3:$E$573,4,FALSE)),1,VLOOKUP(B380,PrixMini!$B$3:$E$573,4,FALSE))</f>
        <v>1</v>
      </c>
      <c r="M380" s="25" t="e">
        <f>IF(ROUND(CalculCotation!$D$3*EXP(CalculCotation!$C$3*K380)-CalculCotation!$D$3+1,0)&gt;L380,ROUND(CalculCotation!$D$3*EXP(CalculCotation!$C$3*K380)-CalculCotation!$D$3+1,0),L380)</f>
        <v>#DIV/0!</v>
      </c>
    </row>
    <row r="381" spans="2:13" x14ac:dyDescent="0.3">
      <c r="B381" s="1">
        <f>BDD!C384</f>
        <v>0</v>
      </c>
      <c r="C381" s="1">
        <f>BDD!B384</f>
        <v>0</v>
      </c>
      <c r="D381" s="1">
        <f>BDD!A384</f>
        <v>0</v>
      </c>
      <c r="E381" s="1">
        <f>BDD!D384</f>
        <v>0</v>
      </c>
      <c r="F381" s="1">
        <f>BDD!F384</f>
        <v>0</v>
      </c>
      <c r="G381" s="25">
        <f>'ButsMPG + Var'!$I$39*IF(C381="A",COUNTIF(BDD!H384:AR384,10)*'ButsMPG + Var'!$K$12+COUNTIF(BDD!H384:AR384,9)*'ButsMPG + Var'!$K$11+COUNTIF(BDD!H384:AR384,8)*'ButsMPG + Var'!$K$10+COUNTIF(BDD!H384:AR384,7)*'ButsMPG + Var'!$K$9+COUNTIF(BDD!H384:AR384,6)*'ButsMPG + Var'!$K$8+COUNTIF(BDD!H384:AR384,5)*'ButsMPG + Var'!$K$7+COUNTIF(BDD!H384:AR384,4)*'ButsMPG + Var'!$K$6+COUNTIF(BDD!H384:AR384,3)*'ButsMPG + Var'!$K$5+COUNTIF(BDD!H384:AR384,2)*'ButsMPG + Var'!$K$4+COUNTIF(BDD!H384:AR384,1)*'ButsMPG + Var'!$K$3,IF(C381="M",COUNTIF(BDD!H384:AR384,10)*'ButsMPG + Var'!$K$22+COUNTIF(BDD!H384:AR384,9)*'ButsMPG + Var'!$K$21+COUNTIF(BDD!H384:AR384,8)*'ButsMPG + Var'!$K$20+COUNTIF(BDD!H384:AR384,7)*'ButsMPG + Var'!$K$19+COUNTIF(BDD!H384:AR384,6)*'ButsMPG + Var'!$K$18+COUNTIF(BDD!H384:AR384,5)*'ButsMPG + Var'!$K$17+COUNTIF(BDD!H384:AR384,4)*'ButsMPG + Var'!$K$16+COUNTIF(BDD!H384:AR384,3)*'ButsMPG + Var'!$K$15+COUNTIF(BDD!H384:AR384,2)*'ButsMPG + Var'!$K$14+COUNTIF(BDD!H384:AR384,1)*'ButsMPG + Var'!$K$13,IF(C381="D",COUNTIF(BDD!H384:AR384,10)*'ButsMPG + Var'!$K$32+COUNTIF(BDD!H384:AR384,9)*'ButsMPG + Var'!$K$31+COUNTIF(BDD!H384:AR384,8)*'ButsMPG + Var'!$K$30+COUNTIF(BDD!H384:AR384,7)*'ButsMPG + Var'!$K$29+COUNTIF(BDD!H384:AR384,6)*'ButsMPG + Var'!$K$28+COUNTIF(BDD!H384:AR384,5)*'ButsMPG + Var'!$K$27+COUNTIF(BDD!H384:AR384,4)*'ButsMPG + Var'!$K$26+COUNTIF(BDD!H384:AR384,3)*'ButsMPG + Var'!$K$25+COUNTIF(BDD!H384:AR384,2)*'ButsMPG + Var'!$K$24+COUNTIF(BDD!H384:AR384,1)*'ButsMPG + Var'!$K$23,0)))</f>
        <v>0</v>
      </c>
      <c r="H381" s="25">
        <f t="shared" si="6"/>
        <v>0</v>
      </c>
      <c r="I381" s="25">
        <f>BDD!G384</f>
        <v>0</v>
      </c>
      <c r="J381" s="25">
        <f>SUMPRODUCT(BDD!H384:AS384,'ButsMPG + Var'!$B$46:$AM$46)</f>
        <v>0</v>
      </c>
      <c r="K381" s="25" t="e">
        <f>10*('ButsMPG + Var'!$H$37*J381/MAX(J:J)+'ButsMPG + Var'!$G$37*H381/MAX(H:H))</f>
        <v>#DIV/0!</v>
      </c>
      <c r="L381" s="1">
        <f>IF(ISNA(VLOOKUP(B381,PrixMini!$B$3:$E$573,4,FALSE)),1,VLOOKUP(B381,PrixMini!$B$3:$E$573,4,FALSE))</f>
        <v>1</v>
      </c>
      <c r="M381" s="25" t="e">
        <f>IF(ROUND(CalculCotation!$D$3*EXP(CalculCotation!$C$3*K381)-CalculCotation!$D$3+1,0)&gt;L381,ROUND(CalculCotation!$D$3*EXP(CalculCotation!$C$3*K381)-CalculCotation!$D$3+1,0),L381)</f>
        <v>#DIV/0!</v>
      </c>
    </row>
    <row r="382" spans="2:13" x14ac:dyDescent="0.3">
      <c r="B382" s="1">
        <f>BDD!C385</f>
        <v>0</v>
      </c>
      <c r="C382" s="1">
        <f>BDD!B385</f>
        <v>0</v>
      </c>
      <c r="D382" s="1">
        <f>BDD!A385</f>
        <v>0</v>
      </c>
      <c r="E382" s="1">
        <f>BDD!D385</f>
        <v>0</v>
      </c>
      <c r="F382" s="1">
        <f>BDD!F385</f>
        <v>0</v>
      </c>
      <c r="G382" s="25">
        <f>'ButsMPG + Var'!$I$39*IF(C382="A",COUNTIF(BDD!H385:AR385,10)*'ButsMPG + Var'!$K$12+COUNTIF(BDD!H385:AR385,9)*'ButsMPG + Var'!$K$11+COUNTIF(BDD!H385:AR385,8)*'ButsMPG + Var'!$K$10+COUNTIF(BDD!H385:AR385,7)*'ButsMPG + Var'!$K$9+COUNTIF(BDD!H385:AR385,6)*'ButsMPG + Var'!$K$8+COUNTIF(BDD!H385:AR385,5)*'ButsMPG + Var'!$K$7+COUNTIF(BDD!H385:AR385,4)*'ButsMPG + Var'!$K$6+COUNTIF(BDD!H385:AR385,3)*'ButsMPG + Var'!$K$5+COUNTIF(BDD!H385:AR385,2)*'ButsMPG + Var'!$K$4+COUNTIF(BDD!H385:AR385,1)*'ButsMPG + Var'!$K$3,IF(C382="M",COUNTIF(BDD!H385:AR385,10)*'ButsMPG + Var'!$K$22+COUNTIF(BDD!H385:AR385,9)*'ButsMPG + Var'!$K$21+COUNTIF(BDD!H385:AR385,8)*'ButsMPG + Var'!$K$20+COUNTIF(BDD!H385:AR385,7)*'ButsMPG + Var'!$K$19+COUNTIF(BDD!H385:AR385,6)*'ButsMPG + Var'!$K$18+COUNTIF(BDD!H385:AR385,5)*'ButsMPG + Var'!$K$17+COUNTIF(BDD!H385:AR385,4)*'ButsMPG + Var'!$K$16+COUNTIF(BDD!H385:AR385,3)*'ButsMPG + Var'!$K$15+COUNTIF(BDD!H385:AR385,2)*'ButsMPG + Var'!$K$14+COUNTIF(BDD!H385:AR385,1)*'ButsMPG + Var'!$K$13,IF(C382="D",COUNTIF(BDD!H385:AR385,10)*'ButsMPG + Var'!$K$32+COUNTIF(BDD!H385:AR385,9)*'ButsMPG + Var'!$K$31+COUNTIF(BDD!H385:AR385,8)*'ButsMPG + Var'!$K$30+COUNTIF(BDD!H385:AR385,7)*'ButsMPG + Var'!$K$29+COUNTIF(BDD!H385:AR385,6)*'ButsMPG + Var'!$K$28+COUNTIF(BDD!H385:AR385,5)*'ButsMPG + Var'!$K$27+COUNTIF(BDD!H385:AR385,4)*'ButsMPG + Var'!$K$26+COUNTIF(BDD!H385:AR385,3)*'ButsMPG + Var'!$K$25+COUNTIF(BDD!H385:AR385,2)*'ButsMPG + Var'!$K$24+COUNTIF(BDD!H385:AR385,1)*'ButsMPG + Var'!$K$23,0)))</f>
        <v>0</v>
      </c>
      <c r="H382" s="25">
        <f t="shared" si="6"/>
        <v>0</v>
      </c>
      <c r="I382" s="25">
        <f>BDD!G385</f>
        <v>0</v>
      </c>
      <c r="J382" s="25">
        <f>SUMPRODUCT(BDD!H385:AS385,'ButsMPG + Var'!$B$46:$AM$46)</f>
        <v>0</v>
      </c>
      <c r="K382" s="25" t="e">
        <f>10*('ButsMPG + Var'!$H$37*J382/MAX(J:J)+'ButsMPG + Var'!$G$37*H382/MAX(H:H))</f>
        <v>#DIV/0!</v>
      </c>
      <c r="L382" s="1">
        <f>IF(ISNA(VLOOKUP(B382,PrixMini!$B$3:$E$573,4,FALSE)),1,VLOOKUP(B382,PrixMini!$B$3:$E$573,4,FALSE))</f>
        <v>1</v>
      </c>
      <c r="M382" s="25" t="e">
        <f>IF(ROUND(CalculCotation!$D$3*EXP(CalculCotation!$C$3*K382)-CalculCotation!$D$3+1,0)&gt;L382,ROUND(CalculCotation!$D$3*EXP(CalculCotation!$C$3*K382)-CalculCotation!$D$3+1,0),L382)</f>
        <v>#DIV/0!</v>
      </c>
    </row>
    <row r="383" spans="2:13" x14ac:dyDescent="0.3">
      <c r="B383" s="1">
        <f>BDD!C386</f>
        <v>0</v>
      </c>
      <c r="C383" s="1">
        <f>BDD!B386</f>
        <v>0</v>
      </c>
      <c r="D383" s="1">
        <f>BDD!A386</f>
        <v>0</v>
      </c>
      <c r="E383" s="1">
        <f>BDD!D386</f>
        <v>0</v>
      </c>
      <c r="F383" s="1">
        <f>BDD!F386</f>
        <v>0</v>
      </c>
      <c r="G383" s="25">
        <f>'ButsMPG + Var'!$I$39*IF(C383="A",COUNTIF(BDD!H386:AR386,10)*'ButsMPG + Var'!$K$12+COUNTIF(BDD!H386:AR386,9)*'ButsMPG + Var'!$K$11+COUNTIF(BDD!H386:AR386,8)*'ButsMPG + Var'!$K$10+COUNTIF(BDD!H386:AR386,7)*'ButsMPG + Var'!$K$9+COUNTIF(BDD!H386:AR386,6)*'ButsMPG + Var'!$K$8+COUNTIF(BDD!H386:AR386,5)*'ButsMPG + Var'!$K$7+COUNTIF(BDD!H386:AR386,4)*'ButsMPG + Var'!$K$6+COUNTIF(BDD!H386:AR386,3)*'ButsMPG + Var'!$K$5+COUNTIF(BDD!H386:AR386,2)*'ButsMPG + Var'!$K$4+COUNTIF(BDD!H386:AR386,1)*'ButsMPG + Var'!$K$3,IF(C383="M",COUNTIF(BDD!H386:AR386,10)*'ButsMPG + Var'!$K$22+COUNTIF(BDD!H386:AR386,9)*'ButsMPG + Var'!$K$21+COUNTIF(BDD!H386:AR386,8)*'ButsMPG + Var'!$K$20+COUNTIF(BDD!H386:AR386,7)*'ButsMPG + Var'!$K$19+COUNTIF(BDD!H386:AR386,6)*'ButsMPG + Var'!$K$18+COUNTIF(BDD!H386:AR386,5)*'ButsMPG + Var'!$K$17+COUNTIF(BDD!H386:AR386,4)*'ButsMPG + Var'!$K$16+COUNTIF(BDD!H386:AR386,3)*'ButsMPG + Var'!$K$15+COUNTIF(BDD!H386:AR386,2)*'ButsMPG + Var'!$K$14+COUNTIF(BDD!H386:AR386,1)*'ButsMPG + Var'!$K$13,IF(C383="D",COUNTIF(BDD!H386:AR386,10)*'ButsMPG + Var'!$K$32+COUNTIF(BDD!H386:AR386,9)*'ButsMPG + Var'!$K$31+COUNTIF(BDD!H386:AR386,8)*'ButsMPG + Var'!$K$30+COUNTIF(BDD!H386:AR386,7)*'ButsMPG + Var'!$K$29+COUNTIF(BDD!H386:AR386,6)*'ButsMPG + Var'!$K$28+COUNTIF(BDD!H386:AR386,5)*'ButsMPG + Var'!$K$27+COUNTIF(BDD!H386:AR386,4)*'ButsMPG + Var'!$K$26+COUNTIF(BDD!H386:AR386,3)*'ButsMPG + Var'!$K$25+COUNTIF(BDD!H386:AR386,2)*'ButsMPG + Var'!$K$24+COUNTIF(BDD!H386:AR386,1)*'ButsMPG + Var'!$K$23,0)))</f>
        <v>0</v>
      </c>
      <c r="H383" s="25">
        <f t="shared" si="6"/>
        <v>0</v>
      </c>
      <c r="I383" s="25">
        <f>BDD!G386</f>
        <v>0</v>
      </c>
      <c r="J383" s="25">
        <f>SUMPRODUCT(BDD!H386:AS386,'ButsMPG + Var'!$B$46:$AM$46)</f>
        <v>0</v>
      </c>
      <c r="K383" s="25" t="e">
        <f>10*('ButsMPG + Var'!$H$37*J383/MAX(J:J)+'ButsMPG + Var'!$G$37*H383/MAX(H:H))</f>
        <v>#DIV/0!</v>
      </c>
      <c r="L383" s="1">
        <f>IF(ISNA(VLOOKUP(B383,PrixMini!$B$3:$E$573,4,FALSE)),1,VLOOKUP(B383,PrixMini!$B$3:$E$573,4,FALSE))</f>
        <v>1</v>
      </c>
      <c r="M383" s="25" t="e">
        <f>IF(ROUND(CalculCotation!$D$3*EXP(CalculCotation!$C$3*K383)-CalculCotation!$D$3+1,0)&gt;L383,ROUND(CalculCotation!$D$3*EXP(CalculCotation!$C$3*K383)-CalculCotation!$D$3+1,0),L383)</f>
        <v>#DIV/0!</v>
      </c>
    </row>
    <row r="384" spans="2:13" x14ac:dyDescent="0.3">
      <c r="B384" s="1">
        <f>BDD!C387</f>
        <v>0</v>
      </c>
      <c r="C384" s="1">
        <f>BDD!B387</f>
        <v>0</v>
      </c>
      <c r="D384" s="1">
        <f>BDD!A387</f>
        <v>0</v>
      </c>
      <c r="E384" s="1">
        <f>BDD!D387</f>
        <v>0</v>
      </c>
      <c r="F384" s="1">
        <f>BDD!F387</f>
        <v>0</v>
      </c>
      <c r="G384" s="25">
        <f>'ButsMPG + Var'!$I$39*IF(C384="A",COUNTIF(BDD!H387:AR387,10)*'ButsMPG + Var'!$K$12+COUNTIF(BDD!H387:AR387,9)*'ButsMPG + Var'!$K$11+COUNTIF(BDD!H387:AR387,8)*'ButsMPG + Var'!$K$10+COUNTIF(BDD!H387:AR387,7)*'ButsMPG + Var'!$K$9+COUNTIF(BDD!H387:AR387,6)*'ButsMPG + Var'!$K$8+COUNTIF(BDD!H387:AR387,5)*'ButsMPG + Var'!$K$7+COUNTIF(BDD!H387:AR387,4)*'ButsMPG + Var'!$K$6+COUNTIF(BDD!H387:AR387,3)*'ButsMPG + Var'!$K$5+COUNTIF(BDD!H387:AR387,2)*'ButsMPG + Var'!$K$4+COUNTIF(BDD!H387:AR387,1)*'ButsMPG + Var'!$K$3,IF(C384="M",COUNTIF(BDD!H387:AR387,10)*'ButsMPG + Var'!$K$22+COUNTIF(BDD!H387:AR387,9)*'ButsMPG + Var'!$K$21+COUNTIF(BDD!H387:AR387,8)*'ButsMPG + Var'!$K$20+COUNTIF(BDD!H387:AR387,7)*'ButsMPG + Var'!$K$19+COUNTIF(BDD!H387:AR387,6)*'ButsMPG + Var'!$K$18+COUNTIF(BDD!H387:AR387,5)*'ButsMPG + Var'!$K$17+COUNTIF(BDD!H387:AR387,4)*'ButsMPG + Var'!$K$16+COUNTIF(BDD!H387:AR387,3)*'ButsMPG + Var'!$K$15+COUNTIF(BDD!H387:AR387,2)*'ButsMPG + Var'!$K$14+COUNTIF(BDD!H387:AR387,1)*'ButsMPG + Var'!$K$13,IF(C384="D",COUNTIF(BDD!H387:AR387,10)*'ButsMPG + Var'!$K$32+COUNTIF(BDD!H387:AR387,9)*'ButsMPG + Var'!$K$31+COUNTIF(BDD!H387:AR387,8)*'ButsMPG + Var'!$K$30+COUNTIF(BDD!H387:AR387,7)*'ButsMPG + Var'!$K$29+COUNTIF(BDD!H387:AR387,6)*'ButsMPG + Var'!$K$28+COUNTIF(BDD!H387:AR387,5)*'ButsMPG + Var'!$K$27+COUNTIF(BDD!H387:AR387,4)*'ButsMPG + Var'!$K$26+COUNTIF(BDD!H387:AR387,3)*'ButsMPG + Var'!$K$25+COUNTIF(BDD!H387:AR387,2)*'ButsMPG + Var'!$K$24+COUNTIF(BDD!H387:AR387,1)*'ButsMPG + Var'!$K$23,0)))</f>
        <v>0</v>
      </c>
      <c r="H384" s="25">
        <f t="shared" si="6"/>
        <v>0</v>
      </c>
      <c r="I384" s="25">
        <f>BDD!G387</f>
        <v>0</v>
      </c>
      <c r="J384" s="25">
        <f>SUMPRODUCT(BDD!H387:AS387,'ButsMPG + Var'!$B$46:$AM$46)</f>
        <v>0</v>
      </c>
      <c r="K384" s="25" t="e">
        <f>10*('ButsMPG + Var'!$H$37*J384/MAX(J:J)+'ButsMPG + Var'!$G$37*H384/MAX(H:H))</f>
        <v>#DIV/0!</v>
      </c>
      <c r="L384" s="1">
        <f>IF(ISNA(VLOOKUP(B384,PrixMini!$B$3:$E$573,4,FALSE)),1,VLOOKUP(B384,PrixMini!$B$3:$E$573,4,FALSE))</f>
        <v>1</v>
      </c>
      <c r="M384" s="25" t="e">
        <f>IF(ROUND(CalculCotation!$D$3*EXP(CalculCotation!$C$3*K384)-CalculCotation!$D$3+1,0)&gt;L384,ROUND(CalculCotation!$D$3*EXP(CalculCotation!$C$3*K384)-CalculCotation!$D$3+1,0),L384)</f>
        <v>#DIV/0!</v>
      </c>
    </row>
    <row r="385" spans="2:13" x14ac:dyDescent="0.3">
      <c r="B385" s="1">
        <f>BDD!C388</f>
        <v>0</v>
      </c>
      <c r="C385" s="1">
        <f>BDD!B388</f>
        <v>0</v>
      </c>
      <c r="D385" s="1">
        <f>BDD!A388</f>
        <v>0</v>
      </c>
      <c r="E385" s="1">
        <f>BDD!D388</f>
        <v>0</v>
      </c>
      <c r="F385" s="1">
        <f>BDD!F388</f>
        <v>0</v>
      </c>
      <c r="G385" s="25">
        <f>'ButsMPG + Var'!$I$39*IF(C385="A",COUNTIF(BDD!H388:AR388,10)*'ButsMPG + Var'!$K$12+COUNTIF(BDD!H388:AR388,9)*'ButsMPG + Var'!$K$11+COUNTIF(BDD!H388:AR388,8)*'ButsMPG + Var'!$K$10+COUNTIF(BDD!H388:AR388,7)*'ButsMPG + Var'!$K$9+COUNTIF(BDD!H388:AR388,6)*'ButsMPG + Var'!$K$8+COUNTIF(BDD!H388:AR388,5)*'ButsMPG + Var'!$K$7+COUNTIF(BDD!H388:AR388,4)*'ButsMPG + Var'!$K$6+COUNTIF(BDD!H388:AR388,3)*'ButsMPG + Var'!$K$5+COUNTIF(BDD!H388:AR388,2)*'ButsMPG + Var'!$K$4+COUNTIF(BDD!H388:AR388,1)*'ButsMPG + Var'!$K$3,IF(C385="M",COUNTIF(BDD!H388:AR388,10)*'ButsMPG + Var'!$K$22+COUNTIF(BDD!H388:AR388,9)*'ButsMPG + Var'!$K$21+COUNTIF(BDD!H388:AR388,8)*'ButsMPG + Var'!$K$20+COUNTIF(BDD!H388:AR388,7)*'ButsMPG + Var'!$K$19+COUNTIF(BDD!H388:AR388,6)*'ButsMPG + Var'!$K$18+COUNTIF(BDD!H388:AR388,5)*'ButsMPG + Var'!$K$17+COUNTIF(BDD!H388:AR388,4)*'ButsMPG + Var'!$K$16+COUNTIF(BDD!H388:AR388,3)*'ButsMPG + Var'!$K$15+COUNTIF(BDD!H388:AR388,2)*'ButsMPG + Var'!$K$14+COUNTIF(BDD!H388:AR388,1)*'ButsMPG + Var'!$K$13,IF(C385="D",COUNTIF(BDD!H388:AR388,10)*'ButsMPG + Var'!$K$32+COUNTIF(BDD!H388:AR388,9)*'ButsMPG + Var'!$K$31+COUNTIF(BDD!H388:AR388,8)*'ButsMPG + Var'!$K$30+COUNTIF(BDD!H388:AR388,7)*'ButsMPG + Var'!$K$29+COUNTIF(BDD!H388:AR388,6)*'ButsMPG + Var'!$K$28+COUNTIF(BDD!H388:AR388,5)*'ButsMPG + Var'!$K$27+COUNTIF(BDD!H388:AR388,4)*'ButsMPG + Var'!$K$26+COUNTIF(BDD!H388:AR388,3)*'ButsMPG + Var'!$K$25+COUNTIF(BDD!H388:AR388,2)*'ButsMPG + Var'!$K$24+COUNTIF(BDD!H388:AR388,1)*'ButsMPG + Var'!$K$23,0)))</f>
        <v>0</v>
      </c>
      <c r="H385" s="25">
        <f t="shared" si="6"/>
        <v>0</v>
      </c>
      <c r="I385" s="25">
        <f>BDD!G388</f>
        <v>0</v>
      </c>
      <c r="J385" s="25">
        <f>SUMPRODUCT(BDD!H388:AS388,'ButsMPG + Var'!$B$46:$AM$46)</f>
        <v>0</v>
      </c>
      <c r="K385" s="25" t="e">
        <f>10*('ButsMPG + Var'!$H$37*J385/MAX(J:J)+'ButsMPG + Var'!$G$37*H385/MAX(H:H))</f>
        <v>#DIV/0!</v>
      </c>
      <c r="L385" s="1">
        <f>IF(ISNA(VLOOKUP(B385,PrixMini!$B$3:$E$573,4,FALSE)),1,VLOOKUP(B385,PrixMini!$B$3:$E$573,4,FALSE))</f>
        <v>1</v>
      </c>
      <c r="M385" s="25" t="e">
        <f>IF(ROUND(CalculCotation!$D$3*EXP(CalculCotation!$C$3*K385)-CalculCotation!$D$3+1,0)&gt;L385,ROUND(CalculCotation!$D$3*EXP(CalculCotation!$C$3*K385)-CalculCotation!$D$3+1,0),L385)</f>
        <v>#DIV/0!</v>
      </c>
    </row>
    <row r="386" spans="2:13" x14ac:dyDescent="0.3">
      <c r="B386" s="1">
        <f>BDD!C389</f>
        <v>0</v>
      </c>
      <c r="C386" s="1">
        <f>BDD!B389</f>
        <v>0</v>
      </c>
      <c r="D386" s="1">
        <f>BDD!A389</f>
        <v>0</v>
      </c>
      <c r="E386" s="1">
        <f>BDD!D389</f>
        <v>0</v>
      </c>
      <c r="F386" s="1">
        <f>BDD!F389</f>
        <v>0</v>
      </c>
      <c r="G386" s="25">
        <f>'ButsMPG + Var'!$I$39*IF(C386="A",COUNTIF(BDD!H389:AR389,10)*'ButsMPG + Var'!$K$12+COUNTIF(BDD!H389:AR389,9)*'ButsMPG + Var'!$K$11+COUNTIF(BDD!H389:AR389,8)*'ButsMPG + Var'!$K$10+COUNTIF(BDD!H389:AR389,7)*'ButsMPG + Var'!$K$9+COUNTIF(BDD!H389:AR389,6)*'ButsMPG + Var'!$K$8+COUNTIF(BDD!H389:AR389,5)*'ButsMPG + Var'!$K$7+COUNTIF(BDD!H389:AR389,4)*'ButsMPG + Var'!$K$6+COUNTIF(BDD!H389:AR389,3)*'ButsMPG + Var'!$K$5+COUNTIF(BDD!H389:AR389,2)*'ButsMPG + Var'!$K$4+COUNTIF(BDD!H389:AR389,1)*'ButsMPG + Var'!$K$3,IF(C386="M",COUNTIF(BDD!H389:AR389,10)*'ButsMPG + Var'!$K$22+COUNTIF(BDD!H389:AR389,9)*'ButsMPG + Var'!$K$21+COUNTIF(BDD!H389:AR389,8)*'ButsMPG + Var'!$K$20+COUNTIF(BDD!H389:AR389,7)*'ButsMPG + Var'!$K$19+COUNTIF(BDD!H389:AR389,6)*'ButsMPG + Var'!$K$18+COUNTIF(BDD!H389:AR389,5)*'ButsMPG + Var'!$K$17+COUNTIF(BDD!H389:AR389,4)*'ButsMPG + Var'!$K$16+COUNTIF(BDD!H389:AR389,3)*'ButsMPG + Var'!$K$15+COUNTIF(BDD!H389:AR389,2)*'ButsMPG + Var'!$K$14+COUNTIF(BDD!H389:AR389,1)*'ButsMPG + Var'!$K$13,IF(C386="D",COUNTIF(BDD!H389:AR389,10)*'ButsMPG + Var'!$K$32+COUNTIF(BDD!H389:AR389,9)*'ButsMPG + Var'!$K$31+COUNTIF(BDD!H389:AR389,8)*'ButsMPG + Var'!$K$30+COUNTIF(BDD!H389:AR389,7)*'ButsMPG + Var'!$K$29+COUNTIF(BDD!H389:AR389,6)*'ButsMPG + Var'!$K$28+COUNTIF(BDD!H389:AR389,5)*'ButsMPG + Var'!$K$27+COUNTIF(BDD!H389:AR389,4)*'ButsMPG + Var'!$K$26+COUNTIF(BDD!H389:AR389,3)*'ButsMPG + Var'!$K$25+COUNTIF(BDD!H389:AR389,2)*'ButsMPG + Var'!$K$24+COUNTIF(BDD!H389:AR389,1)*'ButsMPG + Var'!$K$23,0)))</f>
        <v>0</v>
      </c>
      <c r="H386" s="25">
        <f t="shared" si="6"/>
        <v>0</v>
      </c>
      <c r="I386" s="25">
        <f>BDD!G389</f>
        <v>0</v>
      </c>
      <c r="J386" s="25">
        <f>SUMPRODUCT(BDD!H389:AS389,'ButsMPG + Var'!$B$46:$AM$46)</f>
        <v>0</v>
      </c>
      <c r="K386" s="25" t="e">
        <f>10*('ButsMPG + Var'!$H$37*J386/MAX(J:J)+'ButsMPG + Var'!$G$37*H386/MAX(H:H))</f>
        <v>#DIV/0!</v>
      </c>
      <c r="L386" s="1">
        <f>IF(ISNA(VLOOKUP(B386,PrixMini!$B$3:$E$573,4,FALSE)),1,VLOOKUP(B386,PrixMini!$B$3:$E$573,4,FALSE))</f>
        <v>1</v>
      </c>
      <c r="M386" s="25" t="e">
        <f>IF(ROUND(CalculCotation!$D$3*EXP(CalculCotation!$C$3*K386)-CalculCotation!$D$3+1,0)&gt;L386,ROUND(CalculCotation!$D$3*EXP(CalculCotation!$C$3*K386)-CalculCotation!$D$3+1,0),L386)</f>
        <v>#DIV/0!</v>
      </c>
    </row>
    <row r="387" spans="2:13" x14ac:dyDescent="0.3">
      <c r="B387" s="1">
        <f>BDD!C390</f>
        <v>0</v>
      </c>
      <c r="C387" s="1">
        <f>BDD!B390</f>
        <v>0</v>
      </c>
      <c r="D387" s="1">
        <f>BDD!A390</f>
        <v>0</v>
      </c>
      <c r="E387" s="1">
        <f>BDD!D390</f>
        <v>0</v>
      </c>
      <c r="F387" s="1">
        <f>BDD!F390</f>
        <v>0</v>
      </c>
      <c r="G387" s="25">
        <f>'ButsMPG + Var'!$I$39*IF(C387="A",COUNTIF(BDD!H390:AR390,10)*'ButsMPG + Var'!$K$12+COUNTIF(BDD!H390:AR390,9)*'ButsMPG + Var'!$K$11+COUNTIF(BDD!H390:AR390,8)*'ButsMPG + Var'!$K$10+COUNTIF(BDD!H390:AR390,7)*'ButsMPG + Var'!$K$9+COUNTIF(BDD!H390:AR390,6)*'ButsMPG + Var'!$K$8+COUNTIF(BDD!H390:AR390,5)*'ButsMPG + Var'!$K$7+COUNTIF(BDD!H390:AR390,4)*'ButsMPG + Var'!$K$6+COUNTIF(BDD!H390:AR390,3)*'ButsMPG + Var'!$K$5+COUNTIF(BDD!H390:AR390,2)*'ButsMPG + Var'!$K$4+COUNTIF(BDD!H390:AR390,1)*'ButsMPG + Var'!$K$3,IF(C387="M",COUNTIF(BDD!H390:AR390,10)*'ButsMPG + Var'!$K$22+COUNTIF(BDD!H390:AR390,9)*'ButsMPG + Var'!$K$21+COUNTIF(BDD!H390:AR390,8)*'ButsMPG + Var'!$K$20+COUNTIF(BDD!H390:AR390,7)*'ButsMPG + Var'!$K$19+COUNTIF(BDD!H390:AR390,6)*'ButsMPG + Var'!$K$18+COUNTIF(BDD!H390:AR390,5)*'ButsMPG + Var'!$K$17+COUNTIF(BDD!H390:AR390,4)*'ButsMPG + Var'!$K$16+COUNTIF(BDD!H390:AR390,3)*'ButsMPG + Var'!$K$15+COUNTIF(BDD!H390:AR390,2)*'ButsMPG + Var'!$K$14+COUNTIF(BDD!H390:AR390,1)*'ButsMPG + Var'!$K$13,IF(C387="D",COUNTIF(BDD!H390:AR390,10)*'ButsMPG + Var'!$K$32+COUNTIF(BDD!H390:AR390,9)*'ButsMPG + Var'!$K$31+COUNTIF(BDD!H390:AR390,8)*'ButsMPG + Var'!$K$30+COUNTIF(BDD!H390:AR390,7)*'ButsMPG + Var'!$K$29+COUNTIF(BDD!H390:AR390,6)*'ButsMPG + Var'!$K$28+COUNTIF(BDD!H390:AR390,5)*'ButsMPG + Var'!$K$27+COUNTIF(BDD!H390:AR390,4)*'ButsMPG + Var'!$K$26+COUNTIF(BDD!H390:AR390,3)*'ButsMPG + Var'!$K$25+COUNTIF(BDD!H390:AR390,2)*'ButsMPG + Var'!$K$24+COUNTIF(BDD!H390:AR390,1)*'ButsMPG + Var'!$K$23,0)))</f>
        <v>0</v>
      </c>
      <c r="H387" s="25">
        <f t="shared" si="6"/>
        <v>0</v>
      </c>
      <c r="I387" s="25">
        <f>BDD!G390</f>
        <v>0</v>
      </c>
      <c r="J387" s="25">
        <f>SUMPRODUCT(BDD!H390:AS390,'ButsMPG + Var'!$B$46:$AM$46)</f>
        <v>0</v>
      </c>
      <c r="K387" s="25" t="e">
        <f>10*('ButsMPG + Var'!$H$37*J387/MAX(J:J)+'ButsMPG + Var'!$G$37*H387/MAX(H:H))</f>
        <v>#DIV/0!</v>
      </c>
      <c r="L387" s="1">
        <f>IF(ISNA(VLOOKUP(B387,PrixMini!$B$3:$E$573,4,FALSE)),1,VLOOKUP(B387,PrixMini!$B$3:$E$573,4,FALSE))</f>
        <v>1</v>
      </c>
      <c r="M387" s="25" t="e">
        <f>IF(ROUND(CalculCotation!$D$3*EXP(CalculCotation!$C$3*K387)-CalculCotation!$D$3+1,0)&gt;L387,ROUND(CalculCotation!$D$3*EXP(CalculCotation!$C$3*K387)-CalculCotation!$D$3+1,0),L387)</f>
        <v>#DIV/0!</v>
      </c>
    </row>
    <row r="388" spans="2:13" x14ac:dyDescent="0.3">
      <c r="B388" s="1">
        <f>BDD!C391</f>
        <v>0</v>
      </c>
      <c r="C388" s="1">
        <f>BDD!B391</f>
        <v>0</v>
      </c>
      <c r="D388" s="1">
        <f>BDD!A391</f>
        <v>0</v>
      </c>
      <c r="E388" s="1">
        <f>BDD!D391</f>
        <v>0</v>
      </c>
      <c r="F388" s="1">
        <f>BDD!F391</f>
        <v>0</v>
      </c>
      <c r="G388" s="25">
        <f>'ButsMPG + Var'!$I$39*IF(C388="A",COUNTIF(BDD!H391:AR391,10)*'ButsMPG + Var'!$K$12+COUNTIF(BDD!H391:AR391,9)*'ButsMPG + Var'!$K$11+COUNTIF(BDD!H391:AR391,8)*'ButsMPG + Var'!$K$10+COUNTIF(BDD!H391:AR391,7)*'ButsMPG + Var'!$K$9+COUNTIF(BDD!H391:AR391,6)*'ButsMPG + Var'!$K$8+COUNTIF(BDD!H391:AR391,5)*'ButsMPG + Var'!$K$7+COUNTIF(BDD!H391:AR391,4)*'ButsMPG + Var'!$K$6+COUNTIF(BDD!H391:AR391,3)*'ButsMPG + Var'!$K$5+COUNTIF(BDD!H391:AR391,2)*'ButsMPG + Var'!$K$4+COUNTIF(BDD!H391:AR391,1)*'ButsMPG + Var'!$K$3,IF(C388="M",COUNTIF(BDD!H391:AR391,10)*'ButsMPG + Var'!$K$22+COUNTIF(BDD!H391:AR391,9)*'ButsMPG + Var'!$K$21+COUNTIF(BDD!H391:AR391,8)*'ButsMPG + Var'!$K$20+COUNTIF(BDD!H391:AR391,7)*'ButsMPG + Var'!$K$19+COUNTIF(BDD!H391:AR391,6)*'ButsMPG + Var'!$K$18+COUNTIF(BDD!H391:AR391,5)*'ButsMPG + Var'!$K$17+COUNTIF(BDD!H391:AR391,4)*'ButsMPG + Var'!$K$16+COUNTIF(BDD!H391:AR391,3)*'ButsMPG + Var'!$K$15+COUNTIF(BDD!H391:AR391,2)*'ButsMPG + Var'!$K$14+COUNTIF(BDD!H391:AR391,1)*'ButsMPG + Var'!$K$13,IF(C388="D",COUNTIF(BDD!H391:AR391,10)*'ButsMPG + Var'!$K$32+COUNTIF(BDD!H391:AR391,9)*'ButsMPG + Var'!$K$31+COUNTIF(BDD!H391:AR391,8)*'ButsMPG + Var'!$K$30+COUNTIF(BDD!H391:AR391,7)*'ButsMPG + Var'!$K$29+COUNTIF(BDD!H391:AR391,6)*'ButsMPG + Var'!$K$28+COUNTIF(BDD!H391:AR391,5)*'ButsMPG + Var'!$K$27+COUNTIF(BDD!H391:AR391,4)*'ButsMPG + Var'!$K$26+COUNTIF(BDD!H391:AR391,3)*'ButsMPG + Var'!$K$25+COUNTIF(BDD!H391:AR391,2)*'ButsMPG + Var'!$K$24+COUNTIF(BDD!H391:AR391,1)*'ButsMPG + Var'!$K$23,0)))</f>
        <v>0</v>
      </c>
      <c r="H388" s="25">
        <f t="shared" ref="H388:H451" si="7">SUM(F388:G388)</f>
        <v>0</v>
      </c>
      <c r="I388" s="25">
        <f>BDD!G391</f>
        <v>0</v>
      </c>
      <c r="J388" s="25">
        <f>SUMPRODUCT(BDD!H391:AS391,'ButsMPG + Var'!$B$46:$AM$46)</f>
        <v>0</v>
      </c>
      <c r="K388" s="25" t="e">
        <f>10*('ButsMPG + Var'!$H$37*J388/MAX(J:J)+'ButsMPG + Var'!$G$37*H388/MAX(H:H))</f>
        <v>#DIV/0!</v>
      </c>
      <c r="L388" s="1">
        <f>IF(ISNA(VLOOKUP(B388,PrixMini!$B$3:$E$573,4,FALSE)),1,VLOOKUP(B388,PrixMini!$B$3:$E$573,4,FALSE))</f>
        <v>1</v>
      </c>
      <c r="M388" s="25" t="e">
        <f>IF(ROUND(CalculCotation!$D$3*EXP(CalculCotation!$C$3*K388)-CalculCotation!$D$3+1,0)&gt;L388,ROUND(CalculCotation!$D$3*EXP(CalculCotation!$C$3*K388)-CalculCotation!$D$3+1,0),L388)</f>
        <v>#DIV/0!</v>
      </c>
    </row>
    <row r="389" spans="2:13" x14ac:dyDescent="0.3">
      <c r="B389" s="1">
        <f>BDD!C392</f>
        <v>0</v>
      </c>
      <c r="C389" s="1">
        <f>BDD!B392</f>
        <v>0</v>
      </c>
      <c r="D389" s="1">
        <f>BDD!A392</f>
        <v>0</v>
      </c>
      <c r="E389" s="1">
        <f>BDD!D392</f>
        <v>0</v>
      </c>
      <c r="F389" s="1">
        <f>BDD!F392</f>
        <v>0</v>
      </c>
      <c r="G389" s="25">
        <f>'ButsMPG + Var'!$I$39*IF(C389="A",COUNTIF(BDD!H392:AR392,10)*'ButsMPG + Var'!$K$12+COUNTIF(BDD!H392:AR392,9)*'ButsMPG + Var'!$K$11+COUNTIF(BDD!H392:AR392,8)*'ButsMPG + Var'!$K$10+COUNTIF(BDD!H392:AR392,7)*'ButsMPG + Var'!$K$9+COUNTIF(BDD!H392:AR392,6)*'ButsMPG + Var'!$K$8+COUNTIF(BDD!H392:AR392,5)*'ButsMPG + Var'!$K$7+COUNTIF(BDD!H392:AR392,4)*'ButsMPG + Var'!$K$6+COUNTIF(BDD!H392:AR392,3)*'ButsMPG + Var'!$K$5+COUNTIF(BDD!H392:AR392,2)*'ButsMPG + Var'!$K$4+COUNTIF(BDD!H392:AR392,1)*'ButsMPG + Var'!$K$3,IF(C389="M",COUNTIF(BDD!H392:AR392,10)*'ButsMPG + Var'!$K$22+COUNTIF(BDD!H392:AR392,9)*'ButsMPG + Var'!$K$21+COUNTIF(BDD!H392:AR392,8)*'ButsMPG + Var'!$K$20+COUNTIF(BDD!H392:AR392,7)*'ButsMPG + Var'!$K$19+COUNTIF(BDD!H392:AR392,6)*'ButsMPG + Var'!$K$18+COUNTIF(BDD!H392:AR392,5)*'ButsMPG + Var'!$K$17+COUNTIF(BDD!H392:AR392,4)*'ButsMPG + Var'!$K$16+COUNTIF(BDD!H392:AR392,3)*'ButsMPG + Var'!$K$15+COUNTIF(BDD!H392:AR392,2)*'ButsMPG + Var'!$K$14+COUNTIF(BDD!H392:AR392,1)*'ButsMPG + Var'!$K$13,IF(C389="D",COUNTIF(BDD!H392:AR392,10)*'ButsMPG + Var'!$K$32+COUNTIF(BDD!H392:AR392,9)*'ButsMPG + Var'!$K$31+COUNTIF(BDD!H392:AR392,8)*'ButsMPG + Var'!$K$30+COUNTIF(BDD!H392:AR392,7)*'ButsMPG + Var'!$K$29+COUNTIF(BDD!H392:AR392,6)*'ButsMPG + Var'!$K$28+COUNTIF(BDD!H392:AR392,5)*'ButsMPG + Var'!$K$27+COUNTIF(BDD!H392:AR392,4)*'ButsMPG + Var'!$K$26+COUNTIF(BDD!H392:AR392,3)*'ButsMPG + Var'!$K$25+COUNTIF(BDD!H392:AR392,2)*'ButsMPG + Var'!$K$24+COUNTIF(BDD!H392:AR392,1)*'ButsMPG + Var'!$K$23,0)))</f>
        <v>0</v>
      </c>
      <c r="H389" s="25">
        <f t="shared" si="7"/>
        <v>0</v>
      </c>
      <c r="I389" s="25">
        <f>BDD!G392</f>
        <v>0</v>
      </c>
      <c r="J389" s="25">
        <f>SUMPRODUCT(BDD!H392:AS392,'ButsMPG + Var'!$B$46:$AM$46)</f>
        <v>0</v>
      </c>
      <c r="K389" s="25" t="e">
        <f>10*('ButsMPG + Var'!$H$37*J389/MAX(J:J)+'ButsMPG + Var'!$G$37*H389/MAX(H:H))</f>
        <v>#DIV/0!</v>
      </c>
      <c r="L389" s="1">
        <f>IF(ISNA(VLOOKUP(B389,PrixMini!$B$3:$E$573,4,FALSE)),1,VLOOKUP(B389,PrixMini!$B$3:$E$573,4,FALSE))</f>
        <v>1</v>
      </c>
      <c r="M389" s="25" t="e">
        <f>IF(ROUND(CalculCotation!$D$3*EXP(CalculCotation!$C$3*K389)-CalculCotation!$D$3+1,0)&gt;L389,ROUND(CalculCotation!$D$3*EXP(CalculCotation!$C$3*K389)-CalculCotation!$D$3+1,0),L389)</f>
        <v>#DIV/0!</v>
      </c>
    </row>
    <row r="390" spans="2:13" x14ac:dyDescent="0.3">
      <c r="B390" s="1">
        <f>BDD!C393</f>
        <v>0</v>
      </c>
      <c r="C390" s="1">
        <f>BDD!B393</f>
        <v>0</v>
      </c>
      <c r="D390" s="1">
        <f>BDD!A393</f>
        <v>0</v>
      </c>
      <c r="E390" s="1">
        <f>BDD!D393</f>
        <v>0</v>
      </c>
      <c r="F390" s="1">
        <f>BDD!F393</f>
        <v>0</v>
      </c>
      <c r="G390" s="25">
        <f>'ButsMPG + Var'!$I$39*IF(C390="A",COUNTIF(BDD!H393:AR393,10)*'ButsMPG + Var'!$K$12+COUNTIF(BDD!H393:AR393,9)*'ButsMPG + Var'!$K$11+COUNTIF(BDD!H393:AR393,8)*'ButsMPG + Var'!$K$10+COUNTIF(BDD!H393:AR393,7)*'ButsMPG + Var'!$K$9+COUNTIF(BDD!H393:AR393,6)*'ButsMPG + Var'!$K$8+COUNTIF(BDD!H393:AR393,5)*'ButsMPG + Var'!$K$7+COUNTIF(BDD!H393:AR393,4)*'ButsMPG + Var'!$K$6+COUNTIF(BDD!H393:AR393,3)*'ButsMPG + Var'!$K$5+COUNTIF(BDD!H393:AR393,2)*'ButsMPG + Var'!$K$4+COUNTIF(BDD!H393:AR393,1)*'ButsMPG + Var'!$K$3,IF(C390="M",COUNTIF(BDD!H393:AR393,10)*'ButsMPG + Var'!$K$22+COUNTIF(BDD!H393:AR393,9)*'ButsMPG + Var'!$K$21+COUNTIF(BDD!H393:AR393,8)*'ButsMPG + Var'!$K$20+COUNTIF(BDD!H393:AR393,7)*'ButsMPG + Var'!$K$19+COUNTIF(BDD!H393:AR393,6)*'ButsMPG + Var'!$K$18+COUNTIF(BDD!H393:AR393,5)*'ButsMPG + Var'!$K$17+COUNTIF(BDD!H393:AR393,4)*'ButsMPG + Var'!$K$16+COUNTIF(BDD!H393:AR393,3)*'ButsMPG + Var'!$K$15+COUNTIF(BDD!H393:AR393,2)*'ButsMPG + Var'!$K$14+COUNTIF(BDD!H393:AR393,1)*'ButsMPG + Var'!$K$13,IF(C390="D",COUNTIF(BDD!H393:AR393,10)*'ButsMPG + Var'!$K$32+COUNTIF(BDD!H393:AR393,9)*'ButsMPG + Var'!$K$31+COUNTIF(BDD!H393:AR393,8)*'ButsMPG + Var'!$K$30+COUNTIF(BDD!H393:AR393,7)*'ButsMPG + Var'!$K$29+COUNTIF(BDD!H393:AR393,6)*'ButsMPG + Var'!$K$28+COUNTIF(BDD!H393:AR393,5)*'ButsMPG + Var'!$K$27+COUNTIF(BDD!H393:AR393,4)*'ButsMPG + Var'!$K$26+COUNTIF(BDD!H393:AR393,3)*'ButsMPG + Var'!$K$25+COUNTIF(BDD!H393:AR393,2)*'ButsMPG + Var'!$K$24+COUNTIF(BDD!H393:AR393,1)*'ButsMPG + Var'!$K$23,0)))</f>
        <v>0</v>
      </c>
      <c r="H390" s="25">
        <f t="shared" si="7"/>
        <v>0</v>
      </c>
      <c r="I390" s="25">
        <f>BDD!G393</f>
        <v>0</v>
      </c>
      <c r="J390" s="25">
        <f>SUMPRODUCT(BDD!H393:AS393,'ButsMPG + Var'!$B$46:$AM$46)</f>
        <v>0</v>
      </c>
      <c r="K390" s="25" t="e">
        <f>10*('ButsMPG + Var'!$H$37*J390/MAX(J:J)+'ButsMPG + Var'!$G$37*H390/MAX(H:H))</f>
        <v>#DIV/0!</v>
      </c>
      <c r="L390" s="1">
        <f>IF(ISNA(VLOOKUP(B390,PrixMini!$B$3:$E$573,4,FALSE)),1,VLOOKUP(B390,PrixMini!$B$3:$E$573,4,FALSE))</f>
        <v>1</v>
      </c>
      <c r="M390" s="25" t="e">
        <f>IF(ROUND(CalculCotation!$D$3*EXP(CalculCotation!$C$3*K390)-CalculCotation!$D$3+1,0)&gt;L390,ROUND(CalculCotation!$D$3*EXP(CalculCotation!$C$3*K390)-CalculCotation!$D$3+1,0),L390)</f>
        <v>#DIV/0!</v>
      </c>
    </row>
    <row r="391" spans="2:13" x14ac:dyDescent="0.3">
      <c r="B391" s="1">
        <f>BDD!C394</f>
        <v>0</v>
      </c>
      <c r="C391" s="1">
        <f>BDD!B394</f>
        <v>0</v>
      </c>
      <c r="D391" s="1">
        <f>BDD!A394</f>
        <v>0</v>
      </c>
      <c r="E391" s="1">
        <f>BDD!D394</f>
        <v>0</v>
      </c>
      <c r="F391" s="1">
        <f>BDD!F394</f>
        <v>0</v>
      </c>
      <c r="G391" s="25">
        <f>'ButsMPG + Var'!$I$39*IF(C391="A",COUNTIF(BDD!H394:AR394,10)*'ButsMPG + Var'!$K$12+COUNTIF(BDD!H394:AR394,9)*'ButsMPG + Var'!$K$11+COUNTIF(BDD!H394:AR394,8)*'ButsMPG + Var'!$K$10+COUNTIF(BDD!H394:AR394,7)*'ButsMPG + Var'!$K$9+COUNTIF(BDD!H394:AR394,6)*'ButsMPG + Var'!$K$8+COUNTIF(BDD!H394:AR394,5)*'ButsMPG + Var'!$K$7+COUNTIF(BDD!H394:AR394,4)*'ButsMPG + Var'!$K$6+COUNTIF(BDD!H394:AR394,3)*'ButsMPG + Var'!$K$5+COUNTIF(BDD!H394:AR394,2)*'ButsMPG + Var'!$K$4+COUNTIF(BDD!H394:AR394,1)*'ButsMPG + Var'!$K$3,IF(C391="M",COUNTIF(BDD!H394:AR394,10)*'ButsMPG + Var'!$K$22+COUNTIF(BDD!H394:AR394,9)*'ButsMPG + Var'!$K$21+COUNTIF(BDD!H394:AR394,8)*'ButsMPG + Var'!$K$20+COUNTIF(BDD!H394:AR394,7)*'ButsMPG + Var'!$K$19+COUNTIF(BDD!H394:AR394,6)*'ButsMPG + Var'!$K$18+COUNTIF(BDD!H394:AR394,5)*'ButsMPG + Var'!$K$17+COUNTIF(BDD!H394:AR394,4)*'ButsMPG + Var'!$K$16+COUNTIF(BDD!H394:AR394,3)*'ButsMPG + Var'!$K$15+COUNTIF(BDD!H394:AR394,2)*'ButsMPG + Var'!$K$14+COUNTIF(BDD!H394:AR394,1)*'ButsMPG + Var'!$K$13,IF(C391="D",COUNTIF(BDD!H394:AR394,10)*'ButsMPG + Var'!$K$32+COUNTIF(BDD!H394:AR394,9)*'ButsMPG + Var'!$K$31+COUNTIF(BDD!H394:AR394,8)*'ButsMPG + Var'!$K$30+COUNTIF(BDD!H394:AR394,7)*'ButsMPG + Var'!$K$29+COUNTIF(BDD!H394:AR394,6)*'ButsMPG + Var'!$K$28+COUNTIF(BDD!H394:AR394,5)*'ButsMPG + Var'!$K$27+COUNTIF(BDD!H394:AR394,4)*'ButsMPG + Var'!$K$26+COUNTIF(BDD!H394:AR394,3)*'ButsMPG + Var'!$K$25+COUNTIF(BDD!H394:AR394,2)*'ButsMPG + Var'!$K$24+COUNTIF(BDD!H394:AR394,1)*'ButsMPG + Var'!$K$23,0)))</f>
        <v>0</v>
      </c>
      <c r="H391" s="25">
        <f t="shared" si="7"/>
        <v>0</v>
      </c>
      <c r="I391" s="25">
        <f>BDD!G394</f>
        <v>0</v>
      </c>
      <c r="J391" s="25">
        <f>SUMPRODUCT(BDD!H394:AS394,'ButsMPG + Var'!$B$46:$AM$46)</f>
        <v>0</v>
      </c>
      <c r="K391" s="25" t="e">
        <f>10*('ButsMPG + Var'!$H$37*J391/MAX(J:J)+'ButsMPG + Var'!$G$37*H391/MAX(H:H))</f>
        <v>#DIV/0!</v>
      </c>
      <c r="L391" s="1">
        <f>IF(ISNA(VLOOKUP(B391,PrixMini!$B$3:$E$573,4,FALSE)),1,VLOOKUP(B391,PrixMini!$B$3:$E$573,4,FALSE))</f>
        <v>1</v>
      </c>
      <c r="M391" s="25" t="e">
        <f>IF(ROUND(CalculCotation!$D$3*EXP(CalculCotation!$C$3*K391)-CalculCotation!$D$3+1,0)&gt;L391,ROUND(CalculCotation!$D$3*EXP(CalculCotation!$C$3*K391)-CalculCotation!$D$3+1,0),L391)</f>
        <v>#DIV/0!</v>
      </c>
    </row>
    <row r="392" spans="2:13" x14ac:dyDescent="0.3">
      <c r="B392" s="1">
        <f>BDD!C395</f>
        <v>0</v>
      </c>
      <c r="C392" s="1">
        <f>BDD!B395</f>
        <v>0</v>
      </c>
      <c r="D392" s="1">
        <f>BDD!A395</f>
        <v>0</v>
      </c>
      <c r="E392" s="1">
        <f>BDD!D395</f>
        <v>0</v>
      </c>
      <c r="F392" s="1">
        <f>BDD!F395</f>
        <v>0</v>
      </c>
      <c r="G392" s="25">
        <f>'ButsMPG + Var'!$I$39*IF(C392="A",COUNTIF(BDD!H395:AR395,10)*'ButsMPG + Var'!$K$12+COUNTIF(BDD!H395:AR395,9)*'ButsMPG + Var'!$K$11+COUNTIF(BDD!H395:AR395,8)*'ButsMPG + Var'!$K$10+COUNTIF(BDD!H395:AR395,7)*'ButsMPG + Var'!$K$9+COUNTIF(BDD!H395:AR395,6)*'ButsMPG + Var'!$K$8+COUNTIF(BDD!H395:AR395,5)*'ButsMPG + Var'!$K$7+COUNTIF(BDD!H395:AR395,4)*'ButsMPG + Var'!$K$6+COUNTIF(BDD!H395:AR395,3)*'ButsMPG + Var'!$K$5+COUNTIF(BDD!H395:AR395,2)*'ButsMPG + Var'!$K$4+COUNTIF(BDD!H395:AR395,1)*'ButsMPG + Var'!$K$3,IF(C392="M",COUNTIF(BDD!H395:AR395,10)*'ButsMPG + Var'!$K$22+COUNTIF(BDD!H395:AR395,9)*'ButsMPG + Var'!$K$21+COUNTIF(BDD!H395:AR395,8)*'ButsMPG + Var'!$K$20+COUNTIF(BDD!H395:AR395,7)*'ButsMPG + Var'!$K$19+COUNTIF(BDD!H395:AR395,6)*'ButsMPG + Var'!$K$18+COUNTIF(BDD!H395:AR395,5)*'ButsMPG + Var'!$K$17+COUNTIF(BDD!H395:AR395,4)*'ButsMPG + Var'!$K$16+COUNTIF(BDD!H395:AR395,3)*'ButsMPG + Var'!$K$15+COUNTIF(BDD!H395:AR395,2)*'ButsMPG + Var'!$K$14+COUNTIF(BDD!H395:AR395,1)*'ButsMPG + Var'!$K$13,IF(C392="D",COUNTIF(BDD!H395:AR395,10)*'ButsMPG + Var'!$K$32+COUNTIF(BDD!H395:AR395,9)*'ButsMPG + Var'!$K$31+COUNTIF(BDD!H395:AR395,8)*'ButsMPG + Var'!$K$30+COUNTIF(BDD!H395:AR395,7)*'ButsMPG + Var'!$K$29+COUNTIF(BDD!H395:AR395,6)*'ButsMPG + Var'!$K$28+COUNTIF(BDD!H395:AR395,5)*'ButsMPG + Var'!$K$27+COUNTIF(BDD!H395:AR395,4)*'ButsMPG + Var'!$K$26+COUNTIF(BDD!H395:AR395,3)*'ButsMPG + Var'!$K$25+COUNTIF(BDD!H395:AR395,2)*'ButsMPG + Var'!$K$24+COUNTIF(BDD!H395:AR395,1)*'ButsMPG + Var'!$K$23,0)))</f>
        <v>0</v>
      </c>
      <c r="H392" s="25">
        <f t="shared" si="7"/>
        <v>0</v>
      </c>
      <c r="I392" s="25">
        <f>BDD!G395</f>
        <v>0</v>
      </c>
      <c r="J392" s="25">
        <f>SUMPRODUCT(BDD!H395:AS395,'ButsMPG + Var'!$B$46:$AM$46)</f>
        <v>0</v>
      </c>
      <c r="K392" s="25" t="e">
        <f>10*('ButsMPG + Var'!$H$37*J392/MAX(J:J)+'ButsMPG + Var'!$G$37*H392/MAX(H:H))</f>
        <v>#DIV/0!</v>
      </c>
      <c r="L392" s="1">
        <f>IF(ISNA(VLOOKUP(B392,PrixMini!$B$3:$E$573,4,FALSE)),1,VLOOKUP(B392,PrixMini!$B$3:$E$573,4,FALSE))</f>
        <v>1</v>
      </c>
      <c r="M392" s="25" t="e">
        <f>IF(ROUND(CalculCotation!$D$3*EXP(CalculCotation!$C$3*K392)-CalculCotation!$D$3+1,0)&gt;L392,ROUND(CalculCotation!$D$3*EXP(CalculCotation!$C$3*K392)-CalculCotation!$D$3+1,0),L392)</f>
        <v>#DIV/0!</v>
      </c>
    </row>
    <row r="393" spans="2:13" x14ac:dyDescent="0.3">
      <c r="B393" s="1">
        <f>BDD!C396</f>
        <v>0</v>
      </c>
      <c r="C393" s="1">
        <f>BDD!B396</f>
        <v>0</v>
      </c>
      <c r="D393" s="1">
        <f>BDD!A396</f>
        <v>0</v>
      </c>
      <c r="E393" s="1">
        <f>BDD!D396</f>
        <v>0</v>
      </c>
      <c r="F393" s="1">
        <f>BDD!F396</f>
        <v>0</v>
      </c>
      <c r="G393" s="25">
        <f>'ButsMPG + Var'!$I$39*IF(C393="A",COUNTIF(BDD!H396:AR396,10)*'ButsMPG + Var'!$K$12+COUNTIF(BDD!H396:AR396,9)*'ButsMPG + Var'!$K$11+COUNTIF(BDD!H396:AR396,8)*'ButsMPG + Var'!$K$10+COUNTIF(BDD!H396:AR396,7)*'ButsMPG + Var'!$K$9+COUNTIF(BDD!H396:AR396,6)*'ButsMPG + Var'!$K$8+COUNTIF(BDD!H396:AR396,5)*'ButsMPG + Var'!$K$7+COUNTIF(BDD!H396:AR396,4)*'ButsMPG + Var'!$K$6+COUNTIF(BDD!H396:AR396,3)*'ButsMPG + Var'!$K$5+COUNTIF(BDD!H396:AR396,2)*'ButsMPG + Var'!$K$4+COUNTIF(BDD!H396:AR396,1)*'ButsMPG + Var'!$K$3,IF(C393="M",COUNTIF(BDD!H396:AR396,10)*'ButsMPG + Var'!$K$22+COUNTIF(BDD!H396:AR396,9)*'ButsMPG + Var'!$K$21+COUNTIF(BDD!H396:AR396,8)*'ButsMPG + Var'!$K$20+COUNTIF(BDD!H396:AR396,7)*'ButsMPG + Var'!$K$19+COUNTIF(BDD!H396:AR396,6)*'ButsMPG + Var'!$K$18+COUNTIF(BDD!H396:AR396,5)*'ButsMPG + Var'!$K$17+COUNTIF(BDD!H396:AR396,4)*'ButsMPG + Var'!$K$16+COUNTIF(BDD!H396:AR396,3)*'ButsMPG + Var'!$K$15+COUNTIF(BDD!H396:AR396,2)*'ButsMPG + Var'!$K$14+COUNTIF(BDD!H396:AR396,1)*'ButsMPG + Var'!$K$13,IF(C393="D",COUNTIF(BDD!H396:AR396,10)*'ButsMPG + Var'!$K$32+COUNTIF(BDD!H396:AR396,9)*'ButsMPG + Var'!$K$31+COUNTIF(BDD!H396:AR396,8)*'ButsMPG + Var'!$K$30+COUNTIF(BDD!H396:AR396,7)*'ButsMPG + Var'!$K$29+COUNTIF(BDD!H396:AR396,6)*'ButsMPG + Var'!$K$28+COUNTIF(BDD!H396:AR396,5)*'ButsMPG + Var'!$K$27+COUNTIF(BDD!H396:AR396,4)*'ButsMPG + Var'!$K$26+COUNTIF(BDD!H396:AR396,3)*'ButsMPG + Var'!$K$25+COUNTIF(BDD!H396:AR396,2)*'ButsMPG + Var'!$K$24+COUNTIF(BDD!H396:AR396,1)*'ButsMPG + Var'!$K$23,0)))</f>
        <v>0</v>
      </c>
      <c r="H393" s="25">
        <f t="shared" si="7"/>
        <v>0</v>
      </c>
      <c r="I393" s="25">
        <f>BDD!G396</f>
        <v>0</v>
      </c>
      <c r="J393" s="25">
        <f>SUMPRODUCT(BDD!H396:AS396,'ButsMPG + Var'!$B$46:$AM$46)</f>
        <v>0</v>
      </c>
      <c r="K393" s="25" t="e">
        <f>10*('ButsMPG + Var'!$H$37*J393/MAX(J:J)+'ButsMPG + Var'!$G$37*H393/MAX(H:H))</f>
        <v>#DIV/0!</v>
      </c>
      <c r="L393" s="1">
        <f>IF(ISNA(VLOOKUP(B393,PrixMini!$B$3:$E$573,4,FALSE)),1,VLOOKUP(B393,PrixMini!$B$3:$E$573,4,FALSE))</f>
        <v>1</v>
      </c>
      <c r="M393" s="25" t="e">
        <f>IF(ROUND(CalculCotation!$D$3*EXP(CalculCotation!$C$3*K393)-CalculCotation!$D$3+1,0)&gt;L393,ROUND(CalculCotation!$D$3*EXP(CalculCotation!$C$3*K393)-CalculCotation!$D$3+1,0),L393)</f>
        <v>#DIV/0!</v>
      </c>
    </row>
    <row r="394" spans="2:13" x14ac:dyDescent="0.3">
      <c r="B394" s="1">
        <f>BDD!C397</f>
        <v>0</v>
      </c>
      <c r="C394" s="1">
        <f>BDD!B397</f>
        <v>0</v>
      </c>
      <c r="D394" s="1">
        <f>BDD!A397</f>
        <v>0</v>
      </c>
      <c r="E394" s="1">
        <f>BDD!D397</f>
        <v>0</v>
      </c>
      <c r="F394" s="1">
        <f>BDD!F397</f>
        <v>0</v>
      </c>
      <c r="G394" s="25">
        <f>'ButsMPG + Var'!$I$39*IF(C394="A",COUNTIF(BDD!H397:AR397,10)*'ButsMPG + Var'!$K$12+COUNTIF(BDD!H397:AR397,9)*'ButsMPG + Var'!$K$11+COUNTIF(BDD!H397:AR397,8)*'ButsMPG + Var'!$K$10+COUNTIF(BDD!H397:AR397,7)*'ButsMPG + Var'!$K$9+COUNTIF(BDD!H397:AR397,6)*'ButsMPG + Var'!$K$8+COUNTIF(BDD!H397:AR397,5)*'ButsMPG + Var'!$K$7+COUNTIF(BDD!H397:AR397,4)*'ButsMPG + Var'!$K$6+COUNTIF(BDD!H397:AR397,3)*'ButsMPG + Var'!$K$5+COUNTIF(BDD!H397:AR397,2)*'ButsMPG + Var'!$K$4+COUNTIF(BDD!H397:AR397,1)*'ButsMPG + Var'!$K$3,IF(C394="M",COUNTIF(BDD!H397:AR397,10)*'ButsMPG + Var'!$K$22+COUNTIF(BDD!H397:AR397,9)*'ButsMPG + Var'!$K$21+COUNTIF(BDD!H397:AR397,8)*'ButsMPG + Var'!$K$20+COUNTIF(BDD!H397:AR397,7)*'ButsMPG + Var'!$K$19+COUNTIF(BDD!H397:AR397,6)*'ButsMPG + Var'!$K$18+COUNTIF(BDD!H397:AR397,5)*'ButsMPG + Var'!$K$17+COUNTIF(BDD!H397:AR397,4)*'ButsMPG + Var'!$K$16+COUNTIF(BDD!H397:AR397,3)*'ButsMPG + Var'!$K$15+COUNTIF(BDD!H397:AR397,2)*'ButsMPG + Var'!$K$14+COUNTIF(BDD!H397:AR397,1)*'ButsMPG + Var'!$K$13,IF(C394="D",COUNTIF(BDD!H397:AR397,10)*'ButsMPG + Var'!$K$32+COUNTIF(BDD!H397:AR397,9)*'ButsMPG + Var'!$K$31+COUNTIF(BDD!H397:AR397,8)*'ButsMPG + Var'!$K$30+COUNTIF(BDD!H397:AR397,7)*'ButsMPG + Var'!$K$29+COUNTIF(BDD!H397:AR397,6)*'ButsMPG + Var'!$K$28+COUNTIF(BDD!H397:AR397,5)*'ButsMPG + Var'!$K$27+COUNTIF(BDD!H397:AR397,4)*'ButsMPG + Var'!$K$26+COUNTIF(BDD!H397:AR397,3)*'ButsMPG + Var'!$K$25+COUNTIF(BDD!H397:AR397,2)*'ButsMPG + Var'!$K$24+COUNTIF(BDD!H397:AR397,1)*'ButsMPG + Var'!$K$23,0)))</f>
        <v>0</v>
      </c>
      <c r="H394" s="25">
        <f t="shared" si="7"/>
        <v>0</v>
      </c>
      <c r="I394" s="25">
        <f>BDD!G397</f>
        <v>0</v>
      </c>
      <c r="J394" s="25">
        <f>SUMPRODUCT(BDD!H397:AS397,'ButsMPG + Var'!$B$46:$AM$46)</f>
        <v>0</v>
      </c>
      <c r="K394" s="25" t="e">
        <f>10*('ButsMPG + Var'!$H$37*J394/MAX(J:J)+'ButsMPG + Var'!$G$37*H394/MAX(H:H))</f>
        <v>#DIV/0!</v>
      </c>
      <c r="L394" s="1">
        <f>IF(ISNA(VLOOKUP(B394,PrixMini!$B$3:$E$573,4,FALSE)),1,VLOOKUP(B394,PrixMini!$B$3:$E$573,4,FALSE))</f>
        <v>1</v>
      </c>
      <c r="M394" s="25" t="e">
        <f>IF(ROUND(CalculCotation!$D$3*EXP(CalculCotation!$C$3*K394)-CalculCotation!$D$3+1,0)&gt;L394,ROUND(CalculCotation!$D$3*EXP(CalculCotation!$C$3*K394)-CalculCotation!$D$3+1,0),L394)</f>
        <v>#DIV/0!</v>
      </c>
    </row>
    <row r="395" spans="2:13" x14ac:dyDescent="0.3">
      <c r="B395" s="1">
        <f>BDD!C398</f>
        <v>0</v>
      </c>
      <c r="C395" s="1">
        <f>BDD!B398</f>
        <v>0</v>
      </c>
      <c r="D395" s="1">
        <f>BDD!A398</f>
        <v>0</v>
      </c>
      <c r="E395" s="1">
        <f>BDD!D398</f>
        <v>0</v>
      </c>
      <c r="F395" s="1">
        <f>BDD!F398</f>
        <v>0</v>
      </c>
      <c r="G395" s="25">
        <f>'ButsMPG + Var'!$I$39*IF(C395="A",COUNTIF(BDD!H398:AR398,10)*'ButsMPG + Var'!$K$12+COUNTIF(BDD!H398:AR398,9)*'ButsMPG + Var'!$K$11+COUNTIF(BDD!H398:AR398,8)*'ButsMPG + Var'!$K$10+COUNTIF(BDD!H398:AR398,7)*'ButsMPG + Var'!$K$9+COUNTIF(BDD!H398:AR398,6)*'ButsMPG + Var'!$K$8+COUNTIF(BDD!H398:AR398,5)*'ButsMPG + Var'!$K$7+COUNTIF(BDD!H398:AR398,4)*'ButsMPG + Var'!$K$6+COUNTIF(BDD!H398:AR398,3)*'ButsMPG + Var'!$K$5+COUNTIF(BDD!H398:AR398,2)*'ButsMPG + Var'!$K$4+COUNTIF(BDD!H398:AR398,1)*'ButsMPG + Var'!$K$3,IF(C395="M",COUNTIF(BDD!H398:AR398,10)*'ButsMPG + Var'!$K$22+COUNTIF(BDD!H398:AR398,9)*'ButsMPG + Var'!$K$21+COUNTIF(BDD!H398:AR398,8)*'ButsMPG + Var'!$K$20+COUNTIF(BDD!H398:AR398,7)*'ButsMPG + Var'!$K$19+COUNTIF(BDD!H398:AR398,6)*'ButsMPG + Var'!$K$18+COUNTIF(BDD!H398:AR398,5)*'ButsMPG + Var'!$K$17+COUNTIF(BDD!H398:AR398,4)*'ButsMPG + Var'!$K$16+COUNTIF(BDD!H398:AR398,3)*'ButsMPG + Var'!$K$15+COUNTIF(BDD!H398:AR398,2)*'ButsMPG + Var'!$K$14+COUNTIF(BDD!H398:AR398,1)*'ButsMPG + Var'!$K$13,IF(C395="D",COUNTIF(BDD!H398:AR398,10)*'ButsMPG + Var'!$K$32+COUNTIF(BDD!H398:AR398,9)*'ButsMPG + Var'!$K$31+COUNTIF(BDD!H398:AR398,8)*'ButsMPG + Var'!$K$30+COUNTIF(BDD!H398:AR398,7)*'ButsMPG + Var'!$K$29+COUNTIF(BDD!H398:AR398,6)*'ButsMPG + Var'!$K$28+COUNTIF(BDD!H398:AR398,5)*'ButsMPG + Var'!$K$27+COUNTIF(BDD!H398:AR398,4)*'ButsMPG + Var'!$K$26+COUNTIF(BDD!H398:AR398,3)*'ButsMPG + Var'!$K$25+COUNTIF(BDD!H398:AR398,2)*'ButsMPG + Var'!$K$24+COUNTIF(BDD!H398:AR398,1)*'ButsMPG + Var'!$K$23,0)))</f>
        <v>0</v>
      </c>
      <c r="H395" s="25">
        <f t="shared" si="7"/>
        <v>0</v>
      </c>
      <c r="I395" s="25">
        <f>BDD!G398</f>
        <v>0</v>
      </c>
      <c r="J395" s="25">
        <f>SUMPRODUCT(BDD!H398:AS398,'ButsMPG + Var'!$B$46:$AM$46)</f>
        <v>0</v>
      </c>
      <c r="K395" s="25" t="e">
        <f>10*('ButsMPG + Var'!$H$37*J395/MAX(J:J)+'ButsMPG + Var'!$G$37*H395/MAX(H:H))</f>
        <v>#DIV/0!</v>
      </c>
      <c r="L395" s="1">
        <f>IF(ISNA(VLOOKUP(B395,PrixMini!$B$3:$E$573,4,FALSE)),1,VLOOKUP(B395,PrixMini!$B$3:$E$573,4,FALSE))</f>
        <v>1</v>
      </c>
      <c r="M395" s="25" t="e">
        <f>IF(ROUND(CalculCotation!$D$3*EXP(CalculCotation!$C$3*K395)-CalculCotation!$D$3+1,0)&gt;L395,ROUND(CalculCotation!$D$3*EXP(CalculCotation!$C$3*K395)-CalculCotation!$D$3+1,0),L395)</f>
        <v>#DIV/0!</v>
      </c>
    </row>
    <row r="396" spans="2:13" x14ac:dyDescent="0.3">
      <c r="B396" s="1">
        <f>BDD!C399</f>
        <v>0</v>
      </c>
      <c r="C396" s="1">
        <f>BDD!B399</f>
        <v>0</v>
      </c>
      <c r="D396" s="1">
        <f>BDD!A399</f>
        <v>0</v>
      </c>
      <c r="E396" s="1">
        <f>BDD!D399</f>
        <v>0</v>
      </c>
      <c r="F396" s="1">
        <f>BDD!F399</f>
        <v>0</v>
      </c>
      <c r="G396" s="25">
        <f>'ButsMPG + Var'!$I$39*IF(C396="A",COUNTIF(BDD!H399:AR399,10)*'ButsMPG + Var'!$K$12+COUNTIF(BDD!H399:AR399,9)*'ButsMPG + Var'!$K$11+COUNTIF(BDD!H399:AR399,8)*'ButsMPG + Var'!$K$10+COUNTIF(BDD!H399:AR399,7)*'ButsMPG + Var'!$K$9+COUNTIF(BDD!H399:AR399,6)*'ButsMPG + Var'!$K$8+COUNTIF(BDD!H399:AR399,5)*'ButsMPG + Var'!$K$7+COUNTIF(BDD!H399:AR399,4)*'ButsMPG + Var'!$K$6+COUNTIF(BDD!H399:AR399,3)*'ButsMPG + Var'!$K$5+COUNTIF(BDD!H399:AR399,2)*'ButsMPG + Var'!$K$4+COUNTIF(BDD!H399:AR399,1)*'ButsMPG + Var'!$K$3,IF(C396="M",COUNTIF(BDD!H399:AR399,10)*'ButsMPG + Var'!$K$22+COUNTIF(BDD!H399:AR399,9)*'ButsMPG + Var'!$K$21+COUNTIF(BDD!H399:AR399,8)*'ButsMPG + Var'!$K$20+COUNTIF(BDD!H399:AR399,7)*'ButsMPG + Var'!$K$19+COUNTIF(BDD!H399:AR399,6)*'ButsMPG + Var'!$K$18+COUNTIF(BDD!H399:AR399,5)*'ButsMPG + Var'!$K$17+COUNTIF(BDD!H399:AR399,4)*'ButsMPG + Var'!$K$16+COUNTIF(BDD!H399:AR399,3)*'ButsMPG + Var'!$K$15+COUNTIF(BDD!H399:AR399,2)*'ButsMPG + Var'!$K$14+COUNTIF(BDD!H399:AR399,1)*'ButsMPG + Var'!$K$13,IF(C396="D",COUNTIF(BDD!H399:AR399,10)*'ButsMPG + Var'!$K$32+COUNTIF(BDD!H399:AR399,9)*'ButsMPG + Var'!$K$31+COUNTIF(BDD!H399:AR399,8)*'ButsMPG + Var'!$K$30+COUNTIF(BDD!H399:AR399,7)*'ButsMPG + Var'!$K$29+COUNTIF(BDD!H399:AR399,6)*'ButsMPG + Var'!$K$28+COUNTIF(BDD!H399:AR399,5)*'ButsMPG + Var'!$K$27+COUNTIF(BDD!H399:AR399,4)*'ButsMPG + Var'!$K$26+COUNTIF(BDD!H399:AR399,3)*'ButsMPG + Var'!$K$25+COUNTIF(BDD!H399:AR399,2)*'ButsMPG + Var'!$K$24+COUNTIF(BDD!H399:AR399,1)*'ButsMPG + Var'!$K$23,0)))</f>
        <v>0</v>
      </c>
      <c r="H396" s="25">
        <f t="shared" si="7"/>
        <v>0</v>
      </c>
      <c r="I396" s="25">
        <f>BDD!G399</f>
        <v>0</v>
      </c>
      <c r="J396" s="25">
        <f>SUMPRODUCT(BDD!H399:AS399,'ButsMPG + Var'!$B$46:$AM$46)</f>
        <v>0</v>
      </c>
      <c r="K396" s="25" t="e">
        <f>10*('ButsMPG + Var'!$H$37*J396/MAX(J:J)+'ButsMPG + Var'!$G$37*H396/MAX(H:H))</f>
        <v>#DIV/0!</v>
      </c>
      <c r="L396" s="1">
        <f>IF(ISNA(VLOOKUP(B396,PrixMini!$B$3:$E$573,4,FALSE)),1,VLOOKUP(B396,PrixMini!$B$3:$E$573,4,FALSE))</f>
        <v>1</v>
      </c>
      <c r="M396" s="25" t="e">
        <f>IF(ROUND(CalculCotation!$D$3*EXP(CalculCotation!$C$3*K396)-CalculCotation!$D$3+1,0)&gt;L396,ROUND(CalculCotation!$D$3*EXP(CalculCotation!$C$3*K396)-CalculCotation!$D$3+1,0),L396)</f>
        <v>#DIV/0!</v>
      </c>
    </row>
    <row r="397" spans="2:13" x14ac:dyDescent="0.3">
      <c r="B397" s="1">
        <f>BDD!C400</f>
        <v>0</v>
      </c>
      <c r="C397" s="1">
        <f>BDD!B400</f>
        <v>0</v>
      </c>
      <c r="D397" s="1">
        <f>BDD!A400</f>
        <v>0</v>
      </c>
      <c r="E397" s="1">
        <f>BDD!D400</f>
        <v>0</v>
      </c>
      <c r="F397" s="1">
        <f>BDD!F400</f>
        <v>0</v>
      </c>
      <c r="G397" s="25">
        <f>'ButsMPG + Var'!$I$39*IF(C397="A",COUNTIF(BDD!H400:AR400,10)*'ButsMPG + Var'!$K$12+COUNTIF(BDD!H400:AR400,9)*'ButsMPG + Var'!$K$11+COUNTIF(BDD!H400:AR400,8)*'ButsMPG + Var'!$K$10+COUNTIF(BDD!H400:AR400,7)*'ButsMPG + Var'!$K$9+COUNTIF(BDD!H400:AR400,6)*'ButsMPG + Var'!$K$8+COUNTIF(BDD!H400:AR400,5)*'ButsMPG + Var'!$K$7+COUNTIF(BDD!H400:AR400,4)*'ButsMPG + Var'!$K$6+COUNTIF(BDD!H400:AR400,3)*'ButsMPG + Var'!$K$5+COUNTIF(BDD!H400:AR400,2)*'ButsMPG + Var'!$K$4+COUNTIF(BDD!H400:AR400,1)*'ButsMPG + Var'!$K$3,IF(C397="M",COUNTIF(BDD!H400:AR400,10)*'ButsMPG + Var'!$K$22+COUNTIF(BDD!H400:AR400,9)*'ButsMPG + Var'!$K$21+COUNTIF(BDD!H400:AR400,8)*'ButsMPG + Var'!$K$20+COUNTIF(BDD!H400:AR400,7)*'ButsMPG + Var'!$K$19+COUNTIF(BDD!H400:AR400,6)*'ButsMPG + Var'!$K$18+COUNTIF(BDD!H400:AR400,5)*'ButsMPG + Var'!$K$17+COUNTIF(BDD!H400:AR400,4)*'ButsMPG + Var'!$K$16+COUNTIF(BDD!H400:AR400,3)*'ButsMPG + Var'!$K$15+COUNTIF(BDD!H400:AR400,2)*'ButsMPG + Var'!$K$14+COUNTIF(BDD!H400:AR400,1)*'ButsMPG + Var'!$K$13,IF(C397="D",COUNTIF(BDD!H400:AR400,10)*'ButsMPG + Var'!$K$32+COUNTIF(BDD!H400:AR400,9)*'ButsMPG + Var'!$K$31+COUNTIF(BDD!H400:AR400,8)*'ButsMPG + Var'!$K$30+COUNTIF(BDD!H400:AR400,7)*'ButsMPG + Var'!$K$29+COUNTIF(BDD!H400:AR400,6)*'ButsMPG + Var'!$K$28+COUNTIF(BDD!H400:AR400,5)*'ButsMPG + Var'!$K$27+COUNTIF(BDD!H400:AR400,4)*'ButsMPG + Var'!$K$26+COUNTIF(BDD!H400:AR400,3)*'ButsMPG + Var'!$K$25+COUNTIF(BDD!H400:AR400,2)*'ButsMPG + Var'!$K$24+COUNTIF(BDD!H400:AR400,1)*'ButsMPG + Var'!$K$23,0)))</f>
        <v>0</v>
      </c>
      <c r="H397" s="25">
        <f t="shared" si="7"/>
        <v>0</v>
      </c>
      <c r="I397" s="25">
        <f>BDD!G400</f>
        <v>0</v>
      </c>
      <c r="J397" s="25">
        <f>SUMPRODUCT(BDD!H400:AS400,'ButsMPG + Var'!$B$46:$AM$46)</f>
        <v>0</v>
      </c>
      <c r="K397" s="25" t="e">
        <f>10*('ButsMPG + Var'!$H$37*J397/MAX(J:J)+'ButsMPG + Var'!$G$37*H397/MAX(H:H))</f>
        <v>#DIV/0!</v>
      </c>
      <c r="L397" s="1">
        <f>IF(ISNA(VLOOKUP(B397,PrixMini!$B$3:$E$573,4,FALSE)),1,VLOOKUP(B397,PrixMini!$B$3:$E$573,4,FALSE))</f>
        <v>1</v>
      </c>
      <c r="M397" s="25" t="e">
        <f>IF(ROUND(CalculCotation!$D$3*EXP(CalculCotation!$C$3*K397)-CalculCotation!$D$3+1,0)&gt;L397,ROUND(CalculCotation!$D$3*EXP(CalculCotation!$C$3*K397)-CalculCotation!$D$3+1,0),L397)</f>
        <v>#DIV/0!</v>
      </c>
    </row>
    <row r="398" spans="2:13" x14ac:dyDescent="0.3">
      <c r="B398" s="1">
        <f>BDD!C401</f>
        <v>0</v>
      </c>
      <c r="C398" s="1">
        <f>BDD!B401</f>
        <v>0</v>
      </c>
      <c r="D398" s="1">
        <f>BDD!A401</f>
        <v>0</v>
      </c>
      <c r="E398" s="1">
        <f>BDD!D401</f>
        <v>0</v>
      </c>
      <c r="F398" s="1">
        <f>BDD!F401</f>
        <v>0</v>
      </c>
      <c r="G398" s="25">
        <f>'ButsMPG + Var'!$I$39*IF(C398="A",COUNTIF(BDD!H401:AR401,10)*'ButsMPG + Var'!$K$12+COUNTIF(BDD!H401:AR401,9)*'ButsMPG + Var'!$K$11+COUNTIF(BDD!H401:AR401,8)*'ButsMPG + Var'!$K$10+COUNTIF(BDD!H401:AR401,7)*'ButsMPG + Var'!$K$9+COUNTIF(BDD!H401:AR401,6)*'ButsMPG + Var'!$K$8+COUNTIF(BDD!H401:AR401,5)*'ButsMPG + Var'!$K$7+COUNTIF(BDD!H401:AR401,4)*'ButsMPG + Var'!$K$6+COUNTIF(BDD!H401:AR401,3)*'ButsMPG + Var'!$K$5+COUNTIF(BDD!H401:AR401,2)*'ButsMPG + Var'!$K$4+COUNTIF(BDD!H401:AR401,1)*'ButsMPG + Var'!$K$3,IF(C398="M",COUNTIF(BDD!H401:AR401,10)*'ButsMPG + Var'!$K$22+COUNTIF(BDD!H401:AR401,9)*'ButsMPG + Var'!$K$21+COUNTIF(BDD!H401:AR401,8)*'ButsMPG + Var'!$K$20+COUNTIF(BDD!H401:AR401,7)*'ButsMPG + Var'!$K$19+COUNTIF(BDD!H401:AR401,6)*'ButsMPG + Var'!$K$18+COUNTIF(BDD!H401:AR401,5)*'ButsMPG + Var'!$K$17+COUNTIF(BDD!H401:AR401,4)*'ButsMPG + Var'!$K$16+COUNTIF(BDD!H401:AR401,3)*'ButsMPG + Var'!$K$15+COUNTIF(BDD!H401:AR401,2)*'ButsMPG + Var'!$K$14+COUNTIF(BDD!H401:AR401,1)*'ButsMPG + Var'!$K$13,IF(C398="D",COUNTIF(BDD!H401:AR401,10)*'ButsMPG + Var'!$K$32+COUNTIF(BDD!H401:AR401,9)*'ButsMPG + Var'!$K$31+COUNTIF(BDD!H401:AR401,8)*'ButsMPG + Var'!$K$30+COUNTIF(BDD!H401:AR401,7)*'ButsMPG + Var'!$K$29+COUNTIF(BDD!H401:AR401,6)*'ButsMPG + Var'!$K$28+COUNTIF(BDD!H401:AR401,5)*'ButsMPG + Var'!$K$27+COUNTIF(BDD!H401:AR401,4)*'ButsMPG + Var'!$K$26+COUNTIF(BDD!H401:AR401,3)*'ButsMPG + Var'!$K$25+COUNTIF(BDD!H401:AR401,2)*'ButsMPG + Var'!$K$24+COUNTIF(BDD!H401:AR401,1)*'ButsMPG + Var'!$K$23,0)))</f>
        <v>0</v>
      </c>
      <c r="H398" s="25">
        <f t="shared" si="7"/>
        <v>0</v>
      </c>
      <c r="I398" s="25">
        <f>BDD!G401</f>
        <v>0</v>
      </c>
      <c r="J398" s="25">
        <f>SUMPRODUCT(BDD!H401:AS401,'ButsMPG + Var'!$B$46:$AM$46)</f>
        <v>0</v>
      </c>
      <c r="K398" s="25" t="e">
        <f>10*('ButsMPG + Var'!$H$37*J398/MAX(J:J)+'ButsMPG + Var'!$G$37*H398/MAX(H:H))</f>
        <v>#DIV/0!</v>
      </c>
      <c r="L398" s="1">
        <f>IF(ISNA(VLOOKUP(B398,PrixMini!$B$3:$E$573,4,FALSE)),1,VLOOKUP(B398,PrixMini!$B$3:$E$573,4,FALSE))</f>
        <v>1</v>
      </c>
      <c r="M398" s="25" t="e">
        <f>IF(ROUND(CalculCotation!$D$3*EXP(CalculCotation!$C$3*K398)-CalculCotation!$D$3+1,0)&gt;L398,ROUND(CalculCotation!$D$3*EXP(CalculCotation!$C$3*K398)-CalculCotation!$D$3+1,0),L398)</f>
        <v>#DIV/0!</v>
      </c>
    </row>
    <row r="399" spans="2:13" x14ac:dyDescent="0.3">
      <c r="B399" s="1">
        <f>BDD!C402</f>
        <v>0</v>
      </c>
      <c r="C399" s="1">
        <f>BDD!B402</f>
        <v>0</v>
      </c>
      <c r="D399" s="1">
        <f>BDD!A402</f>
        <v>0</v>
      </c>
      <c r="E399" s="1">
        <f>BDD!D402</f>
        <v>0</v>
      </c>
      <c r="F399" s="1">
        <f>BDD!F402</f>
        <v>0</v>
      </c>
      <c r="G399" s="25">
        <f>'ButsMPG + Var'!$I$39*IF(C399="A",COUNTIF(BDD!H402:AR402,10)*'ButsMPG + Var'!$K$12+COUNTIF(BDD!H402:AR402,9)*'ButsMPG + Var'!$K$11+COUNTIF(BDD!H402:AR402,8)*'ButsMPG + Var'!$K$10+COUNTIF(BDD!H402:AR402,7)*'ButsMPG + Var'!$K$9+COUNTIF(BDD!H402:AR402,6)*'ButsMPG + Var'!$K$8+COUNTIF(BDD!H402:AR402,5)*'ButsMPG + Var'!$K$7+COUNTIF(BDD!H402:AR402,4)*'ButsMPG + Var'!$K$6+COUNTIF(BDD!H402:AR402,3)*'ButsMPG + Var'!$K$5+COUNTIF(BDD!H402:AR402,2)*'ButsMPG + Var'!$K$4+COUNTIF(BDD!H402:AR402,1)*'ButsMPG + Var'!$K$3,IF(C399="M",COUNTIF(BDD!H402:AR402,10)*'ButsMPG + Var'!$K$22+COUNTIF(BDD!H402:AR402,9)*'ButsMPG + Var'!$K$21+COUNTIF(BDD!H402:AR402,8)*'ButsMPG + Var'!$K$20+COUNTIF(BDD!H402:AR402,7)*'ButsMPG + Var'!$K$19+COUNTIF(BDD!H402:AR402,6)*'ButsMPG + Var'!$K$18+COUNTIF(BDD!H402:AR402,5)*'ButsMPG + Var'!$K$17+COUNTIF(BDD!H402:AR402,4)*'ButsMPG + Var'!$K$16+COUNTIF(BDD!H402:AR402,3)*'ButsMPG + Var'!$K$15+COUNTIF(BDD!H402:AR402,2)*'ButsMPG + Var'!$K$14+COUNTIF(BDD!H402:AR402,1)*'ButsMPG + Var'!$K$13,IF(C399="D",COUNTIF(BDD!H402:AR402,10)*'ButsMPG + Var'!$K$32+COUNTIF(BDD!H402:AR402,9)*'ButsMPG + Var'!$K$31+COUNTIF(BDD!H402:AR402,8)*'ButsMPG + Var'!$K$30+COUNTIF(BDD!H402:AR402,7)*'ButsMPG + Var'!$K$29+COUNTIF(BDD!H402:AR402,6)*'ButsMPG + Var'!$K$28+COUNTIF(BDD!H402:AR402,5)*'ButsMPG + Var'!$K$27+COUNTIF(BDD!H402:AR402,4)*'ButsMPG + Var'!$K$26+COUNTIF(BDD!H402:AR402,3)*'ButsMPG + Var'!$K$25+COUNTIF(BDD!H402:AR402,2)*'ButsMPG + Var'!$K$24+COUNTIF(BDD!H402:AR402,1)*'ButsMPG + Var'!$K$23,0)))</f>
        <v>0</v>
      </c>
      <c r="H399" s="25">
        <f t="shared" si="7"/>
        <v>0</v>
      </c>
      <c r="I399" s="25">
        <f>BDD!G402</f>
        <v>0</v>
      </c>
      <c r="J399" s="25">
        <f>SUMPRODUCT(BDD!H402:AS402,'ButsMPG + Var'!$B$46:$AM$46)</f>
        <v>0</v>
      </c>
      <c r="K399" s="25" t="e">
        <f>10*('ButsMPG + Var'!$H$37*J399/MAX(J:J)+'ButsMPG + Var'!$G$37*H399/MAX(H:H))</f>
        <v>#DIV/0!</v>
      </c>
      <c r="L399" s="1">
        <f>IF(ISNA(VLOOKUP(B399,PrixMini!$B$3:$E$573,4,FALSE)),1,VLOOKUP(B399,PrixMini!$B$3:$E$573,4,FALSE))</f>
        <v>1</v>
      </c>
      <c r="M399" s="25" t="e">
        <f>IF(ROUND(CalculCotation!$D$3*EXP(CalculCotation!$C$3*K399)-CalculCotation!$D$3+1,0)&gt;L399,ROUND(CalculCotation!$D$3*EXP(CalculCotation!$C$3*K399)-CalculCotation!$D$3+1,0),L399)</f>
        <v>#DIV/0!</v>
      </c>
    </row>
    <row r="400" spans="2:13" x14ac:dyDescent="0.3">
      <c r="B400" s="1">
        <f>BDD!C403</f>
        <v>0</v>
      </c>
      <c r="C400" s="1">
        <f>BDD!B403</f>
        <v>0</v>
      </c>
      <c r="D400" s="1">
        <f>BDD!A403</f>
        <v>0</v>
      </c>
      <c r="E400" s="1">
        <f>BDD!D403</f>
        <v>0</v>
      </c>
      <c r="F400" s="1">
        <f>BDD!F403</f>
        <v>0</v>
      </c>
      <c r="G400" s="25">
        <f>'ButsMPG + Var'!$I$39*IF(C400="A",COUNTIF(BDD!H403:AR403,10)*'ButsMPG + Var'!$K$12+COUNTIF(BDD!H403:AR403,9)*'ButsMPG + Var'!$K$11+COUNTIF(BDD!H403:AR403,8)*'ButsMPG + Var'!$K$10+COUNTIF(BDD!H403:AR403,7)*'ButsMPG + Var'!$K$9+COUNTIF(BDD!H403:AR403,6)*'ButsMPG + Var'!$K$8+COUNTIF(BDD!H403:AR403,5)*'ButsMPG + Var'!$K$7+COUNTIF(BDD!H403:AR403,4)*'ButsMPG + Var'!$K$6+COUNTIF(BDD!H403:AR403,3)*'ButsMPG + Var'!$K$5+COUNTIF(BDD!H403:AR403,2)*'ButsMPG + Var'!$K$4+COUNTIF(BDD!H403:AR403,1)*'ButsMPG + Var'!$K$3,IF(C400="M",COUNTIF(BDD!H403:AR403,10)*'ButsMPG + Var'!$K$22+COUNTIF(BDD!H403:AR403,9)*'ButsMPG + Var'!$K$21+COUNTIF(BDD!H403:AR403,8)*'ButsMPG + Var'!$K$20+COUNTIF(BDD!H403:AR403,7)*'ButsMPG + Var'!$K$19+COUNTIF(BDD!H403:AR403,6)*'ButsMPG + Var'!$K$18+COUNTIF(BDD!H403:AR403,5)*'ButsMPG + Var'!$K$17+COUNTIF(BDD!H403:AR403,4)*'ButsMPG + Var'!$K$16+COUNTIF(BDD!H403:AR403,3)*'ButsMPG + Var'!$K$15+COUNTIF(BDD!H403:AR403,2)*'ButsMPG + Var'!$K$14+COUNTIF(BDD!H403:AR403,1)*'ButsMPG + Var'!$K$13,IF(C400="D",COUNTIF(BDD!H403:AR403,10)*'ButsMPG + Var'!$K$32+COUNTIF(BDD!H403:AR403,9)*'ButsMPG + Var'!$K$31+COUNTIF(BDD!H403:AR403,8)*'ButsMPG + Var'!$K$30+COUNTIF(BDD!H403:AR403,7)*'ButsMPG + Var'!$K$29+COUNTIF(BDD!H403:AR403,6)*'ButsMPG + Var'!$K$28+COUNTIF(BDD!H403:AR403,5)*'ButsMPG + Var'!$K$27+COUNTIF(BDD!H403:AR403,4)*'ButsMPG + Var'!$K$26+COUNTIF(BDD!H403:AR403,3)*'ButsMPG + Var'!$K$25+COUNTIF(BDD!H403:AR403,2)*'ButsMPG + Var'!$K$24+COUNTIF(BDD!H403:AR403,1)*'ButsMPG + Var'!$K$23,0)))</f>
        <v>0</v>
      </c>
      <c r="H400" s="25">
        <f t="shared" si="7"/>
        <v>0</v>
      </c>
      <c r="I400" s="25">
        <f>BDD!G403</f>
        <v>0</v>
      </c>
      <c r="J400" s="25">
        <f>SUMPRODUCT(BDD!H403:AS403,'ButsMPG + Var'!$B$46:$AM$46)</f>
        <v>0</v>
      </c>
      <c r="K400" s="25" t="e">
        <f>10*('ButsMPG + Var'!$H$37*J400/MAX(J:J)+'ButsMPG + Var'!$G$37*H400/MAX(H:H))</f>
        <v>#DIV/0!</v>
      </c>
      <c r="L400" s="1">
        <f>IF(ISNA(VLOOKUP(B400,PrixMini!$B$3:$E$573,4,FALSE)),1,VLOOKUP(B400,PrixMini!$B$3:$E$573,4,FALSE))</f>
        <v>1</v>
      </c>
      <c r="M400" s="25" t="e">
        <f>IF(ROUND(CalculCotation!$D$3*EXP(CalculCotation!$C$3*K400)-CalculCotation!$D$3+1,0)&gt;L400,ROUND(CalculCotation!$D$3*EXP(CalculCotation!$C$3*K400)-CalculCotation!$D$3+1,0),L400)</f>
        <v>#DIV/0!</v>
      </c>
    </row>
    <row r="401" spans="2:13" x14ac:dyDescent="0.3">
      <c r="B401" s="1">
        <f>BDD!C404</f>
        <v>0</v>
      </c>
      <c r="C401" s="1">
        <f>BDD!B404</f>
        <v>0</v>
      </c>
      <c r="D401" s="1">
        <f>BDD!A404</f>
        <v>0</v>
      </c>
      <c r="E401" s="1">
        <f>BDD!D404</f>
        <v>0</v>
      </c>
      <c r="F401" s="1">
        <f>BDD!F404</f>
        <v>0</v>
      </c>
      <c r="G401" s="25">
        <f>'ButsMPG + Var'!$I$39*IF(C401="A",COUNTIF(BDD!H404:AR404,10)*'ButsMPG + Var'!$K$12+COUNTIF(BDD!H404:AR404,9)*'ButsMPG + Var'!$K$11+COUNTIF(BDD!H404:AR404,8)*'ButsMPG + Var'!$K$10+COUNTIF(BDD!H404:AR404,7)*'ButsMPG + Var'!$K$9+COUNTIF(BDD!H404:AR404,6)*'ButsMPG + Var'!$K$8+COUNTIF(BDD!H404:AR404,5)*'ButsMPG + Var'!$K$7+COUNTIF(BDD!H404:AR404,4)*'ButsMPG + Var'!$K$6+COUNTIF(BDD!H404:AR404,3)*'ButsMPG + Var'!$K$5+COUNTIF(BDD!H404:AR404,2)*'ButsMPG + Var'!$K$4+COUNTIF(BDD!H404:AR404,1)*'ButsMPG + Var'!$K$3,IF(C401="M",COUNTIF(BDD!H404:AR404,10)*'ButsMPG + Var'!$K$22+COUNTIF(BDD!H404:AR404,9)*'ButsMPG + Var'!$K$21+COUNTIF(BDD!H404:AR404,8)*'ButsMPG + Var'!$K$20+COUNTIF(BDD!H404:AR404,7)*'ButsMPG + Var'!$K$19+COUNTIF(BDD!H404:AR404,6)*'ButsMPG + Var'!$K$18+COUNTIF(BDD!H404:AR404,5)*'ButsMPG + Var'!$K$17+COUNTIF(BDD!H404:AR404,4)*'ButsMPG + Var'!$K$16+COUNTIF(BDD!H404:AR404,3)*'ButsMPG + Var'!$K$15+COUNTIF(BDD!H404:AR404,2)*'ButsMPG + Var'!$K$14+COUNTIF(BDD!H404:AR404,1)*'ButsMPG + Var'!$K$13,IF(C401="D",COUNTIF(BDD!H404:AR404,10)*'ButsMPG + Var'!$K$32+COUNTIF(BDD!H404:AR404,9)*'ButsMPG + Var'!$K$31+COUNTIF(BDD!H404:AR404,8)*'ButsMPG + Var'!$K$30+COUNTIF(BDD!H404:AR404,7)*'ButsMPG + Var'!$K$29+COUNTIF(BDD!H404:AR404,6)*'ButsMPG + Var'!$K$28+COUNTIF(BDD!H404:AR404,5)*'ButsMPG + Var'!$K$27+COUNTIF(BDD!H404:AR404,4)*'ButsMPG + Var'!$K$26+COUNTIF(BDD!H404:AR404,3)*'ButsMPG + Var'!$K$25+COUNTIF(BDD!H404:AR404,2)*'ButsMPG + Var'!$K$24+COUNTIF(BDD!H404:AR404,1)*'ButsMPG + Var'!$K$23,0)))</f>
        <v>0</v>
      </c>
      <c r="H401" s="25">
        <f t="shared" si="7"/>
        <v>0</v>
      </c>
      <c r="I401" s="25">
        <f>BDD!G404</f>
        <v>0</v>
      </c>
      <c r="J401" s="25">
        <f>SUMPRODUCT(BDD!H404:AS404,'ButsMPG + Var'!$B$46:$AM$46)</f>
        <v>0</v>
      </c>
      <c r="K401" s="25" t="e">
        <f>10*('ButsMPG + Var'!$H$37*J401/MAX(J:J)+'ButsMPG + Var'!$G$37*H401/MAX(H:H))</f>
        <v>#DIV/0!</v>
      </c>
      <c r="L401" s="1">
        <f>IF(ISNA(VLOOKUP(B401,PrixMini!$B$3:$E$573,4,FALSE)),1,VLOOKUP(B401,PrixMini!$B$3:$E$573,4,FALSE))</f>
        <v>1</v>
      </c>
      <c r="M401" s="25" t="e">
        <f>IF(ROUND(CalculCotation!$D$3*EXP(CalculCotation!$C$3*K401)-CalculCotation!$D$3+1,0)&gt;L401,ROUND(CalculCotation!$D$3*EXP(CalculCotation!$C$3*K401)-CalculCotation!$D$3+1,0),L401)</f>
        <v>#DIV/0!</v>
      </c>
    </row>
    <row r="402" spans="2:13" x14ac:dyDescent="0.3">
      <c r="B402" s="1">
        <f>BDD!C405</f>
        <v>0</v>
      </c>
      <c r="C402" s="1">
        <f>BDD!B405</f>
        <v>0</v>
      </c>
      <c r="D402" s="1">
        <f>BDD!A405</f>
        <v>0</v>
      </c>
      <c r="E402" s="1">
        <f>BDD!D405</f>
        <v>0</v>
      </c>
      <c r="F402" s="1">
        <f>BDD!F405</f>
        <v>0</v>
      </c>
      <c r="G402" s="25">
        <f>'ButsMPG + Var'!$I$39*IF(C402="A",COUNTIF(BDD!H405:AR405,10)*'ButsMPG + Var'!$K$12+COUNTIF(BDD!H405:AR405,9)*'ButsMPG + Var'!$K$11+COUNTIF(BDD!H405:AR405,8)*'ButsMPG + Var'!$K$10+COUNTIF(BDD!H405:AR405,7)*'ButsMPG + Var'!$K$9+COUNTIF(BDD!H405:AR405,6)*'ButsMPG + Var'!$K$8+COUNTIF(BDD!H405:AR405,5)*'ButsMPG + Var'!$K$7+COUNTIF(BDD!H405:AR405,4)*'ButsMPG + Var'!$K$6+COUNTIF(BDD!H405:AR405,3)*'ButsMPG + Var'!$K$5+COUNTIF(BDD!H405:AR405,2)*'ButsMPG + Var'!$K$4+COUNTIF(BDD!H405:AR405,1)*'ButsMPG + Var'!$K$3,IF(C402="M",COUNTIF(BDD!H405:AR405,10)*'ButsMPG + Var'!$K$22+COUNTIF(BDD!H405:AR405,9)*'ButsMPG + Var'!$K$21+COUNTIF(BDD!H405:AR405,8)*'ButsMPG + Var'!$K$20+COUNTIF(BDD!H405:AR405,7)*'ButsMPG + Var'!$K$19+COUNTIF(BDD!H405:AR405,6)*'ButsMPG + Var'!$K$18+COUNTIF(BDD!H405:AR405,5)*'ButsMPG + Var'!$K$17+COUNTIF(BDD!H405:AR405,4)*'ButsMPG + Var'!$K$16+COUNTIF(BDD!H405:AR405,3)*'ButsMPG + Var'!$K$15+COUNTIF(BDD!H405:AR405,2)*'ButsMPG + Var'!$K$14+COUNTIF(BDD!H405:AR405,1)*'ButsMPG + Var'!$K$13,IF(C402="D",COUNTIF(BDD!H405:AR405,10)*'ButsMPG + Var'!$K$32+COUNTIF(BDD!H405:AR405,9)*'ButsMPG + Var'!$K$31+COUNTIF(BDD!H405:AR405,8)*'ButsMPG + Var'!$K$30+COUNTIF(BDD!H405:AR405,7)*'ButsMPG + Var'!$K$29+COUNTIF(BDD!H405:AR405,6)*'ButsMPG + Var'!$K$28+COUNTIF(BDD!H405:AR405,5)*'ButsMPG + Var'!$K$27+COUNTIF(BDD!H405:AR405,4)*'ButsMPG + Var'!$K$26+COUNTIF(BDD!H405:AR405,3)*'ButsMPG + Var'!$K$25+COUNTIF(BDD!H405:AR405,2)*'ButsMPG + Var'!$K$24+COUNTIF(BDD!H405:AR405,1)*'ButsMPG + Var'!$K$23,0)))</f>
        <v>0</v>
      </c>
      <c r="H402" s="25">
        <f t="shared" si="7"/>
        <v>0</v>
      </c>
      <c r="I402" s="25">
        <f>BDD!G405</f>
        <v>0</v>
      </c>
      <c r="J402" s="25">
        <f>SUMPRODUCT(BDD!H405:AS405,'ButsMPG + Var'!$B$46:$AM$46)</f>
        <v>0</v>
      </c>
      <c r="K402" s="25" t="e">
        <f>10*('ButsMPG + Var'!$H$37*J402/MAX(J:J)+'ButsMPG + Var'!$G$37*H402/MAX(H:H))</f>
        <v>#DIV/0!</v>
      </c>
      <c r="L402" s="1">
        <f>IF(ISNA(VLOOKUP(B402,PrixMini!$B$3:$E$573,4,FALSE)),1,VLOOKUP(B402,PrixMini!$B$3:$E$573,4,FALSE))</f>
        <v>1</v>
      </c>
      <c r="M402" s="25" t="e">
        <f>IF(ROUND(CalculCotation!$D$3*EXP(CalculCotation!$C$3*K402)-CalculCotation!$D$3+1,0)&gt;L402,ROUND(CalculCotation!$D$3*EXP(CalculCotation!$C$3*K402)-CalculCotation!$D$3+1,0),L402)</f>
        <v>#DIV/0!</v>
      </c>
    </row>
    <row r="403" spans="2:13" x14ac:dyDescent="0.3">
      <c r="B403" s="1">
        <f>BDD!C406</f>
        <v>0</v>
      </c>
      <c r="C403" s="1">
        <f>BDD!B406</f>
        <v>0</v>
      </c>
      <c r="D403" s="1">
        <f>BDD!A406</f>
        <v>0</v>
      </c>
      <c r="E403" s="1">
        <f>BDD!D406</f>
        <v>0</v>
      </c>
      <c r="F403" s="1">
        <f>BDD!F406</f>
        <v>0</v>
      </c>
      <c r="G403" s="25">
        <f>'ButsMPG + Var'!$I$39*IF(C403="A",COUNTIF(BDD!H406:AR406,10)*'ButsMPG + Var'!$K$12+COUNTIF(BDD!H406:AR406,9)*'ButsMPG + Var'!$K$11+COUNTIF(BDD!H406:AR406,8)*'ButsMPG + Var'!$K$10+COUNTIF(BDD!H406:AR406,7)*'ButsMPG + Var'!$K$9+COUNTIF(BDD!H406:AR406,6)*'ButsMPG + Var'!$K$8+COUNTIF(BDD!H406:AR406,5)*'ButsMPG + Var'!$K$7+COUNTIF(BDD!H406:AR406,4)*'ButsMPG + Var'!$K$6+COUNTIF(BDD!H406:AR406,3)*'ButsMPG + Var'!$K$5+COUNTIF(BDD!H406:AR406,2)*'ButsMPG + Var'!$K$4+COUNTIF(BDD!H406:AR406,1)*'ButsMPG + Var'!$K$3,IF(C403="M",COUNTIF(BDD!H406:AR406,10)*'ButsMPG + Var'!$K$22+COUNTIF(BDD!H406:AR406,9)*'ButsMPG + Var'!$K$21+COUNTIF(BDD!H406:AR406,8)*'ButsMPG + Var'!$K$20+COUNTIF(BDD!H406:AR406,7)*'ButsMPG + Var'!$K$19+COUNTIF(BDD!H406:AR406,6)*'ButsMPG + Var'!$K$18+COUNTIF(BDD!H406:AR406,5)*'ButsMPG + Var'!$K$17+COUNTIF(BDD!H406:AR406,4)*'ButsMPG + Var'!$K$16+COUNTIF(BDD!H406:AR406,3)*'ButsMPG + Var'!$K$15+COUNTIF(BDD!H406:AR406,2)*'ButsMPG + Var'!$K$14+COUNTIF(BDD!H406:AR406,1)*'ButsMPG + Var'!$K$13,IF(C403="D",COUNTIF(BDD!H406:AR406,10)*'ButsMPG + Var'!$K$32+COUNTIF(BDD!H406:AR406,9)*'ButsMPG + Var'!$K$31+COUNTIF(BDD!H406:AR406,8)*'ButsMPG + Var'!$K$30+COUNTIF(BDD!H406:AR406,7)*'ButsMPG + Var'!$K$29+COUNTIF(BDD!H406:AR406,6)*'ButsMPG + Var'!$K$28+COUNTIF(BDD!H406:AR406,5)*'ButsMPG + Var'!$K$27+COUNTIF(BDD!H406:AR406,4)*'ButsMPG + Var'!$K$26+COUNTIF(BDD!H406:AR406,3)*'ButsMPG + Var'!$K$25+COUNTIF(BDD!H406:AR406,2)*'ButsMPG + Var'!$K$24+COUNTIF(BDD!H406:AR406,1)*'ButsMPG + Var'!$K$23,0)))</f>
        <v>0</v>
      </c>
      <c r="H403" s="25">
        <f t="shared" si="7"/>
        <v>0</v>
      </c>
      <c r="I403" s="25">
        <f>BDD!G406</f>
        <v>0</v>
      </c>
      <c r="J403" s="25">
        <f>SUMPRODUCT(BDD!H406:AS406,'ButsMPG + Var'!$B$46:$AM$46)</f>
        <v>0</v>
      </c>
      <c r="K403" s="25" t="e">
        <f>10*('ButsMPG + Var'!$H$37*J403/MAX(J:J)+'ButsMPG + Var'!$G$37*H403/MAX(H:H))</f>
        <v>#DIV/0!</v>
      </c>
      <c r="L403" s="1">
        <f>IF(ISNA(VLOOKUP(B403,PrixMini!$B$3:$E$573,4,FALSE)),1,VLOOKUP(B403,PrixMini!$B$3:$E$573,4,FALSE))</f>
        <v>1</v>
      </c>
      <c r="M403" s="25" t="e">
        <f>IF(ROUND(CalculCotation!$D$3*EXP(CalculCotation!$C$3*K403)-CalculCotation!$D$3+1,0)&gt;L403,ROUND(CalculCotation!$D$3*EXP(CalculCotation!$C$3*K403)-CalculCotation!$D$3+1,0),L403)</f>
        <v>#DIV/0!</v>
      </c>
    </row>
    <row r="404" spans="2:13" x14ac:dyDescent="0.3">
      <c r="B404" s="1">
        <f>BDD!C407</f>
        <v>0</v>
      </c>
      <c r="C404" s="1">
        <f>BDD!B407</f>
        <v>0</v>
      </c>
      <c r="D404" s="1">
        <f>BDD!A407</f>
        <v>0</v>
      </c>
      <c r="E404" s="1">
        <f>BDD!D407</f>
        <v>0</v>
      </c>
      <c r="F404" s="1">
        <f>BDD!F407</f>
        <v>0</v>
      </c>
      <c r="G404" s="25">
        <f>'ButsMPG + Var'!$I$39*IF(C404="A",COUNTIF(BDD!H407:AR407,10)*'ButsMPG + Var'!$K$12+COUNTIF(BDD!H407:AR407,9)*'ButsMPG + Var'!$K$11+COUNTIF(BDD!H407:AR407,8)*'ButsMPG + Var'!$K$10+COUNTIF(BDD!H407:AR407,7)*'ButsMPG + Var'!$K$9+COUNTIF(BDD!H407:AR407,6)*'ButsMPG + Var'!$K$8+COUNTIF(BDD!H407:AR407,5)*'ButsMPG + Var'!$K$7+COUNTIF(BDD!H407:AR407,4)*'ButsMPG + Var'!$K$6+COUNTIF(BDD!H407:AR407,3)*'ButsMPG + Var'!$K$5+COUNTIF(BDD!H407:AR407,2)*'ButsMPG + Var'!$K$4+COUNTIF(BDD!H407:AR407,1)*'ButsMPG + Var'!$K$3,IF(C404="M",COUNTIF(BDD!H407:AR407,10)*'ButsMPG + Var'!$K$22+COUNTIF(BDD!H407:AR407,9)*'ButsMPG + Var'!$K$21+COUNTIF(BDD!H407:AR407,8)*'ButsMPG + Var'!$K$20+COUNTIF(BDD!H407:AR407,7)*'ButsMPG + Var'!$K$19+COUNTIF(BDD!H407:AR407,6)*'ButsMPG + Var'!$K$18+COUNTIF(BDD!H407:AR407,5)*'ButsMPG + Var'!$K$17+COUNTIF(BDD!H407:AR407,4)*'ButsMPG + Var'!$K$16+COUNTIF(BDD!H407:AR407,3)*'ButsMPG + Var'!$K$15+COUNTIF(BDD!H407:AR407,2)*'ButsMPG + Var'!$K$14+COUNTIF(BDD!H407:AR407,1)*'ButsMPG + Var'!$K$13,IF(C404="D",COUNTIF(BDD!H407:AR407,10)*'ButsMPG + Var'!$K$32+COUNTIF(BDD!H407:AR407,9)*'ButsMPG + Var'!$K$31+COUNTIF(BDD!H407:AR407,8)*'ButsMPG + Var'!$K$30+COUNTIF(BDD!H407:AR407,7)*'ButsMPG + Var'!$K$29+COUNTIF(BDD!H407:AR407,6)*'ButsMPG + Var'!$K$28+COUNTIF(BDD!H407:AR407,5)*'ButsMPG + Var'!$K$27+COUNTIF(BDD!H407:AR407,4)*'ButsMPG + Var'!$K$26+COUNTIF(BDD!H407:AR407,3)*'ButsMPG + Var'!$K$25+COUNTIF(BDD!H407:AR407,2)*'ButsMPG + Var'!$K$24+COUNTIF(BDD!H407:AR407,1)*'ButsMPG + Var'!$K$23,0)))</f>
        <v>0</v>
      </c>
      <c r="H404" s="25">
        <f t="shared" si="7"/>
        <v>0</v>
      </c>
      <c r="I404" s="25">
        <f>BDD!G407</f>
        <v>0</v>
      </c>
      <c r="J404" s="25">
        <f>SUMPRODUCT(BDD!H407:AS407,'ButsMPG + Var'!$B$46:$AM$46)</f>
        <v>0</v>
      </c>
      <c r="K404" s="25" t="e">
        <f>10*('ButsMPG + Var'!$H$37*J404/MAX(J:J)+'ButsMPG + Var'!$G$37*H404/MAX(H:H))</f>
        <v>#DIV/0!</v>
      </c>
      <c r="L404" s="1">
        <f>IF(ISNA(VLOOKUP(B404,PrixMini!$B$3:$E$573,4,FALSE)),1,VLOOKUP(B404,PrixMini!$B$3:$E$573,4,FALSE))</f>
        <v>1</v>
      </c>
      <c r="M404" s="25" t="e">
        <f>IF(ROUND(CalculCotation!$D$3*EXP(CalculCotation!$C$3*K404)-CalculCotation!$D$3+1,0)&gt;L404,ROUND(CalculCotation!$D$3*EXP(CalculCotation!$C$3*K404)-CalculCotation!$D$3+1,0),L404)</f>
        <v>#DIV/0!</v>
      </c>
    </row>
    <row r="405" spans="2:13" x14ac:dyDescent="0.3">
      <c r="B405" s="1">
        <f>BDD!C408</f>
        <v>0</v>
      </c>
      <c r="C405" s="1">
        <f>BDD!B408</f>
        <v>0</v>
      </c>
      <c r="D405" s="1">
        <f>BDD!A408</f>
        <v>0</v>
      </c>
      <c r="E405" s="1">
        <f>BDD!D408</f>
        <v>0</v>
      </c>
      <c r="F405" s="1">
        <f>BDD!F408</f>
        <v>0</v>
      </c>
      <c r="G405" s="25">
        <f>'ButsMPG + Var'!$I$39*IF(C405="A",COUNTIF(BDD!H408:AR408,10)*'ButsMPG + Var'!$K$12+COUNTIF(BDD!H408:AR408,9)*'ButsMPG + Var'!$K$11+COUNTIF(BDD!H408:AR408,8)*'ButsMPG + Var'!$K$10+COUNTIF(BDD!H408:AR408,7)*'ButsMPG + Var'!$K$9+COUNTIF(BDD!H408:AR408,6)*'ButsMPG + Var'!$K$8+COUNTIF(BDD!H408:AR408,5)*'ButsMPG + Var'!$K$7+COUNTIF(BDD!H408:AR408,4)*'ButsMPG + Var'!$K$6+COUNTIF(BDD!H408:AR408,3)*'ButsMPG + Var'!$K$5+COUNTIF(BDD!H408:AR408,2)*'ButsMPG + Var'!$K$4+COUNTIF(BDD!H408:AR408,1)*'ButsMPG + Var'!$K$3,IF(C405="M",COUNTIF(BDD!H408:AR408,10)*'ButsMPG + Var'!$K$22+COUNTIF(BDD!H408:AR408,9)*'ButsMPG + Var'!$K$21+COUNTIF(BDD!H408:AR408,8)*'ButsMPG + Var'!$K$20+COUNTIF(BDD!H408:AR408,7)*'ButsMPG + Var'!$K$19+COUNTIF(BDD!H408:AR408,6)*'ButsMPG + Var'!$K$18+COUNTIF(BDD!H408:AR408,5)*'ButsMPG + Var'!$K$17+COUNTIF(BDD!H408:AR408,4)*'ButsMPG + Var'!$K$16+COUNTIF(BDD!H408:AR408,3)*'ButsMPG + Var'!$K$15+COUNTIF(BDD!H408:AR408,2)*'ButsMPG + Var'!$K$14+COUNTIF(BDD!H408:AR408,1)*'ButsMPG + Var'!$K$13,IF(C405="D",COUNTIF(BDD!H408:AR408,10)*'ButsMPG + Var'!$K$32+COUNTIF(BDD!H408:AR408,9)*'ButsMPG + Var'!$K$31+COUNTIF(BDD!H408:AR408,8)*'ButsMPG + Var'!$K$30+COUNTIF(BDD!H408:AR408,7)*'ButsMPG + Var'!$K$29+COUNTIF(BDD!H408:AR408,6)*'ButsMPG + Var'!$K$28+COUNTIF(BDD!H408:AR408,5)*'ButsMPG + Var'!$K$27+COUNTIF(BDD!H408:AR408,4)*'ButsMPG + Var'!$K$26+COUNTIF(BDD!H408:AR408,3)*'ButsMPG + Var'!$K$25+COUNTIF(BDD!H408:AR408,2)*'ButsMPG + Var'!$K$24+COUNTIF(BDD!H408:AR408,1)*'ButsMPG + Var'!$K$23,0)))</f>
        <v>0</v>
      </c>
      <c r="H405" s="25">
        <f t="shared" si="7"/>
        <v>0</v>
      </c>
      <c r="I405" s="25">
        <f>BDD!G408</f>
        <v>0</v>
      </c>
      <c r="J405" s="25">
        <f>SUMPRODUCT(BDD!H408:AS408,'ButsMPG + Var'!$B$46:$AM$46)</f>
        <v>0</v>
      </c>
      <c r="K405" s="25" t="e">
        <f>10*('ButsMPG + Var'!$H$37*J405/MAX(J:J)+'ButsMPG + Var'!$G$37*H405/MAX(H:H))</f>
        <v>#DIV/0!</v>
      </c>
      <c r="L405" s="1">
        <f>IF(ISNA(VLOOKUP(B405,PrixMini!$B$3:$E$573,4,FALSE)),1,VLOOKUP(B405,PrixMini!$B$3:$E$573,4,FALSE))</f>
        <v>1</v>
      </c>
      <c r="M405" s="25" t="e">
        <f>IF(ROUND(CalculCotation!$D$3*EXP(CalculCotation!$C$3*K405)-CalculCotation!$D$3+1,0)&gt;L405,ROUND(CalculCotation!$D$3*EXP(CalculCotation!$C$3*K405)-CalculCotation!$D$3+1,0),L405)</f>
        <v>#DIV/0!</v>
      </c>
    </row>
    <row r="406" spans="2:13" x14ac:dyDescent="0.3">
      <c r="B406" s="1">
        <f>BDD!C409</f>
        <v>0</v>
      </c>
      <c r="C406" s="1">
        <f>BDD!B409</f>
        <v>0</v>
      </c>
      <c r="D406" s="1">
        <f>BDD!A409</f>
        <v>0</v>
      </c>
      <c r="E406" s="1">
        <f>BDD!D409</f>
        <v>0</v>
      </c>
      <c r="F406" s="1">
        <f>BDD!F409</f>
        <v>0</v>
      </c>
      <c r="G406" s="25">
        <f>'ButsMPG + Var'!$I$39*IF(C406="A",COUNTIF(BDD!H409:AR409,10)*'ButsMPG + Var'!$K$12+COUNTIF(BDD!H409:AR409,9)*'ButsMPG + Var'!$K$11+COUNTIF(BDD!H409:AR409,8)*'ButsMPG + Var'!$K$10+COUNTIF(BDD!H409:AR409,7)*'ButsMPG + Var'!$K$9+COUNTIF(BDD!H409:AR409,6)*'ButsMPG + Var'!$K$8+COUNTIF(BDD!H409:AR409,5)*'ButsMPG + Var'!$K$7+COUNTIF(BDD!H409:AR409,4)*'ButsMPG + Var'!$K$6+COUNTIF(BDD!H409:AR409,3)*'ButsMPG + Var'!$K$5+COUNTIF(BDD!H409:AR409,2)*'ButsMPG + Var'!$K$4+COUNTIF(BDD!H409:AR409,1)*'ButsMPG + Var'!$K$3,IF(C406="M",COUNTIF(BDD!H409:AR409,10)*'ButsMPG + Var'!$K$22+COUNTIF(BDD!H409:AR409,9)*'ButsMPG + Var'!$K$21+COUNTIF(BDD!H409:AR409,8)*'ButsMPG + Var'!$K$20+COUNTIF(BDD!H409:AR409,7)*'ButsMPG + Var'!$K$19+COUNTIF(BDD!H409:AR409,6)*'ButsMPG + Var'!$K$18+COUNTIF(BDD!H409:AR409,5)*'ButsMPG + Var'!$K$17+COUNTIF(BDD!H409:AR409,4)*'ButsMPG + Var'!$K$16+COUNTIF(BDD!H409:AR409,3)*'ButsMPG + Var'!$K$15+COUNTIF(BDD!H409:AR409,2)*'ButsMPG + Var'!$K$14+COUNTIF(BDD!H409:AR409,1)*'ButsMPG + Var'!$K$13,IF(C406="D",COUNTIF(BDD!H409:AR409,10)*'ButsMPG + Var'!$K$32+COUNTIF(BDD!H409:AR409,9)*'ButsMPG + Var'!$K$31+COUNTIF(BDD!H409:AR409,8)*'ButsMPG + Var'!$K$30+COUNTIF(BDD!H409:AR409,7)*'ButsMPG + Var'!$K$29+COUNTIF(BDD!H409:AR409,6)*'ButsMPG + Var'!$K$28+COUNTIF(BDD!H409:AR409,5)*'ButsMPG + Var'!$K$27+COUNTIF(BDD!H409:AR409,4)*'ButsMPG + Var'!$K$26+COUNTIF(BDD!H409:AR409,3)*'ButsMPG + Var'!$K$25+COUNTIF(BDD!H409:AR409,2)*'ButsMPG + Var'!$K$24+COUNTIF(BDD!H409:AR409,1)*'ButsMPG + Var'!$K$23,0)))</f>
        <v>0</v>
      </c>
      <c r="H406" s="25">
        <f t="shared" si="7"/>
        <v>0</v>
      </c>
      <c r="I406" s="25">
        <f>BDD!G409</f>
        <v>0</v>
      </c>
      <c r="J406" s="25">
        <f>SUMPRODUCT(BDD!H409:AS409,'ButsMPG + Var'!$B$46:$AM$46)</f>
        <v>0</v>
      </c>
      <c r="K406" s="25" t="e">
        <f>10*('ButsMPG + Var'!$H$37*J406/MAX(J:J)+'ButsMPG + Var'!$G$37*H406/MAX(H:H))</f>
        <v>#DIV/0!</v>
      </c>
      <c r="L406" s="1">
        <f>IF(ISNA(VLOOKUP(B406,PrixMini!$B$3:$E$573,4,FALSE)),1,VLOOKUP(B406,PrixMini!$B$3:$E$573,4,FALSE))</f>
        <v>1</v>
      </c>
      <c r="M406" s="25" t="e">
        <f>IF(ROUND(CalculCotation!$D$3*EXP(CalculCotation!$C$3*K406)-CalculCotation!$D$3+1,0)&gt;L406,ROUND(CalculCotation!$D$3*EXP(CalculCotation!$C$3*K406)-CalculCotation!$D$3+1,0),L406)</f>
        <v>#DIV/0!</v>
      </c>
    </row>
    <row r="407" spans="2:13" x14ac:dyDescent="0.3">
      <c r="B407" s="1">
        <f>BDD!C410</f>
        <v>0</v>
      </c>
      <c r="C407" s="1">
        <f>BDD!B410</f>
        <v>0</v>
      </c>
      <c r="D407" s="1">
        <f>BDD!A410</f>
        <v>0</v>
      </c>
      <c r="E407" s="1">
        <f>BDD!D410</f>
        <v>0</v>
      </c>
      <c r="F407" s="1">
        <f>BDD!F410</f>
        <v>0</v>
      </c>
      <c r="G407" s="25">
        <f>'ButsMPG + Var'!$I$39*IF(C407="A",COUNTIF(BDD!H410:AR410,10)*'ButsMPG + Var'!$K$12+COUNTIF(BDD!H410:AR410,9)*'ButsMPG + Var'!$K$11+COUNTIF(BDD!H410:AR410,8)*'ButsMPG + Var'!$K$10+COUNTIF(BDD!H410:AR410,7)*'ButsMPG + Var'!$K$9+COUNTIF(BDD!H410:AR410,6)*'ButsMPG + Var'!$K$8+COUNTIF(BDD!H410:AR410,5)*'ButsMPG + Var'!$K$7+COUNTIF(BDD!H410:AR410,4)*'ButsMPG + Var'!$K$6+COUNTIF(BDD!H410:AR410,3)*'ButsMPG + Var'!$K$5+COUNTIF(BDD!H410:AR410,2)*'ButsMPG + Var'!$K$4+COUNTIF(BDD!H410:AR410,1)*'ButsMPG + Var'!$K$3,IF(C407="M",COUNTIF(BDD!H410:AR410,10)*'ButsMPG + Var'!$K$22+COUNTIF(BDD!H410:AR410,9)*'ButsMPG + Var'!$K$21+COUNTIF(BDD!H410:AR410,8)*'ButsMPG + Var'!$K$20+COUNTIF(BDD!H410:AR410,7)*'ButsMPG + Var'!$K$19+COUNTIF(BDD!H410:AR410,6)*'ButsMPG + Var'!$K$18+COUNTIF(BDD!H410:AR410,5)*'ButsMPG + Var'!$K$17+COUNTIF(BDD!H410:AR410,4)*'ButsMPG + Var'!$K$16+COUNTIF(BDD!H410:AR410,3)*'ButsMPG + Var'!$K$15+COUNTIF(BDD!H410:AR410,2)*'ButsMPG + Var'!$K$14+COUNTIF(BDD!H410:AR410,1)*'ButsMPG + Var'!$K$13,IF(C407="D",COUNTIF(BDD!H410:AR410,10)*'ButsMPG + Var'!$K$32+COUNTIF(BDD!H410:AR410,9)*'ButsMPG + Var'!$K$31+COUNTIF(BDD!H410:AR410,8)*'ButsMPG + Var'!$K$30+COUNTIF(BDD!H410:AR410,7)*'ButsMPG + Var'!$K$29+COUNTIF(BDD!H410:AR410,6)*'ButsMPG + Var'!$K$28+COUNTIF(BDD!H410:AR410,5)*'ButsMPG + Var'!$K$27+COUNTIF(BDD!H410:AR410,4)*'ButsMPG + Var'!$K$26+COUNTIF(BDD!H410:AR410,3)*'ButsMPG + Var'!$K$25+COUNTIF(BDD!H410:AR410,2)*'ButsMPG + Var'!$K$24+COUNTIF(BDD!H410:AR410,1)*'ButsMPG + Var'!$K$23,0)))</f>
        <v>0</v>
      </c>
      <c r="H407" s="25">
        <f t="shared" si="7"/>
        <v>0</v>
      </c>
      <c r="I407" s="25">
        <f>BDD!G410</f>
        <v>0</v>
      </c>
      <c r="J407" s="25">
        <f>SUMPRODUCT(BDD!H410:AS410,'ButsMPG + Var'!$B$46:$AM$46)</f>
        <v>0</v>
      </c>
      <c r="K407" s="25" t="e">
        <f>10*('ButsMPG + Var'!$H$37*J407/MAX(J:J)+'ButsMPG + Var'!$G$37*H407/MAX(H:H))</f>
        <v>#DIV/0!</v>
      </c>
      <c r="L407" s="1">
        <f>IF(ISNA(VLOOKUP(B407,PrixMini!$B$3:$E$573,4,FALSE)),1,VLOOKUP(B407,PrixMini!$B$3:$E$573,4,FALSE))</f>
        <v>1</v>
      </c>
      <c r="M407" s="25" t="e">
        <f>IF(ROUND(CalculCotation!$D$3*EXP(CalculCotation!$C$3*K407)-CalculCotation!$D$3+1,0)&gt;L407,ROUND(CalculCotation!$D$3*EXP(CalculCotation!$C$3*K407)-CalculCotation!$D$3+1,0),L407)</f>
        <v>#DIV/0!</v>
      </c>
    </row>
    <row r="408" spans="2:13" x14ac:dyDescent="0.3">
      <c r="B408" s="1">
        <f>BDD!C411</f>
        <v>0</v>
      </c>
      <c r="C408" s="1">
        <f>BDD!B411</f>
        <v>0</v>
      </c>
      <c r="D408" s="1">
        <f>BDD!A411</f>
        <v>0</v>
      </c>
      <c r="E408" s="1">
        <f>BDD!D411</f>
        <v>0</v>
      </c>
      <c r="F408" s="1">
        <f>BDD!F411</f>
        <v>0</v>
      </c>
      <c r="G408" s="25">
        <f>'ButsMPG + Var'!$I$39*IF(C408="A",COUNTIF(BDD!H411:AR411,10)*'ButsMPG + Var'!$K$12+COUNTIF(BDD!H411:AR411,9)*'ButsMPG + Var'!$K$11+COUNTIF(BDD!H411:AR411,8)*'ButsMPG + Var'!$K$10+COUNTIF(BDD!H411:AR411,7)*'ButsMPG + Var'!$K$9+COUNTIF(BDD!H411:AR411,6)*'ButsMPG + Var'!$K$8+COUNTIF(BDD!H411:AR411,5)*'ButsMPG + Var'!$K$7+COUNTIF(BDD!H411:AR411,4)*'ButsMPG + Var'!$K$6+COUNTIF(BDD!H411:AR411,3)*'ButsMPG + Var'!$K$5+COUNTIF(BDD!H411:AR411,2)*'ButsMPG + Var'!$K$4+COUNTIF(BDD!H411:AR411,1)*'ButsMPG + Var'!$K$3,IF(C408="M",COUNTIF(BDD!H411:AR411,10)*'ButsMPG + Var'!$K$22+COUNTIF(BDD!H411:AR411,9)*'ButsMPG + Var'!$K$21+COUNTIF(BDD!H411:AR411,8)*'ButsMPG + Var'!$K$20+COUNTIF(BDD!H411:AR411,7)*'ButsMPG + Var'!$K$19+COUNTIF(BDD!H411:AR411,6)*'ButsMPG + Var'!$K$18+COUNTIF(BDD!H411:AR411,5)*'ButsMPG + Var'!$K$17+COUNTIF(BDD!H411:AR411,4)*'ButsMPG + Var'!$K$16+COUNTIF(BDD!H411:AR411,3)*'ButsMPG + Var'!$K$15+COUNTIF(BDD!H411:AR411,2)*'ButsMPG + Var'!$K$14+COUNTIF(BDD!H411:AR411,1)*'ButsMPG + Var'!$K$13,IF(C408="D",COUNTIF(BDD!H411:AR411,10)*'ButsMPG + Var'!$K$32+COUNTIF(BDD!H411:AR411,9)*'ButsMPG + Var'!$K$31+COUNTIF(BDD!H411:AR411,8)*'ButsMPG + Var'!$K$30+COUNTIF(BDD!H411:AR411,7)*'ButsMPG + Var'!$K$29+COUNTIF(BDD!H411:AR411,6)*'ButsMPG + Var'!$K$28+COUNTIF(BDD!H411:AR411,5)*'ButsMPG + Var'!$K$27+COUNTIF(BDD!H411:AR411,4)*'ButsMPG + Var'!$K$26+COUNTIF(BDD!H411:AR411,3)*'ButsMPG + Var'!$K$25+COUNTIF(BDD!H411:AR411,2)*'ButsMPG + Var'!$K$24+COUNTIF(BDD!H411:AR411,1)*'ButsMPG + Var'!$K$23,0)))</f>
        <v>0</v>
      </c>
      <c r="H408" s="25">
        <f t="shared" si="7"/>
        <v>0</v>
      </c>
      <c r="I408" s="25">
        <f>BDD!G411</f>
        <v>0</v>
      </c>
      <c r="J408" s="25">
        <f>SUMPRODUCT(BDD!H411:AS411,'ButsMPG + Var'!$B$46:$AM$46)</f>
        <v>0</v>
      </c>
      <c r="K408" s="25" t="e">
        <f>10*('ButsMPG + Var'!$H$37*J408/MAX(J:J)+'ButsMPG + Var'!$G$37*H408/MAX(H:H))</f>
        <v>#DIV/0!</v>
      </c>
      <c r="L408" s="1">
        <f>IF(ISNA(VLOOKUP(B408,PrixMini!$B$3:$E$573,4,FALSE)),1,VLOOKUP(B408,PrixMini!$B$3:$E$573,4,FALSE))</f>
        <v>1</v>
      </c>
      <c r="M408" s="25" t="e">
        <f>IF(ROUND(CalculCotation!$D$3*EXP(CalculCotation!$C$3*K408)-CalculCotation!$D$3+1,0)&gt;L408,ROUND(CalculCotation!$D$3*EXP(CalculCotation!$C$3*K408)-CalculCotation!$D$3+1,0),L408)</f>
        <v>#DIV/0!</v>
      </c>
    </row>
    <row r="409" spans="2:13" x14ac:dyDescent="0.3">
      <c r="B409" s="1">
        <f>BDD!C412</f>
        <v>0</v>
      </c>
      <c r="C409" s="1">
        <f>BDD!B412</f>
        <v>0</v>
      </c>
      <c r="D409" s="1">
        <f>BDD!A412</f>
        <v>0</v>
      </c>
      <c r="E409" s="1">
        <f>BDD!D412</f>
        <v>0</v>
      </c>
      <c r="F409" s="1">
        <f>BDD!F412</f>
        <v>0</v>
      </c>
      <c r="G409" s="25">
        <f>'ButsMPG + Var'!$I$39*IF(C409="A",COUNTIF(BDD!H412:AR412,10)*'ButsMPG + Var'!$K$12+COUNTIF(BDD!H412:AR412,9)*'ButsMPG + Var'!$K$11+COUNTIF(BDD!H412:AR412,8)*'ButsMPG + Var'!$K$10+COUNTIF(BDD!H412:AR412,7)*'ButsMPG + Var'!$K$9+COUNTIF(BDD!H412:AR412,6)*'ButsMPG + Var'!$K$8+COUNTIF(BDD!H412:AR412,5)*'ButsMPG + Var'!$K$7+COUNTIF(BDD!H412:AR412,4)*'ButsMPG + Var'!$K$6+COUNTIF(BDD!H412:AR412,3)*'ButsMPG + Var'!$K$5+COUNTIF(BDD!H412:AR412,2)*'ButsMPG + Var'!$K$4+COUNTIF(BDD!H412:AR412,1)*'ButsMPG + Var'!$K$3,IF(C409="M",COUNTIF(BDD!H412:AR412,10)*'ButsMPG + Var'!$K$22+COUNTIF(BDD!H412:AR412,9)*'ButsMPG + Var'!$K$21+COUNTIF(BDD!H412:AR412,8)*'ButsMPG + Var'!$K$20+COUNTIF(BDD!H412:AR412,7)*'ButsMPG + Var'!$K$19+COUNTIF(BDD!H412:AR412,6)*'ButsMPG + Var'!$K$18+COUNTIF(BDD!H412:AR412,5)*'ButsMPG + Var'!$K$17+COUNTIF(BDD!H412:AR412,4)*'ButsMPG + Var'!$K$16+COUNTIF(BDD!H412:AR412,3)*'ButsMPG + Var'!$K$15+COUNTIF(BDD!H412:AR412,2)*'ButsMPG + Var'!$K$14+COUNTIF(BDD!H412:AR412,1)*'ButsMPG + Var'!$K$13,IF(C409="D",COUNTIF(BDD!H412:AR412,10)*'ButsMPG + Var'!$K$32+COUNTIF(BDD!H412:AR412,9)*'ButsMPG + Var'!$K$31+COUNTIF(BDD!H412:AR412,8)*'ButsMPG + Var'!$K$30+COUNTIF(BDD!H412:AR412,7)*'ButsMPG + Var'!$K$29+COUNTIF(BDD!H412:AR412,6)*'ButsMPG + Var'!$K$28+COUNTIF(BDD!H412:AR412,5)*'ButsMPG + Var'!$K$27+COUNTIF(BDD!H412:AR412,4)*'ButsMPG + Var'!$K$26+COUNTIF(BDD!H412:AR412,3)*'ButsMPG + Var'!$K$25+COUNTIF(BDD!H412:AR412,2)*'ButsMPG + Var'!$K$24+COUNTIF(BDD!H412:AR412,1)*'ButsMPG + Var'!$K$23,0)))</f>
        <v>0</v>
      </c>
      <c r="H409" s="25">
        <f t="shared" si="7"/>
        <v>0</v>
      </c>
      <c r="I409" s="25">
        <f>BDD!G412</f>
        <v>0</v>
      </c>
      <c r="J409" s="25">
        <f>SUMPRODUCT(BDD!H412:AS412,'ButsMPG + Var'!$B$46:$AM$46)</f>
        <v>0</v>
      </c>
      <c r="K409" s="25" t="e">
        <f>10*('ButsMPG + Var'!$H$37*J409/MAX(J:J)+'ButsMPG + Var'!$G$37*H409/MAX(H:H))</f>
        <v>#DIV/0!</v>
      </c>
      <c r="L409" s="1">
        <f>IF(ISNA(VLOOKUP(B409,PrixMini!$B$3:$E$573,4,FALSE)),1,VLOOKUP(B409,PrixMini!$B$3:$E$573,4,FALSE))</f>
        <v>1</v>
      </c>
      <c r="M409" s="25" t="e">
        <f>IF(ROUND(CalculCotation!$D$3*EXP(CalculCotation!$C$3*K409)-CalculCotation!$D$3+1,0)&gt;L409,ROUND(CalculCotation!$D$3*EXP(CalculCotation!$C$3*K409)-CalculCotation!$D$3+1,0),L409)</f>
        <v>#DIV/0!</v>
      </c>
    </row>
    <row r="410" spans="2:13" x14ac:dyDescent="0.3">
      <c r="B410" s="1">
        <f>BDD!C413</f>
        <v>0</v>
      </c>
      <c r="C410" s="1">
        <f>BDD!B413</f>
        <v>0</v>
      </c>
      <c r="D410" s="1">
        <f>BDD!A413</f>
        <v>0</v>
      </c>
      <c r="E410" s="1">
        <f>BDD!D413</f>
        <v>0</v>
      </c>
      <c r="F410" s="1">
        <f>BDD!F413</f>
        <v>0</v>
      </c>
      <c r="G410" s="25">
        <f>'ButsMPG + Var'!$I$39*IF(C410="A",COUNTIF(BDD!H413:AR413,10)*'ButsMPG + Var'!$K$12+COUNTIF(BDD!H413:AR413,9)*'ButsMPG + Var'!$K$11+COUNTIF(BDD!H413:AR413,8)*'ButsMPG + Var'!$K$10+COUNTIF(BDD!H413:AR413,7)*'ButsMPG + Var'!$K$9+COUNTIF(BDD!H413:AR413,6)*'ButsMPG + Var'!$K$8+COUNTIF(BDD!H413:AR413,5)*'ButsMPG + Var'!$K$7+COUNTIF(BDD!H413:AR413,4)*'ButsMPG + Var'!$K$6+COUNTIF(BDD!H413:AR413,3)*'ButsMPG + Var'!$K$5+COUNTIF(BDD!H413:AR413,2)*'ButsMPG + Var'!$K$4+COUNTIF(BDD!H413:AR413,1)*'ButsMPG + Var'!$K$3,IF(C410="M",COUNTIF(BDD!H413:AR413,10)*'ButsMPG + Var'!$K$22+COUNTIF(BDD!H413:AR413,9)*'ButsMPG + Var'!$K$21+COUNTIF(BDD!H413:AR413,8)*'ButsMPG + Var'!$K$20+COUNTIF(BDD!H413:AR413,7)*'ButsMPG + Var'!$K$19+COUNTIF(BDD!H413:AR413,6)*'ButsMPG + Var'!$K$18+COUNTIF(BDD!H413:AR413,5)*'ButsMPG + Var'!$K$17+COUNTIF(BDD!H413:AR413,4)*'ButsMPG + Var'!$K$16+COUNTIF(BDD!H413:AR413,3)*'ButsMPG + Var'!$K$15+COUNTIF(BDD!H413:AR413,2)*'ButsMPG + Var'!$K$14+COUNTIF(BDD!H413:AR413,1)*'ButsMPG + Var'!$K$13,IF(C410="D",COUNTIF(BDD!H413:AR413,10)*'ButsMPG + Var'!$K$32+COUNTIF(BDD!H413:AR413,9)*'ButsMPG + Var'!$K$31+COUNTIF(BDD!H413:AR413,8)*'ButsMPG + Var'!$K$30+COUNTIF(BDD!H413:AR413,7)*'ButsMPG + Var'!$K$29+COUNTIF(BDD!H413:AR413,6)*'ButsMPG + Var'!$K$28+COUNTIF(BDD!H413:AR413,5)*'ButsMPG + Var'!$K$27+COUNTIF(BDD!H413:AR413,4)*'ButsMPG + Var'!$K$26+COUNTIF(BDD!H413:AR413,3)*'ButsMPG + Var'!$K$25+COUNTIF(BDD!H413:AR413,2)*'ButsMPG + Var'!$K$24+COUNTIF(BDD!H413:AR413,1)*'ButsMPG + Var'!$K$23,0)))</f>
        <v>0</v>
      </c>
      <c r="H410" s="25">
        <f t="shared" si="7"/>
        <v>0</v>
      </c>
      <c r="I410" s="25">
        <f>BDD!G413</f>
        <v>0</v>
      </c>
      <c r="J410" s="25">
        <f>SUMPRODUCT(BDD!H413:AS413,'ButsMPG + Var'!$B$46:$AM$46)</f>
        <v>0</v>
      </c>
      <c r="K410" s="25" t="e">
        <f>10*('ButsMPG + Var'!$H$37*J410/MAX(J:J)+'ButsMPG + Var'!$G$37*H410/MAX(H:H))</f>
        <v>#DIV/0!</v>
      </c>
      <c r="L410" s="1">
        <f>IF(ISNA(VLOOKUP(B410,PrixMini!$B$3:$E$573,4,FALSE)),1,VLOOKUP(B410,PrixMini!$B$3:$E$573,4,FALSE))</f>
        <v>1</v>
      </c>
      <c r="M410" s="25" t="e">
        <f>IF(ROUND(CalculCotation!$D$3*EXP(CalculCotation!$C$3*K410)-CalculCotation!$D$3+1,0)&gt;L410,ROUND(CalculCotation!$D$3*EXP(CalculCotation!$C$3*K410)-CalculCotation!$D$3+1,0),L410)</f>
        <v>#DIV/0!</v>
      </c>
    </row>
    <row r="411" spans="2:13" x14ac:dyDescent="0.3">
      <c r="B411" s="1">
        <f>BDD!C414</f>
        <v>0</v>
      </c>
      <c r="C411" s="1">
        <f>BDD!B414</f>
        <v>0</v>
      </c>
      <c r="D411" s="1">
        <f>BDD!A414</f>
        <v>0</v>
      </c>
      <c r="E411" s="1">
        <f>BDD!D414</f>
        <v>0</v>
      </c>
      <c r="F411" s="1">
        <f>BDD!F414</f>
        <v>0</v>
      </c>
      <c r="G411" s="25">
        <f>'ButsMPG + Var'!$I$39*IF(C411="A",COUNTIF(BDD!H414:AR414,10)*'ButsMPG + Var'!$K$12+COUNTIF(BDD!H414:AR414,9)*'ButsMPG + Var'!$K$11+COUNTIF(BDD!H414:AR414,8)*'ButsMPG + Var'!$K$10+COUNTIF(BDD!H414:AR414,7)*'ButsMPG + Var'!$K$9+COUNTIF(BDD!H414:AR414,6)*'ButsMPG + Var'!$K$8+COUNTIF(BDD!H414:AR414,5)*'ButsMPG + Var'!$K$7+COUNTIF(BDD!H414:AR414,4)*'ButsMPG + Var'!$K$6+COUNTIF(BDD!H414:AR414,3)*'ButsMPG + Var'!$K$5+COUNTIF(BDD!H414:AR414,2)*'ButsMPG + Var'!$K$4+COUNTIF(BDD!H414:AR414,1)*'ButsMPG + Var'!$K$3,IF(C411="M",COUNTIF(BDD!H414:AR414,10)*'ButsMPG + Var'!$K$22+COUNTIF(BDD!H414:AR414,9)*'ButsMPG + Var'!$K$21+COUNTIF(BDD!H414:AR414,8)*'ButsMPG + Var'!$K$20+COUNTIF(BDD!H414:AR414,7)*'ButsMPG + Var'!$K$19+COUNTIF(BDD!H414:AR414,6)*'ButsMPG + Var'!$K$18+COUNTIF(BDD!H414:AR414,5)*'ButsMPG + Var'!$K$17+COUNTIF(BDD!H414:AR414,4)*'ButsMPG + Var'!$K$16+COUNTIF(BDD!H414:AR414,3)*'ButsMPG + Var'!$K$15+COUNTIF(BDD!H414:AR414,2)*'ButsMPG + Var'!$K$14+COUNTIF(BDD!H414:AR414,1)*'ButsMPG + Var'!$K$13,IF(C411="D",COUNTIF(BDD!H414:AR414,10)*'ButsMPG + Var'!$K$32+COUNTIF(BDD!H414:AR414,9)*'ButsMPG + Var'!$K$31+COUNTIF(BDD!H414:AR414,8)*'ButsMPG + Var'!$K$30+COUNTIF(BDD!H414:AR414,7)*'ButsMPG + Var'!$K$29+COUNTIF(BDD!H414:AR414,6)*'ButsMPG + Var'!$K$28+COUNTIF(BDD!H414:AR414,5)*'ButsMPG + Var'!$K$27+COUNTIF(BDD!H414:AR414,4)*'ButsMPG + Var'!$K$26+COUNTIF(BDD!H414:AR414,3)*'ButsMPG + Var'!$K$25+COUNTIF(BDD!H414:AR414,2)*'ButsMPG + Var'!$K$24+COUNTIF(BDD!H414:AR414,1)*'ButsMPG + Var'!$K$23,0)))</f>
        <v>0</v>
      </c>
      <c r="H411" s="25">
        <f t="shared" si="7"/>
        <v>0</v>
      </c>
      <c r="I411" s="25">
        <f>BDD!G414</f>
        <v>0</v>
      </c>
      <c r="J411" s="25">
        <f>SUMPRODUCT(BDD!H414:AS414,'ButsMPG + Var'!$B$46:$AM$46)</f>
        <v>0</v>
      </c>
      <c r="K411" s="25" t="e">
        <f>10*('ButsMPG + Var'!$H$37*J411/MAX(J:J)+'ButsMPG + Var'!$G$37*H411/MAX(H:H))</f>
        <v>#DIV/0!</v>
      </c>
      <c r="L411" s="1">
        <f>IF(ISNA(VLOOKUP(B411,PrixMini!$B$3:$E$573,4,FALSE)),1,VLOOKUP(B411,PrixMini!$B$3:$E$573,4,FALSE))</f>
        <v>1</v>
      </c>
      <c r="M411" s="25" t="e">
        <f>IF(ROUND(CalculCotation!$D$3*EXP(CalculCotation!$C$3*K411)-CalculCotation!$D$3+1,0)&gt;L411,ROUND(CalculCotation!$D$3*EXP(CalculCotation!$C$3*K411)-CalculCotation!$D$3+1,0),L411)</f>
        <v>#DIV/0!</v>
      </c>
    </row>
    <row r="412" spans="2:13" x14ac:dyDescent="0.3">
      <c r="B412" s="1">
        <f>BDD!C415</f>
        <v>0</v>
      </c>
      <c r="C412" s="1">
        <f>BDD!B415</f>
        <v>0</v>
      </c>
      <c r="D412" s="1">
        <f>BDD!A415</f>
        <v>0</v>
      </c>
      <c r="E412" s="1">
        <f>BDD!D415</f>
        <v>0</v>
      </c>
      <c r="F412" s="1">
        <f>BDD!F415</f>
        <v>0</v>
      </c>
      <c r="G412" s="25">
        <f>'ButsMPG + Var'!$I$39*IF(C412="A",COUNTIF(BDD!H415:AR415,10)*'ButsMPG + Var'!$K$12+COUNTIF(BDD!H415:AR415,9)*'ButsMPG + Var'!$K$11+COUNTIF(BDD!H415:AR415,8)*'ButsMPG + Var'!$K$10+COUNTIF(BDD!H415:AR415,7)*'ButsMPG + Var'!$K$9+COUNTIF(BDD!H415:AR415,6)*'ButsMPG + Var'!$K$8+COUNTIF(BDD!H415:AR415,5)*'ButsMPG + Var'!$K$7+COUNTIF(BDD!H415:AR415,4)*'ButsMPG + Var'!$K$6+COUNTIF(BDD!H415:AR415,3)*'ButsMPG + Var'!$K$5+COUNTIF(BDD!H415:AR415,2)*'ButsMPG + Var'!$K$4+COUNTIF(BDD!H415:AR415,1)*'ButsMPG + Var'!$K$3,IF(C412="M",COUNTIF(BDD!H415:AR415,10)*'ButsMPG + Var'!$K$22+COUNTIF(BDD!H415:AR415,9)*'ButsMPG + Var'!$K$21+COUNTIF(BDD!H415:AR415,8)*'ButsMPG + Var'!$K$20+COUNTIF(BDD!H415:AR415,7)*'ButsMPG + Var'!$K$19+COUNTIF(BDD!H415:AR415,6)*'ButsMPG + Var'!$K$18+COUNTIF(BDD!H415:AR415,5)*'ButsMPG + Var'!$K$17+COUNTIF(BDD!H415:AR415,4)*'ButsMPG + Var'!$K$16+COUNTIF(BDD!H415:AR415,3)*'ButsMPG + Var'!$K$15+COUNTIF(BDD!H415:AR415,2)*'ButsMPG + Var'!$K$14+COUNTIF(BDD!H415:AR415,1)*'ButsMPG + Var'!$K$13,IF(C412="D",COUNTIF(BDD!H415:AR415,10)*'ButsMPG + Var'!$K$32+COUNTIF(BDD!H415:AR415,9)*'ButsMPG + Var'!$K$31+COUNTIF(BDD!H415:AR415,8)*'ButsMPG + Var'!$K$30+COUNTIF(BDD!H415:AR415,7)*'ButsMPG + Var'!$K$29+COUNTIF(BDD!H415:AR415,6)*'ButsMPG + Var'!$K$28+COUNTIF(BDD!H415:AR415,5)*'ButsMPG + Var'!$K$27+COUNTIF(BDD!H415:AR415,4)*'ButsMPG + Var'!$K$26+COUNTIF(BDD!H415:AR415,3)*'ButsMPG + Var'!$K$25+COUNTIF(BDD!H415:AR415,2)*'ButsMPG + Var'!$K$24+COUNTIF(BDD!H415:AR415,1)*'ButsMPG + Var'!$K$23,0)))</f>
        <v>0</v>
      </c>
      <c r="H412" s="25">
        <f t="shared" si="7"/>
        <v>0</v>
      </c>
      <c r="I412" s="25">
        <f>BDD!G415</f>
        <v>0</v>
      </c>
      <c r="J412" s="25">
        <f>SUMPRODUCT(BDD!H415:AS415,'ButsMPG + Var'!$B$46:$AM$46)</f>
        <v>0</v>
      </c>
      <c r="K412" s="25" t="e">
        <f>10*('ButsMPG + Var'!$H$37*J412/MAX(J:J)+'ButsMPG + Var'!$G$37*H412/MAX(H:H))</f>
        <v>#DIV/0!</v>
      </c>
      <c r="L412" s="1">
        <f>IF(ISNA(VLOOKUP(B412,PrixMini!$B$3:$E$573,4,FALSE)),1,VLOOKUP(B412,PrixMini!$B$3:$E$573,4,FALSE))</f>
        <v>1</v>
      </c>
      <c r="M412" s="25" t="e">
        <f>IF(ROUND(CalculCotation!$D$3*EXP(CalculCotation!$C$3*K412)-CalculCotation!$D$3+1,0)&gt;L412,ROUND(CalculCotation!$D$3*EXP(CalculCotation!$C$3*K412)-CalculCotation!$D$3+1,0),L412)</f>
        <v>#DIV/0!</v>
      </c>
    </row>
    <row r="413" spans="2:13" x14ac:dyDescent="0.3">
      <c r="B413" s="1">
        <f>BDD!C416</f>
        <v>0</v>
      </c>
      <c r="C413" s="1">
        <f>BDD!B416</f>
        <v>0</v>
      </c>
      <c r="D413" s="1">
        <f>BDD!A416</f>
        <v>0</v>
      </c>
      <c r="E413" s="1">
        <f>BDD!D416</f>
        <v>0</v>
      </c>
      <c r="F413" s="1">
        <f>BDD!F416</f>
        <v>0</v>
      </c>
      <c r="G413" s="25">
        <f>'ButsMPG + Var'!$I$39*IF(C413="A",COUNTIF(BDD!H416:AR416,10)*'ButsMPG + Var'!$K$12+COUNTIF(BDD!H416:AR416,9)*'ButsMPG + Var'!$K$11+COUNTIF(BDD!H416:AR416,8)*'ButsMPG + Var'!$K$10+COUNTIF(BDD!H416:AR416,7)*'ButsMPG + Var'!$K$9+COUNTIF(BDD!H416:AR416,6)*'ButsMPG + Var'!$K$8+COUNTIF(BDD!H416:AR416,5)*'ButsMPG + Var'!$K$7+COUNTIF(BDD!H416:AR416,4)*'ButsMPG + Var'!$K$6+COUNTIF(BDD!H416:AR416,3)*'ButsMPG + Var'!$K$5+COUNTIF(BDD!H416:AR416,2)*'ButsMPG + Var'!$K$4+COUNTIF(BDD!H416:AR416,1)*'ButsMPG + Var'!$K$3,IF(C413="M",COUNTIF(BDD!H416:AR416,10)*'ButsMPG + Var'!$K$22+COUNTIF(BDD!H416:AR416,9)*'ButsMPG + Var'!$K$21+COUNTIF(BDD!H416:AR416,8)*'ButsMPG + Var'!$K$20+COUNTIF(BDD!H416:AR416,7)*'ButsMPG + Var'!$K$19+COUNTIF(BDD!H416:AR416,6)*'ButsMPG + Var'!$K$18+COUNTIF(BDD!H416:AR416,5)*'ButsMPG + Var'!$K$17+COUNTIF(BDD!H416:AR416,4)*'ButsMPG + Var'!$K$16+COUNTIF(BDD!H416:AR416,3)*'ButsMPG + Var'!$K$15+COUNTIF(BDD!H416:AR416,2)*'ButsMPG + Var'!$K$14+COUNTIF(BDD!H416:AR416,1)*'ButsMPG + Var'!$K$13,IF(C413="D",COUNTIF(BDD!H416:AR416,10)*'ButsMPG + Var'!$K$32+COUNTIF(BDD!H416:AR416,9)*'ButsMPG + Var'!$K$31+COUNTIF(BDD!H416:AR416,8)*'ButsMPG + Var'!$K$30+COUNTIF(BDD!H416:AR416,7)*'ButsMPG + Var'!$K$29+COUNTIF(BDD!H416:AR416,6)*'ButsMPG + Var'!$K$28+COUNTIF(BDD!H416:AR416,5)*'ButsMPG + Var'!$K$27+COUNTIF(BDD!H416:AR416,4)*'ButsMPG + Var'!$K$26+COUNTIF(BDD!H416:AR416,3)*'ButsMPG + Var'!$K$25+COUNTIF(BDD!H416:AR416,2)*'ButsMPG + Var'!$K$24+COUNTIF(BDD!H416:AR416,1)*'ButsMPG + Var'!$K$23,0)))</f>
        <v>0</v>
      </c>
      <c r="H413" s="25">
        <f t="shared" si="7"/>
        <v>0</v>
      </c>
      <c r="I413" s="25">
        <f>BDD!G416</f>
        <v>0</v>
      </c>
      <c r="J413" s="25">
        <f>SUMPRODUCT(BDD!H416:AS416,'ButsMPG + Var'!$B$46:$AM$46)</f>
        <v>0</v>
      </c>
      <c r="K413" s="25" t="e">
        <f>10*('ButsMPG + Var'!$H$37*J413/MAX(J:J)+'ButsMPG + Var'!$G$37*H413/MAX(H:H))</f>
        <v>#DIV/0!</v>
      </c>
      <c r="L413" s="1">
        <f>IF(ISNA(VLOOKUP(B413,PrixMini!$B$3:$E$573,4,FALSE)),1,VLOOKUP(B413,PrixMini!$B$3:$E$573,4,FALSE))</f>
        <v>1</v>
      </c>
      <c r="M413" s="25" t="e">
        <f>IF(ROUND(CalculCotation!$D$3*EXP(CalculCotation!$C$3*K413)-CalculCotation!$D$3+1,0)&gt;L413,ROUND(CalculCotation!$D$3*EXP(CalculCotation!$C$3*K413)-CalculCotation!$D$3+1,0),L413)</f>
        <v>#DIV/0!</v>
      </c>
    </row>
    <row r="414" spans="2:13" x14ac:dyDescent="0.3">
      <c r="B414" s="1">
        <f>BDD!C417</f>
        <v>0</v>
      </c>
      <c r="C414" s="1">
        <f>BDD!B417</f>
        <v>0</v>
      </c>
      <c r="D414" s="1">
        <f>BDD!A417</f>
        <v>0</v>
      </c>
      <c r="E414" s="1">
        <f>BDD!D417</f>
        <v>0</v>
      </c>
      <c r="F414" s="1">
        <f>BDD!F417</f>
        <v>0</v>
      </c>
      <c r="G414" s="25">
        <f>'ButsMPG + Var'!$I$39*IF(C414="A",COUNTIF(BDD!H417:AR417,10)*'ButsMPG + Var'!$K$12+COUNTIF(BDD!H417:AR417,9)*'ButsMPG + Var'!$K$11+COUNTIF(BDD!H417:AR417,8)*'ButsMPG + Var'!$K$10+COUNTIF(BDD!H417:AR417,7)*'ButsMPG + Var'!$K$9+COUNTIF(BDD!H417:AR417,6)*'ButsMPG + Var'!$K$8+COUNTIF(BDD!H417:AR417,5)*'ButsMPG + Var'!$K$7+COUNTIF(BDD!H417:AR417,4)*'ButsMPG + Var'!$K$6+COUNTIF(BDD!H417:AR417,3)*'ButsMPG + Var'!$K$5+COUNTIF(BDD!H417:AR417,2)*'ButsMPG + Var'!$K$4+COUNTIF(BDD!H417:AR417,1)*'ButsMPG + Var'!$K$3,IF(C414="M",COUNTIF(BDD!H417:AR417,10)*'ButsMPG + Var'!$K$22+COUNTIF(BDD!H417:AR417,9)*'ButsMPG + Var'!$K$21+COUNTIF(BDD!H417:AR417,8)*'ButsMPG + Var'!$K$20+COUNTIF(BDD!H417:AR417,7)*'ButsMPG + Var'!$K$19+COUNTIF(BDD!H417:AR417,6)*'ButsMPG + Var'!$K$18+COUNTIF(BDD!H417:AR417,5)*'ButsMPG + Var'!$K$17+COUNTIF(BDD!H417:AR417,4)*'ButsMPG + Var'!$K$16+COUNTIF(BDD!H417:AR417,3)*'ButsMPG + Var'!$K$15+COUNTIF(BDD!H417:AR417,2)*'ButsMPG + Var'!$K$14+COUNTIF(BDD!H417:AR417,1)*'ButsMPG + Var'!$K$13,IF(C414="D",COUNTIF(BDD!H417:AR417,10)*'ButsMPG + Var'!$K$32+COUNTIF(BDD!H417:AR417,9)*'ButsMPG + Var'!$K$31+COUNTIF(BDD!H417:AR417,8)*'ButsMPG + Var'!$K$30+COUNTIF(BDD!H417:AR417,7)*'ButsMPG + Var'!$K$29+COUNTIF(BDD!H417:AR417,6)*'ButsMPG + Var'!$K$28+COUNTIF(BDD!H417:AR417,5)*'ButsMPG + Var'!$K$27+COUNTIF(BDD!H417:AR417,4)*'ButsMPG + Var'!$K$26+COUNTIF(BDD!H417:AR417,3)*'ButsMPG + Var'!$K$25+COUNTIF(BDD!H417:AR417,2)*'ButsMPG + Var'!$K$24+COUNTIF(BDD!H417:AR417,1)*'ButsMPG + Var'!$K$23,0)))</f>
        <v>0</v>
      </c>
      <c r="H414" s="25">
        <f t="shared" si="7"/>
        <v>0</v>
      </c>
      <c r="I414" s="25">
        <f>BDD!G417</f>
        <v>0</v>
      </c>
      <c r="J414" s="25">
        <f>SUMPRODUCT(BDD!H417:AS417,'ButsMPG + Var'!$B$46:$AM$46)</f>
        <v>0</v>
      </c>
      <c r="K414" s="25" t="e">
        <f>10*('ButsMPG + Var'!$H$37*J414/MAX(J:J)+'ButsMPG + Var'!$G$37*H414/MAX(H:H))</f>
        <v>#DIV/0!</v>
      </c>
      <c r="L414" s="1">
        <f>IF(ISNA(VLOOKUP(B414,PrixMini!$B$3:$E$573,4,FALSE)),1,VLOOKUP(B414,PrixMini!$B$3:$E$573,4,FALSE))</f>
        <v>1</v>
      </c>
      <c r="M414" s="25" t="e">
        <f>IF(ROUND(CalculCotation!$D$3*EXP(CalculCotation!$C$3*K414)-CalculCotation!$D$3+1,0)&gt;L414,ROUND(CalculCotation!$D$3*EXP(CalculCotation!$C$3*K414)-CalculCotation!$D$3+1,0),L414)</f>
        <v>#DIV/0!</v>
      </c>
    </row>
    <row r="415" spans="2:13" x14ac:dyDescent="0.3">
      <c r="B415" s="1">
        <f>BDD!C418</f>
        <v>0</v>
      </c>
      <c r="C415" s="1">
        <f>BDD!B418</f>
        <v>0</v>
      </c>
      <c r="D415" s="1">
        <f>BDD!A418</f>
        <v>0</v>
      </c>
      <c r="E415" s="1">
        <f>BDD!D418</f>
        <v>0</v>
      </c>
      <c r="F415" s="1">
        <f>BDD!F418</f>
        <v>0</v>
      </c>
      <c r="G415" s="25">
        <f>'ButsMPG + Var'!$I$39*IF(C415="A",COUNTIF(BDD!H418:AR418,10)*'ButsMPG + Var'!$K$12+COUNTIF(BDD!H418:AR418,9)*'ButsMPG + Var'!$K$11+COUNTIF(BDD!H418:AR418,8)*'ButsMPG + Var'!$K$10+COUNTIF(BDD!H418:AR418,7)*'ButsMPG + Var'!$K$9+COUNTIF(BDD!H418:AR418,6)*'ButsMPG + Var'!$K$8+COUNTIF(BDD!H418:AR418,5)*'ButsMPG + Var'!$K$7+COUNTIF(BDD!H418:AR418,4)*'ButsMPG + Var'!$K$6+COUNTIF(BDD!H418:AR418,3)*'ButsMPG + Var'!$K$5+COUNTIF(BDD!H418:AR418,2)*'ButsMPG + Var'!$K$4+COUNTIF(BDD!H418:AR418,1)*'ButsMPG + Var'!$K$3,IF(C415="M",COUNTIF(BDD!H418:AR418,10)*'ButsMPG + Var'!$K$22+COUNTIF(BDD!H418:AR418,9)*'ButsMPG + Var'!$K$21+COUNTIF(BDD!H418:AR418,8)*'ButsMPG + Var'!$K$20+COUNTIF(BDD!H418:AR418,7)*'ButsMPG + Var'!$K$19+COUNTIF(BDD!H418:AR418,6)*'ButsMPG + Var'!$K$18+COUNTIF(BDD!H418:AR418,5)*'ButsMPG + Var'!$K$17+COUNTIF(BDD!H418:AR418,4)*'ButsMPG + Var'!$K$16+COUNTIF(BDD!H418:AR418,3)*'ButsMPG + Var'!$K$15+COUNTIF(BDD!H418:AR418,2)*'ButsMPG + Var'!$K$14+COUNTIF(BDD!H418:AR418,1)*'ButsMPG + Var'!$K$13,IF(C415="D",COUNTIF(BDD!H418:AR418,10)*'ButsMPG + Var'!$K$32+COUNTIF(BDD!H418:AR418,9)*'ButsMPG + Var'!$K$31+COUNTIF(BDD!H418:AR418,8)*'ButsMPG + Var'!$K$30+COUNTIF(BDD!H418:AR418,7)*'ButsMPG + Var'!$K$29+COUNTIF(BDD!H418:AR418,6)*'ButsMPG + Var'!$K$28+COUNTIF(BDD!H418:AR418,5)*'ButsMPG + Var'!$K$27+COUNTIF(BDD!H418:AR418,4)*'ButsMPG + Var'!$K$26+COUNTIF(BDD!H418:AR418,3)*'ButsMPG + Var'!$K$25+COUNTIF(BDD!H418:AR418,2)*'ButsMPG + Var'!$K$24+COUNTIF(BDD!H418:AR418,1)*'ButsMPG + Var'!$K$23,0)))</f>
        <v>0</v>
      </c>
      <c r="H415" s="25">
        <f t="shared" si="7"/>
        <v>0</v>
      </c>
      <c r="I415" s="25">
        <f>BDD!G418</f>
        <v>0</v>
      </c>
      <c r="J415" s="25">
        <f>SUMPRODUCT(BDD!H418:AS418,'ButsMPG + Var'!$B$46:$AM$46)</f>
        <v>0</v>
      </c>
      <c r="K415" s="25" t="e">
        <f>10*('ButsMPG + Var'!$H$37*J415/MAX(J:J)+'ButsMPG + Var'!$G$37*H415/MAX(H:H))</f>
        <v>#DIV/0!</v>
      </c>
      <c r="L415" s="1">
        <f>IF(ISNA(VLOOKUP(B415,PrixMini!$B$3:$E$573,4,FALSE)),1,VLOOKUP(B415,PrixMini!$B$3:$E$573,4,FALSE))</f>
        <v>1</v>
      </c>
      <c r="M415" s="25" t="e">
        <f>IF(ROUND(CalculCotation!$D$3*EXP(CalculCotation!$C$3*K415)-CalculCotation!$D$3+1,0)&gt;L415,ROUND(CalculCotation!$D$3*EXP(CalculCotation!$C$3*K415)-CalculCotation!$D$3+1,0),L415)</f>
        <v>#DIV/0!</v>
      </c>
    </row>
    <row r="416" spans="2:13" x14ac:dyDescent="0.3">
      <c r="B416" s="1">
        <f>BDD!C419</f>
        <v>0</v>
      </c>
      <c r="C416" s="1">
        <f>BDD!B419</f>
        <v>0</v>
      </c>
      <c r="D416" s="1">
        <f>BDD!A419</f>
        <v>0</v>
      </c>
      <c r="E416" s="1">
        <f>BDD!D419</f>
        <v>0</v>
      </c>
      <c r="F416" s="1">
        <f>BDD!F419</f>
        <v>0</v>
      </c>
      <c r="G416" s="25">
        <f>'ButsMPG + Var'!$I$39*IF(C416="A",COUNTIF(BDD!H419:AR419,10)*'ButsMPG + Var'!$K$12+COUNTIF(BDD!H419:AR419,9)*'ButsMPG + Var'!$K$11+COUNTIF(BDD!H419:AR419,8)*'ButsMPG + Var'!$K$10+COUNTIF(BDD!H419:AR419,7)*'ButsMPG + Var'!$K$9+COUNTIF(BDD!H419:AR419,6)*'ButsMPG + Var'!$K$8+COUNTIF(BDD!H419:AR419,5)*'ButsMPG + Var'!$K$7+COUNTIF(BDD!H419:AR419,4)*'ButsMPG + Var'!$K$6+COUNTIF(BDD!H419:AR419,3)*'ButsMPG + Var'!$K$5+COUNTIF(BDD!H419:AR419,2)*'ButsMPG + Var'!$K$4+COUNTIF(BDD!H419:AR419,1)*'ButsMPG + Var'!$K$3,IF(C416="M",COUNTIF(BDD!H419:AR419,10)*'ButsMPG + Var'!$K$22+COUNTIF(BDD!H419:AR419,9)*'ButsMPG + Var'!$K$21+COUNTIF(BDD!H419:AR419,8)*'ButsMPG + Var'!$K$20+COUNTIF(BDD!H419:AR419,7)*'ButsMPG + Var'!$K$19+COUNTIF(BDD!H419:AR419,6)*'ButsMPG + Var'!$K$18+COUNTIF(BDD!H419:AR419,5)*'ButsMPG + Var'!$K$17+COUNTIF(BDD!H419:AR419,4)*'ButsMPG + Var'!$K$16+COUNTIF(BDD!H419:AR419,3)*'ButsMPG + Var'!$K$15+COUNTIF(BDD!H419:AR419,2)*'ButsMPG + Var'!$K$14+COUNTIF(BDD!H419:AR419,1)*'ButsMPG + Var'!$K$13,IF(C416="D",COUNTIF(BDD!H419:AR419,10)*'ButsMPG + Var'!$K$32+COUNTIF(BDD!H419:AR419,9)*'ButsMPG + Var'!$K$31+COUNTIF(BDD!H419:AR419,8)*'ButsMPG + Var'!$K$30+COUNTIF(BDD!H419:AR419,7)*'ButsMPG + Var'!$K$29+COUNTIF(BDD!H419:AR419,6)*'ButsMPG + Var'!$K$28+COUNTIF(BDD!H419:AR419,5)*'ButsMPG + Var'!$K$27+COUNTIF(BDD!H419:AR419,4)*'ButsMPG + Var'!$K$26+COUNTIF(BDD!H419:AR419,3)*'ButsMPG + Var'!$K$25+COUNTIF(BDD!H419:AR419,2)*'ButsMPG + Var'!$K$24+COUNTIF(BDD!H419:AR419,1)*'ButsMPG + Var'!$K$23,0)))</f>
        <v>0</v>
      </c>
      <c r="H416" s="25">
        <f t="shared" si="7"/>
        <v>0</v>
      </c>
      <c r="I416" s="25">
        <f>BDD!G419</f>
        <v>0</v>
      </c>
      <c r="J416" s="25">
        <f>SUMPRODUCT(BDD!H419:AS419,'ButsMPG + Var'!$B$46:$AM$46)</f>
        <v>0</v>
      </c>
      <c r="K416" s="25" t="e">
        <f>10*('ButsMPG + Var'!$H$37*J416/MAX(J:J)+'ButsMPG + Var'!$G$37*H416/MAX(H:H))</f>
        <v>#DIV/0!</v>
      </c>
      <c r="L416" s="1">
        <f>IF(ISNA(VLOOKUP(B416,PrixMini!$B$3:$E$573,4,FALSE)),1,VLOOKUP(B416,PrixMini!$B$3:$E$573,4,FALSE))</f>
        <v>1</v>
      </c>
      <c r="M416" s="25" t="e">
        <f>IF(ROUND(CalculCotation!$D$3*EXP(CalculCotation!$C$3*K416)-CalculCotation!$D$3+1,0)&gt;L416,ROUND(CalculCotation!$D$3*EXP(CalculCotation!$C$3*K416)-CalculCotation!$D$3+1,0),L416)</f>
        <v>#DIV/0!</v>
      </c>
    </row>
    <row r="417" spans="2:13" x14ac:dyDescent="0.3">
      <c r="B417" s="1">
        <f>BDD!C420</f>
        <v>0</v>
      </c>
      <c r="C417" s="1">
        <f>BDD!B420</f>
        <v>0</v>
      </c>
      <c r="D417" s="1">
        <f>BDD!A420</f>
        <v>0</v>
      </c>
      <c r="E417" s="1">
        <f>BDD!D420</f>
        <v>0</v>
      </c>
      <c r="F417" s="1">
        <f>BDD!F420</f>
        <v>0</v>
      </c>
      <c r="G417" s="25">
        <f>'ButsMPG + Var'!$I$39*IF(C417="A",COUNTIF(BDD!H420:AR420,10)*'ButsMPG + Var'!$K$12+COUNTIF(BDD!H420:AR420,9)*'ButsMPG + Var'!$K$11+COUNTIF(BDD!H420:AR420,8)*'ButsMPG + Var'!$K$10+COUNTIF(BDD!H420:AR420,7)*'ButsMPG + Var'!$K$9+COUNTIF(BDD!H420:AR420,6)*'ButsMPG + Var'!$K$8+COUNTIF(BDD!H420:AR420,5)*'ButsMPG + Var'!$K$7+COUNTIF(BDD!H420:AR420,4)*'ButsMPG + Var'!$K$6+COUNTIF(BDD!H420:AR420,3)*'ButsMPG + Var'!$K$5+COUNTIF(BDD!H420:AR420,2)*'ButsMPG + Var'!$K$4+COUNTIF(BDD!H420:AR420,1)*'ButsMPG + Var'!$K$3,IF(C417="M",COUNTIF(BDD!H420:AR420,10)*'ButsMPG + Var'!$K$22+COUNTIF(BDD!H420:AR420,9)*'ButsMPG + Var'!$K$21+COUNTIF(BDD!H420:AR420,8)*'ButsMPG + Var'!$K$20+COUNTIF(BDD!H420:AR420,7)*'ButsMPG + Var'!$K$19+COUNTIF(BDD!H420:AR420,6)*'ButsMPG + Var'!$K$18+COUNTIF(BDD!H420:AR420,5)*'ButsMPG + Var'!$K$17+COUNTIF(BDD!H420:AR420,4)*'ButsMPG + Var'!$K$16+COUNTIF(BDD!H420:AR420,3)*'ButsMPG + Var'!$K$15+COUNTIF(BDD!H420:AR420,2)*'ButsMPG + Var'!$K$14+COUNTIF(BDD!H420:AR420,1)*'ButsMPG + Var'!$K$13,IF(C417="D",COUNTIF(BDD!H420:AR420,10)*'ButsMPG + Var'!$K$32+COUNTIF(BDD!H420:AR420,9)*'ButsMPG + Var'!$K$31+COUNTIF(BDD!H420:AR420,8)*'ButsMPG + Var'!$K$30+COUNTIF(BDD!H420:AR420,7)*'ButsMPG + Var'!$K$29+COUNTIF(BDD!H420:AR420,6)*'ButsMPG + Var'!$K$28+COUNTIF(BDD!H420:AR420,5)*'ButsMPG + Var'!$K$27+COUNTIF(BDD!H420:AR420,4)*'ButsMPG + Var'!$K$26+COUNTIF(BDD!H420:AR420,3)*'ButsMPG + Var'!$K$25+COUNTIF(BDD!H420:AR420,2)*'ButsMPG + Var'!$K$24+COUNTIF(BDD!H420:AR420,1)*'ButsMPG + Var'!$K$23,0)))</f>
        <v>0</v>
      </c>
      <c r="H417" s="25">
        <f t="shared" si="7"/>
        <v>0</v>
      </c>
      <c r="I417" s="25">
        <f>BDD!G420</f>
        <v>0</v>
      </c>
      <c r="J417" s="25">
        <f>SUMPRODUCT(BDD!H420:AS420,'ButsMPG + Var'!$B$46:$AM$46)</f>
        <v>0</v>
      </c>
      <c r="K417" s="25" t="e">
        <f>10*('ButsMPG + Var'!$H$37*J417/MAX(J:J)+'ButsMPG + Var'!$G$37*H417/MAX(H:H))</f>
        <v>#DIV/0!</v>
      </c>
      <c r="L417" s="1">
        <f>IF(ISNA(VLOOKUP(B417,PrixMini!$B$3:$E$573,4,FALSE)),1,VLOOKUP(B417,PrixMini!$B$3:$E$573,4,FALSE))</f>
        <v>1</v>
      </c>
      <c r="M417" s="25" t="e">
        <f>IF(ROUND(CalculCotation!$D$3*EXP(CalculCotation!$C$3*K417)-CalculCotation!$D$3+1,0)&gt;L417,ROUND(CalculCotation!$D$3*EXP(CalculCotation!$C$3*K417)-CalculCotation!$D$3+1,0),L417)</f>
        <v>#DIV/0!</v>
      </c>
    </row>
    <row r="418" spans="2:13" x14ac:dyDescent="0.3">
      <c r="B418" s="1">
        <f>BDD!C421</f>
        <v>0</v>
      </c>
      <c r="C418" s="1">
        <f>BDD!B421</f>
        <v>0</v>
      </c>
      <c r="D418" s="1">
        <f>BDD!A421</f>
        <v>0</v>
      </c>
      <c r="E418" s="1">
        <f>BDD!D421</f>
        <v>0</v>
      </c>
      <c r="F418" s="1">
        <f>BDD!F421</f>
        <v>0</v>
      </c>
      <c r="G418" s="25">
        <f>'ButsMPG + Var'!$I$39*IF(C418="A",COUNTIF(BDD!H421:AR421,10)*'ButsMPG + Var'!$K$12+COUNTIF(BDD!H421:AR421,9)*'ButsMPG + Var'!$K$11+COUNTIF(BDD!H421:AR421,8)*'ButsMPG + Var'!$K$10+COUNTIF(BDD!H421:AR421,7)*'ButsMPG + Var'!$K$9+COUNTIF(BDD!H421:AR421,6)*'ButsMPG + Var'!$K$8+COUNTIF(BDD!H421:AR421,5)*'ButsMPG + Var'!$K$7+COUNTIF(BDD!H421:AR421,4)*'ButsMPG + Var'!$K$6+COUNTIF(BDD!H421:AR421,3)*'ButsMPG + Var'!$K$5+COUNTIF(BDD!H421:AR421,2)*'ButsMPG + Var'!$K$4+COUNTIF(BDD!H421:AR421,1)*'ButsMPG + Var'!$K$3,IF(C418="M",COUNTIF(BDD!H421:AR421,10)*'ButsMPG + Var'!$K$22+COUNTIF(BDD!H421:AR421,9)*'ButsMPG + Var'!$K$21+COUNTIF(BDD!H421:AR421,8)*'ButsMPG + Var'!$K$20+COUNTIF(BDD!H421:AR421,7)*'ButsMPG + Var'!$K$19+COUNTIF(BDD!H421:AR421,6)*'ButsMPG + Var'!$K$18+COUNTIF(BDD!H421:AR421,5)*'ButsMPG + Var'!$K$17+COUNTIF(BDD!H421:AR421,4)*'ButsMPG + Var'!$K$16+COUNTIF(BDD!H421:AR421,3)*'ButsMPG + Var'!$K$15+COUNTIF(BDD!H421:AR421,2)*'ButsMPG + Var'!$K$14+COUNTIF(BDD!H421:AR421,1)*'ButsMPG + Var'!$K$13,IF(C418="D",COUNTIF(BDD!H421:AR421,10)*'ButsMPG + Var'!$K$32+COUNTIF(BDD!H421:AR421,9)*'ButsMPG + Var'!$K$31+COUNTIF(BDD!H421:AR421,8)*'ButsMPG + Var'!$K$30+COUNTIF(BDD!H421:AR421,7)*'ButsMPG + Var'!$K$29+COUNTIF(BDD!H421:AR421,6)*'ButsMPG + Var'!$K$28+COUNTIF(BDD!H421:AR421,5)*'ButsMPG + Var'!$K$27+COUNTIF(BDD!H421:AR421,4)*'ButsMPG + Var'!$K$26+COUNTIF(BDD!H421:AR421,3)*'ButsMPG + Var'!$K$25+COUNTIF(BDD!H421:AR421,2)*'ButsMPG + Var'!$K$24+COUNTIF(BDD!H421:AR421,1)*'ButsMPG + Var'!$K$23,0)))</f>
        <v>0</v>
      </c>
      <c r="H418" s="25">
        <f t="shared" si="7"/>
        <v>0</v>
      </c>
      <c r="I418" s="25">
        <f>BDD!G421</f>
        <v>0</v>
      </c>
      <c r="J418" s="25">
        <f>SUMPRODUCT(BDD!H421:AS421,'ButsMPG + Var'!$B$46:$AM$46)</f>
        <v>0</v>
      </c>
      <c r="K418" s="25" t="e">
        <f>10*('ButsMPG + Var'!$H$37*J418/MAX(J:J)+'ButsMPG + Var'!$G$37*H418/MAX(H:H))</f>
        <v>#DIV/0!</v>
      </c>
      <c r="L418" s="1">
        <f>IF(ISNA(VLOOKUP(B418,PrixMini!$B$3:$E$573,4,FALSE)),1,VLOOKUP(B418,PrixMini!$B$3:$E$573,4,FALSE))</f>
        <v>1</v>
      </c>
      <c r="M418" s="25" t="e">
        <f>IF(ROUND(CalculCotation!$D$3*EXP(CalculCotation!$C$3*K418)-CalculCotation!$D$3+1,0)&gt;L418,ROUND(CalculCotation!$D$3*EXP(CalculCotation!$C$3*K418)-CalculCotation!$D$3+1,0),L418)</f>
        <v>#DIV/0!</v>
      </c>
    </row>
    <row r="419" spans="2:13" x14ac:dyDescent="0.3">
      <c r="B419" s="1">
        <f>BDD!C422</f>
        <v>0</v>
      </c>
      <c r="C419" s="1">
        <f>BDD!B422</f>
        <v>0</v>
      </c>
      <c r="D419" s="1">
        <f>BDD!A422</f>
        <v>0</v>
      </c>
      <c r="E419" s="1">
        <f>BDD!D422</f>
        <v>0</v>
      </c>
      <c r="F419" s="1">
        <f>BDD!F422</f>
        <v>0</v>
      </c>
      <c r="G419" s="25">
        <f>'ButsMPG + Var'!$I$39*IF(C419="A",COUNTIF(BDD!H422:AR422,10)*'ButsMPG + Var'!$K$12+COUNTIF(BDD!H422:AR422,9)*'ButsMPG + Var'!$K$11+COUNTIF(BDD!H422:AR422,8)*'ButsMPG + Var'!$K$10+COUNTIF(BDD!H422:AR422,7)*'ButsMPG + Var'!$K$9+COUNTIF(BDD!H422:AR422,6)*'ButsMPG + Var'!$K$8+COUNTIF(BDD!H422:AR422,5)*'ButsMPG + Var'!$K$7+COUNTIF(BDD!H422:AR422,4)*'ButsMPG + Var'!$K$6+COUNTIF(BDD!H422:AR422,3)*'ButsMPG + Var'!$K$5+COUNTIF(BDD!H422:AR422,2)*'ButsMPG + Var'!$K$4+COUNTIF(BDD!H422:AR422,1)*'ButsMPG + Var'!$K$3,IF(C419="M",COUNTIF(BDD!H422:AR422,10)*'ButsMPG + Var'!$K$22+COUNTIF(BDD!H422:AR422,9)*'ButsMPG + Var'!$K$21+COUNTIF(BDD!H422:AR422,8)*'ButsMPG + Var'!$K$20+COUNTIF(BDD!H422:AR422,7)*'ButsMPG + Var'!$K$19+COUNTIF(BDD!H422:AR422,6)*'ButsMPG + Var'!$K$18+COUNTIF(BDD!H422:AR422,5)*'ButsMPG + Var'!$K$17+COUNTIF(BDD!H422:AR422,4)*'ButsMPG + Var'!$K$16+COUNTIF(BDD!H422:AR422,3)*'ButsMPG + Var'!$K$15+COUNTIF(BDD!H422:AR422,2)*'ButsMPG + Var'!$K$14+COUNTIF(BDD!H422:AR422,1)*'ButsMPG + Var'!$K$13,IF(C419="D",COUNTIF(BDD!H422:AR422,10)*'ButsMPG + Var'!$K$32+COUNTIF(BDD!H422:AR422,9)*'ButsMPG + Var'!$K$31+COUNTIF(BDD!H422:AR422,8)*'ButsMPG + Var'!$K$30+COUNTIF(BDD!H422:AR422,7)*'ButsMPG + Var'!$K$29+COUNTIF(BDD!H422:AR422,6)*'ButsMPG + Var'!$K$28+COUNTIF(BDD!H422:AR422,5)*'ButsMPG + Var'!$K$27+COUNTIF(BDD!H422:AR422,4)*'ButsMPG + Var'!$K$26+COUNTIF(BDD!H422:AR422,3)*'ButsMPG + Var'!$K$25+COUNTIF(BDD!H422:AR422,2)*'ButsMPG + Var'!$K$24+COUNTIF(BDD!H422:AR422,1)*'ButsMPG + Var'!$K$23,0)))</f>
        <v>0</v>
      </c>
      <c r="H419" s="25">
        <f t="shared" si="7"/>
        <v>0</v>
      </c>
      <c r="I419" s="25">
        <f>BDD!G422</f>
        <v>0</v>
      </c>
      <c r="J419" s="25">
        <f>SUMPRODUCT(BDD!H422:AS422,'ButsMPG + Var'!$B$46:$AM$46)</f>
        <v>0</v>
      </c>
      <c r="K419" s="25" t="e">
        <f>10*('ButsMPG + Var'!$H$37*J419/MAX(J:J)+'ButsMPG + Var'!$G$37*H419/MAX(H:H))</f>
        <v>#DIV/0!</v>
      </c>
      <c r="L419" s="1">
        <f>IF(ISNA(VLOOKUP(B419,PrixMini!$B$3:$E$573,4,FALSE)),1,VLOOKUP(B419,PrixMini!$B$3:$E$573,4,FALSE))</f>
        <v>1</v>
      </c>
      <c r="M419" s="25" t="e">
        <f>IF(ROUND(CalculCotation!$D$3*EXP(CalculCotation!$C$3*K419)-CalculCotation!$D$3+1,0)&gt;L419,ROUND(CalculCotation!$D$3*EXP(CalculCotation!$C$3*K419)-CalculCotation!$D$3+1,0),L419)</f>
        <v>#DIV/0!</v>
      </c>
    </row>
    <row r="420" spans="2:13" x14ac:dyDescent="0.3">
      <c r="B420" s="1">
        <f>BDD!C423</f>
        <v>0</v>
      </c>
      <c r="C420" s="1">
        <f>BDD!B423</f>
        <v>0</v>
      </c>
      <c r="D420" s="1">
        <f>BDD!A423</f>
        <v>0</v>
      </c>
      <c r="E420" s="1">
        <f>BDD!D423</f>
        <v>0</v>
      </c>
      <c r="F420" s="1">
        <f>BDD!F423</f>
        <v>0</v>
      </c>
      <c r="G420" s="25">
        <f>'ButsMPG + Var'!$I$39*IF(C420="A",COUNTIF(BDD!H423:AR423,10)*'ButsMPG + Var'!$K$12+COUNTIF(BDD!H423:AR423,9)*'ButsMPG + Var'!$K$11+COUNTIF(BDD!H423:AR423,8)*'ButsMPG + Var'!$K$10+COUNTIF(BDD!H423:AR423,7)*'ButsMPG + Var'!$K$9+COUNTIF(BDD!H423:AR423,6)*'ButsMPG + Var'!$K$8+COUNTIF(BDD!H423:AR423,5)*'ButsMPG + Var'!$K$7+COUNTIF(BDD!H423:AR423,4)*'ButsMPG + Var'!$K$6+COUNTIF(BDD!H423:AR423,3)*'ButsMPG + Var'!$K$5+COUNTIF(BDD!H423:AR423,2)*'ButsMPG + Var'!$K$4+COUNTIF(BDD!H423:AR423,1)*'ButsMPG + Var'!$K$3,IF(C420="M",COUNTIF(BDD!H423:AR423,10)*'ButsMPG + Var'!$K$22+COUNTIF(BDD!H423:AR423,9)*'ButsMPG + Var'!$K$21+COUNTIF(BDD!H423:AR423,8)*'ButsMPG + Var'!$K$20+COUNTIF(BDD!H423:AR423,7)*'ButsMPG + Var'!$K$19+COUNTIF(BDD!H423:AR423,6)*'ButsMPG + Var'!$K$18+COUNTIF(BDD!H423:AR423,5)*'ButsMPG + Var'!$K$17+COUNTIF(BDD!H423:AR423,4)*'ButsMPG + Var'!$K$16+COUNTIF(BDD!H423:AR423,3)*'ButsMPG + Var'!$K$15+COUNTIF(BDD!H423:AR423,2)*'ButsMPG + Var'!$K$14+COUNTIF(BDD!H423:AR423,1)*'ButsMPG + Var'!$K$13,IF(C420="D",COUNTIF(BDD!H423:AR423,10)*'ButsMPG + Var'!$K$32+COUNTIF(BDD!H423:AR423,9)*'ButsMPG + Var'!$K$31+COUNTIF(BDD!H423:AR423,8)*'ButsMPG + Var'!$K$30+COUNTIF(BDD!H423:AR423,7)*'ButsMPG + Var'!$K$29+COUNTIF(BDD!H423:AR423,6)*'ButsMPG + Var'!$K$28+COUNTIF(BDD!H423:AR423,5)*'ButsMPG + Var'!$K$27+COUNTIF(BDD!H423:AR423,4)*'ButsMPG + Var'!$K$26+COUNTIF(BDD!H423:AR423,3)*'ButsMPG + Var'!$K$25+COUNTIF(BDD!H423:AR423,2)*'ButsMPG + Var'!$K$24+COUNTIF(BDD!H423:AR423,1)*'ButsMPG + Var'!$K$23,0)))</f>
        <v>0</v>
      </c>
      <c r="H420" s="25">
        <f t="shared" si="7"/>
        <v>0</v>
      </c>
      <c r="I420" s="25">
        <f>BDD!G423</f>
        <v>0</v>
      </c>
      <c r="J420" s="25">
        <f>SUMPRODUCT(BDD!H423:AS423,'ButsMPG + Var'!$B$46:$AM$46)</f>
        <v>0</v>
      </c>
      <c r="K420" s="25" t="e">
        <f>10*('ButsMPG + Var'!$H$37*J420/MAX(J:J)+'ButsMPG + Var'!$G$37*H420/MAX(H:H))</f>
        <v>#DIV/0!</v>
      </c>
      <c r="L420" s="1">
        <f>IF(ISNA(VLOOKUP(B420,PrixMini!$B$3:$E$573,4,FALSE)),1,VLOOKUP(B420,PrixMini!$B$3:$E$573,4,FALSE))</f>
        <v>1</v>
      </c>
      <c r="M420" s="25" t="e">
        <f>IF(ROUND(CalculCotation!$D$3*EXP(CalculCotation!$C$3*K420)-CalculCotation!$D$3+1,0)&gt;L420,ROUND(CalculCotation!$D$3*EXP(CalculCotation!$C$3*K420)-CalculCotation!$D$3+1,0),L420)</f>
        <v>#DIV/0!</v>
      </c>
    </row>
    <row r="421" spans="2:13" x14ac:dyDescent="0.3">
      <c r="B421" s="1">
        <f>BDD!C424</f>
        <v>0</v>
      </c>
      <c r="C421" s="1">
        <f>BDD!B424</f>
        <v>0</v>
      </c>
      <c r="D421" s="1">
        <f>BDD!A424</f>
        <v>0</v>
      </c>
      <c r="E421" s="1">
        <f>BDD!D424</f>
        <v>0</v>
      </c>
      <c r="F421" s="1">
        <f>BDD!F424</f>
        <v>0</v>
      </c>
      <c r="G421" s="25">
        <f>'ButsMPG + Var'!$I$39*IF(C421="A",COUNTIF(BDD!H424:AR424,10)*'ButsMPG + Var'!$K$12+COUNTIF(BDD!H424:AR424,9)*'ButsMPG + Var'!$K$11+COUNTIF(BDD!H424:AR424,8)*'ButsMPG + Var'!$K$10+COUNTIF(BDD!H424:AR424,7)*'ButsMPG + Var'!$K$9+COUNTIF(BDD!H424:AR424,6)*'ButsMPG + Var'!$K$8+COUNTIF(BDD!H424:AR424,5)*'ButsMPG + Var'!$K$7+COUNTIF(BDD!H424:AR424,4)*'ButsMPG + Var'!$K$6+COUNTIF(BDD!H424:AR424,3)*'ButsMPG + Var'!$K$5+COUNTIF(BDD!H424:AR424,2)*'ButsMPG + Var'!$K$4+COUNTIF(BDD!H424:AR424,1)*'ButsMPG + Var'!$K$3,IF(C421="M",COUNTIF(BDD!H424:AR424,10)*'ButsMPG + Var'!$K$22+COUNTIF(BDD!H424:AR424,9)*'ButsMPG + Var'!$K$21+COUNTIF(BDD!H424:AR424,8)*'ButsMPG + Var'!$K$20+COUNTIF(BDD!H424:AR424,7)*'ButsMPG + Var'!$K$19+COUNTIF(BDD!H424:AR424,6)*'ButsMPG + Var'!$K$18+COUNTIF(BDD!H424:AR424,5)*'ButsMPG + Var'!$K$17+COUNTIF(BDD!H424:AR424,4)*'ButsMPG + Var'!$K$16+COUNTIF(BDD!H424:AR424,3)*'ButsMPG + Var'!$K$15+COUNTIF(BDD!H424:AR424,2)*'ButsMPG + Var'!$K$14+COUNTIF(BDD!H424:AR424,1)*'ButsMPG + Var'!$K$13,IF(C421="D",COUNTIF(BDD!H424:AR424,10)*'ButsMPG + Var'!$K$32+COUNTIF(BDD!H424:AR424,9)*'ButsMPG + Var'!$K$31+COUNTIF(BDD!H424:AR424,8)*'ButsMPG + Var'!$K$30+COUNTIF(BDD!H424:AR424,7)*'ButsMPG + Var'!$K$29+COUNTIF(BDD!H424:AR424,6)*'ButsMPG + Var'!$K$28+COUNTIF(BDD!H424:AR424,5)*'ButsMPG + Var'!$K$27+COUNTIF(BDD!H424:AR424,4)*'ButsMPG + Var'!$K$26+COUNTIF(BDD!H424:AR424,3)*'ButsMPG + Var'!$K$25+COUNTIF(BDD!H424:AR424,2)*'ButsMPG + Var'!$K$24+COUNTIF(BDD!H424:AR424,1)*'ButsMPG + Var'!$K$23,0)))</f>
        <v>0</v>
      </c>
      <c r="H421" s="25">
        <f t="shared" si="7"/>
        <v>0</v>
      </c>
      <c r="I421" s="25">
        <f>BDD!G424</f>
        <v>0</v>
      </c>
      <c r="J421" s="25">
        <f>SUMPRODUCT(BDD!H424:AS424,'ButsMPG + Var'!$B$46:$AM$46)</f>
        <v>0</v>
      </c>
      <c r="K421" s="25" t="e">
        <f>10*('ButsMPG + Var'!$H$37*J421/MAX(J:J)+'ButsMPG + Var'!$G$37*H421/MAX(H:H))</f>
        <v>#DIV/0!</v>
      </c>
      <c r="L421" s="1">
        <f>IF(ISNA(VLOOKUP(B421,PrixMini!$B$3:$E$573,4,FALSE)),1,VLOOKUP(B421,PrixMini!$B$3:$E$573,4,FALSE))</f>
        <v>1</v>
      </c>
      <c r="M421" s="25" t="e">
        <f>IF(ROUND(CalculCotation!$D$3*EXP(CalculCotation!$C$3*K421)-CalculCotation!$D$3+1,0)&gt;L421,ROUND(CalculCotation!$D$3*EXP(CalculCotation!$C$3*K421)-CalculCotation!$D$3+1,0),L421)</f>
        <v>#DIV/0!</v>
      </c>
    </row>
    <row r="422" spans="2:13" x14ac:dyDescent="0.3">
      <c r="B422" s="1">
        <f>BDD!C425</f>
        <v>0</v>
      </c>
      <c r="C422" s="1">
        <f>BDD!B425</f>
        <v>0</v>
      </c>
      <c r="D422" s="1">
        <f>BDD!A425</f>
        <v>0</v>
      </c>
      <c r="E422" s="1">
        <f>BDD!D425</f>
        <v>0</v>
      </c>
      <c r="F422" s="1">
        <f>BDD!F425</f>
        <v>0</v>
      </c>
      <c r="G422" s="25">
        <f>'ButsMPG + Var'!$I$39*IF(C422="A",COUNTIF(BDD!H425:AR425,10)*'ButsMPG + Var'!$K$12+COUNTIF(BDD!H425:AR425,9)*'ButsMPG + Var'!$K$11+COUNTIF(BDD!H425:AR425,8)*'ButsMPG + Var'!$K$10+COUNTIF(BDD!H425:AR425,7)*'ButsMPG + Var'!$K$9+COUNTIF(BDD!H425:AR425,6)*'ButsMPG + Var'!$K$8+COUNTIF(BDD!H425:AR425,5)*'ButsMPG + Var'!$K$7+COUNTIF(BDD!H425:AR425,4)*'ButsMPG + Var'!$K$6+COUNTIF(BDD!H425:AR425,3)*'ButsMPG + Var'!$K$5+COUNTIF(BDD!H425:AR425,2)*'ButsMPG + Var'!$K$4+COUNTIF(BDD!H425:AR425,1)*'ButsMPG + Var'!$K$3,IF(C422="M",COUNTIF(BDD!H425:AR425,10)*'ButsMPG + Var'!$K$22+COUNTIF(BDD!H425:AR425,9)*'ButsMPG + Var'!$K$21+COUNTIF(BDD!H425:AR425,8)*'ButsMPG + Var'!$K$20+COUNTIF(BDD!H425:AR425,7)*'ButsMPG + Var'!$K$19+COUNTIF(BDD!H425:AR425,6)*'ButsMPG + Var'!$K$18+COUNTIF(BDD!H425:AR425,5)*'ButsMPG + Var'!$K$17+COUNTIF(BDD!H425:AR425,4)*'ButsMPG + Var'!$K$16+COUNTIF(BDD!H425:AR425,3)*'ButsMPG + Var'!$K$15+COUNTIF(BDD!H425:AR425,2)*'ButsMPG + Var'!$K$14+COUNTIF(BDD!H425:AR425,1)*'ButsMPG + Var'!$K$13,IF(C422="D",COUNTIF(BDD!H425:AR425,10)*'ButsMPG + Var'!$K$32+COUNTIF(BDD!H425:AR425,9)*'ButsMPG + Var'!$K$31+COUNTIF(BDD!H425:AR425,8)*'ButsMPG + Var'!$K$30+COUNTIF(BDD!H425:AR425,7)*'ButsMPG + Var'!$K$29+COUNTIF(BDD!H425:AR425,6)*'ButsMPG + Var'!$K$28+COUNTIF(BDD!H425:AR425,5)*'ButsMPG + Var'!$K$27+COUNTIF(BDD!H425:AR425,4)*'ButsMPG + Var'!$K$26+COUNTIF(BDD!H425:AR425,3)*'ButsMPG + Var'!$K$25+COUNTIF(BDD!H425:AR425,2)*'ButsMPG + Var'!$K$24+COUNTIF(BDD!H425:AR425,1)*'ButsMPG + Var'!$K$23,0)))</f>
        <v>0</v>
      </c>
      <c r="H422" s="25">
        <f t="shared" si="7"/>
        <v>0</v>
      </c>
      <c r="I422" s="25">
        <f>BDD!G425</f>
        <v>0</v>
      </c>
      <c r="J422" s="25">
        <f>SUMPRODUCT(BDD!H425:AS425,'ButsMPG + Var'!$B$46:$AM$46)</f>
        <v>0</v>
      </c>
      <c r="K422" s="25" t="e">
        <f>10*('ButsMPG + Var'!$H$37*J422/MAX(J:J)+'ButsMPG + Var'!$G$37*H422/MAX(H:H))</f>
        <v>#DIV/0!</v>
      </c>
      <c r="L422" s="1">
        <f>IF(ISNA(VLOOKUP(B422,PrixMini!$B$3:$E$573,4,FALSE)),1,VLOOKUP(B422,PrixMini!$B$3:$E$573,4,FALSE))</f>
        <v>1</v>
      </c>
      <c r="M422" s="25" t="e">
        <f>IF(ROUND(CalculCotation!$D$3*EXP(CalculCotation!$C$3*K422)-CalculCotation!$D$3+1,0)&gt;L422,ROUND(CalculCotation!$D$3*EXP(CalculCotation!$C$3*K422)-CalculCotation!$D$3+1,0),L422)</f>
        <v>#DIV/0!</v>
      </c>
    </row>
    <row r="423" spans="2:13" x14ac:dyDescent="0.3">
      <c r="B423" s="1">
        <f>BDD!C426</f>
        <v>0</v>
      </c>
      <c r="C423" s="1">
        <f>BDD!B426</f>
        <v>0</v>
      </c>
      <c r="D423" s="1">
        <f>BDD!A426</f>
        <v>0</v>
      </c>
      <c r="E423" s="1">
        <f>BDD!D426</f>
        <v>0</v>
      </c>
      <c r="F423" s="1">
        <f>BDD!F426</f>
        <v>0</v>
      </c>
      <c r="G423" s="25">
        <f>'ButsMPG + Var'!$I$39*IF(C423="A",COUNTIF(BDD!H426:AR426,10)*'ButsMPG + Var'!$K$12+COUNTIF(BDD!H426:AR426,9)*'ButsMPG + Var'!$K$11+COUNTIF(BDD!H426:AR426,8)*'ButsMPG + Var'!$K$10+COUNTIF(BDD!H426:AR426,7)*'ButsMPG + Var'!$K$9+COUNTIF(BDD!H426:AR426,6)*'ButsMPG + Var'!$K$8+COUNTIF(BDD!H426:AR426,5)*'ButsMPG + Var'!$K$7+COUNTIF(BDD!H426:AR426,4)*'ButsMPG + Var'!$K$6+COUNTIF(BDD!H426:AR426,3)*'ButsMPG + Var'!$K$5+COUNTIF(BDD!H426:AR426,2)*'ButsMPG + Var'!$K$4+COUNTIF(BDD!H426:AR426,1)*'ButsMPG + Var'!$K$3,IF(C423="M",COUNTIF(BDD!H426:AR426,10)*'ButsMPG + Var'!$K$22+COUNTIF(BDD!H426:AR426,9)*'ButsMPG + Var'!$K$21+COUNTIF(BDD!H426:AR426,8)*'ButsMPG + Var'!$K$20+COUNTIF(BDD!H426:AR426,7)*'ButsMPG + Var'!$K$19+COUNTIF(BDD!H426:AR426,6)*'ButsMPG + Var'!$K$18+COUNTIF(BDD!H426:AR426,5)*'ButsMPG + Var'!$K$17+COUNTIF(BDD!H426:AR426,4)*'ButsMPG + Var'!$K$16+COUNTIF(BDD!H426:AR426,3)*'ButsMPG + Var'!$K$15+COUNTIF(BDD!H426:AR426,2)*'ButsMPG + Var'!$K$14+COUNTIF(BDD!H426:AR426,1)*'ButsMPG + Var'!$K$13,IF(C423="D",COUNTIF(BDD!H426:AR426,10)*'ButsMPG + Var'!$K$32+COUNTIF(BDD!H426:AR426,9)*'ButsMPG + Var'!$K$31+COUNTIF(BDD!H426:AR426,8)*'ButsMPG + Var'!$K$30+COUNTIF(BDD!H426:AR426,7)*'ButsMPG + Var'!$K$29+COUNTIF(BDD!H426:AR426,6)*'ButsMPG + Var'!$K$28+COUNTIF(BDD!H426:AR426,5)*'ButsMPG + Var'!$K$27+COUNTIF(BDD!H426:AR426,4)*'ButsMPG + Var'!$K$26+COUNTIF(BDD!H426:AR426,3)*'ButsMPG + Var'!$K$25+COUNTIF(BDD!H426:AR426,2)*'ButsMPG + Var'!$K$24+COUNTIF(BDD!H426:AR426,1)*'ButsMPG + Var'!$K$23,0)))</f>
        <v>0</v>
      </c>
      <c r="H423" s="25">
        <f t="shared" si="7"/>
        <v>0</v>
      </c>
      <c r="I423" s="25">
        <f>BDD!G426</f>
        <v>0</v>
      </c>
      <c r="J423" s="25">
        <f>SUMPRODUCT(BDD!H426:AS426,'ButsMPG + Var'!$B$46:$AM$46)</f>
        <v>0</v>
      </c>
      <c r="K423" s="25" t="e">
        <f>10*('ButsMPG + Var'!$H$37*J423/MAX(J:J)+'ButsMPG + Var'!$G$37*H423/MAX(H:H))</f>
        <v>#DIV/0!</v>
      </c>
      <c r="L423" s="1">
        <f>IF(ISNA(VLOOKUP(B423,PrixMini!$B$3:$E$573,4,FALSE)),1,VLOOKUP(B423,PrixMini!$B$3:$E$573,4,FALSE))</f>
        <v>1</v>
      </c>
      <c r="M423" s="25" t="e">
        <f>IF(ROUND(CalculCotation!$D$3*EXP(CalculCotation!$C$3*K423)-CalculCotation!$D$3+1,0)&gt;L423,ROUND(CalculCotation!$D$3*EXP(CalculCotation!$C$3*K423)-CalculCotation!$D$3+1,0),L423)</f>
        <v>#DIV/0!</v>
      </c>
    </row>
    <row r="424" spans="2:13" x14ac:dyDescent="0.3">
      <c r="B424" s="1">
        <f>BDD!C427</f>
        <v>0</v>
      </c>
      <c r="C424" s="1">
        <f>BDD!B427</f>
        <v>0</v>
      </c>
      <c r="D424" s="1">
        <f>BDD!A427</f>
        <v>0</v>
      </c>
      <c r="E424" s="1">
        <f>BDD!D427</f>
        <v>0</v>
      </c>
      <c r="F424" s="1">
        <f>BDD!F427</f>
        <v>0</v>
      </c>
      <c r="G424" s="25">
        <f>'ButsMPG + Var'!$I$39*IF(C424="A",COUNTIF(BDD!H427:AR427,10)*'ButsMPG + Var'!$K$12+COUNTIF(BDD!H427:AR427,9)*'ButsMPG + Var'!$K$11+COUNTIF(BDD!H427:AR427,8)*'ButsMPG + Var'!$K$10+COUNTIF(BDD!H427:AR427,7)*'ButsMPG + Var'!$K$9+COUNTIF(BDD!H427:AR427,6)*'ButsMPG + Var'!$K$8+COUNTIF(BDD!H427:AR427,5)*'ButsMPG + Var'!$K$7+COUNTIF(BDD!H427:AR427,4)*'ButsMPG + Var'!$K$6+COUNTIF(BDD!H427:AR427,3)*'ButsMPG + Var'!$K$5+COUNTIF(BDD!H427:AR427,2)*'ButsMPG + Var'!$K$4+COUNTIF(BDD!H427:AR427,1)*'ButsMPG + Var'!$K$3,IF(C424="M",COUNTIF(BDD!H427:AR427,10)*'ButsMPG + Var'!$K$22+COUNTIF(BDD!H427:AR427,9)*'ButsMPG + Var'!$K$21+COUNTIF(BDD!H427:AR427,8)*'ButsMPG + Var'!$K$20+COUNTIF(BDD!H427:AR427,7)*'ButsMPG + Var'!$K$19+COUNTIF(BDD!H427:AR427,6)*'ButsMPG + Var'!$K$18+COUNTIF(BDD!H427:AR427,5)*'ButsMPG + Var'!$K$17+COUNTIF(BDD!H427:AR427,4)*'ButsMPG + Var'!$K$16+COUNTIF(BDD!H427:AR427,3)*'ButsMPG + Var'!$K$15+COUNTIF(BDD!H427:AR427,2)*'ButsMPG + Var'!$K$14+COUNTIF(BDD!H427:AR427,1)*'ButsMPG + Var'!$K$13,IF(C424="D",COUNTIF(BDD!H427:AR427,10)*'ButsMPG + Var'!$K$32+COUNTIF(BDD!H427:AR427,9)*'ButsMPG + Var'!$K$31+COUNTIF(BDD!H427:AR427,8)*'ButsMPG + Var'!$K$30+COUNTIF(BDD!H427:AR427,7)*'ButsMPG + Var'!$K$29+COUNTIF(BDD!H427:AR427,6)*'ButsMPG + Var'!$K$28+COUNTIF(BDD!H427:AR427,5)*'ButsMPG + Var'!$K$27+COUNTIF(BDD!H427:AR427,4)*'ButsMPG + Var'!$K$26+COUNTIF(BDD!H427:AR427,3)*'ButsMPG + Var'!$K$25+COUNTIF(BDD!H427:AR427,2)*'ButsMPG + Var'!$K$24+COUNTIF(BDD!H427:AR427,1)*'ButsMPG + Var'!$K$23,0)))</f>
        <v>0</v>
      </c>
      <c r="H424" s="25">
        <f t="shared" si="7"/>
        <v>0</v>
      </c>
      <c r="I424" s="25">
        <f>BDD!G427</f>
        <v>0</v>
      </c>
      <c r="J424" s="25">
        <f>SUMPRODUCT(BDD!H427:AS427,'ButsMPG + Var'!$B$46:$AM$46)</f>
        <v>0</v>
      </c>
      <c r="K424" s="25" t="e">
        <f>10*('ButsMPG + Var'!$H$37*J424/MAX(J:J)+'ButsMPG + Var'!$G$37*H424/MAX(H:H))</f>
        <v>#DIV/0!</v>
      </c>
      <c r="L424" s="1">
        <f>IF(ISNA(VLOOKUP(B424,PrixMini!$B$3:$E$573,4,FALSE)),1,VLOOKUP(B424,PrixMini!$B$3:$E$573,4,FALSE))</f>
        <v>1</v>
      </c>
      <c r="M424" s="25" t="e">
        <f>IF(ROUND(CalculCotation!$D$3*EXP(CalculCotation!$C$3*K424)-CalculCotation!$D$3+1,0)&gt;L424,ROUND(CalculCotation!$D$3*EXP(CalculCotation!$C$3*K424)-CalculCotation!$D$3+1,0),L424)</f>
        <v>#DIV/0!</v>
      </c>
    </row>
    <row r="425" spans="2:13" x14ac:dyDescent="0.3">
      <c r="B425" s="1">
        <f>BDD!C428</f>
        <v>0</v>
      </c>
      <c r="C425" s="1">
        <f>BDD!B428</f>
        <v>0</v>
      </c>
      <c r="D425" s="1">
        <f>BDD!A428</f>
        <v>0</v>
      </c>
      <c r="E425" s="1">
        <f>BDD!D428</f>
        <v>0</v>
      </c>
      <c r="F425" s="1">
        <f>BDD!F428</f>
        <v>0</v>
      </c>
      <c r="G425" s="25">
        <f>'ButsMPG + Var'!$I$39*IF(C425="A",COUNTIF(BDD!H428:AR428,10)*'ButsMPG + Var'!$K$12+COUNTIF(BDD!H428:AR428,9)*'ButsMPG + Var'!$K$11+COUNTIF(BDD!H428:AR428,8)*'ButsMPG + Var'!$K$10+COUNTIF(BDD!H428:AR428,7)*'ButsMPG + Var'!$K$9+COUNTIF(BDD!H428:AR428,6)*'ButsMPG + Var'!$K$8+COUNTIF(BDD!H428:AR428,5)*'ButsMPG + Var'!$K$7+COUNTIF(BDD!H428:AR428,4)*'ButsMPG + Var'!$K$6+COUNTIF(BDD!H428:AR428,3)*'ButsMPG + Var'!$K$5+COUNTIF(BDD!H428:AR428,2)*'ButsMPG + Var'!$K$4+COUNTIF(BDD!H428:AR428,1)*'ButsMPG + Var'!$K$3,IF(C425="M",COUNTIF(BDD!H428:AR428,10)*'ButsMPG + Var'!$K$22+COUNTIF(BDD!H428:AR428,9)*'ButsMPG + Var'!$K$21+COUNTIF(BDD!H428:AR428,8)*'ButsMPG + Var'!$K$20+COUNTIF(BDD!H428:AR428,7)*'ButsMPG + Var'!$K$19+COUNTIF(BDD!H428:AR428,6)*'ButsMPG + Var'!$K$18+COUNTIF(BDD!H428:AR428,5)*'ButsMPG + Var'!$K$17+COUNTIF(BDD!H428:AR428,4)*'ButsMPG + Var'!$K$16+COUNTIF(BDD!H428:AR428,3)*'ButsMPG + Var'!$K$15+COUNTIF(BDD!H428:AR428,2)*'ButsMPG + Var'!$K$14+COUNTIF(BDD!H428:AR428,1)*'ButsMPG + Var'!$K$13,IF(C425="D",COUNTIF(BDD!H428:AR428,10)*'ButsMPG + Var'!$K$32+COUNTIF(BDD!H428:AR428,9)*'ButsMPG + Var'!$K$31+COUNTIF(BDD!H428:AR428,8)*'ButsMPG + Var'!$K$30+COUNTIF(BDD!H428:AR428,7)*'ButsMPG + Var'!$K$29+COUNTIF(BDD!H428:AR428,6)*'ButsMPG + Var'!$K$28+COUNTIF(BDD!H428:AR428,5)*'ButsMPG + Var'!$K$27+COUNTIF(BDD!H428:AR428,4)*'ButsMPG + Var'!$K$26+COUNTIF(BDD!H428:AR428,3)*'ButsMPG + Var'!$K$25+COUNTIF(BDD!H428:AR428,2)*'ButsMPG + Var'!$K$24+COUNTIF(BDD!H428:AR428,1)*'ButsMPG + Var'!$K$23,0)))</f>
        <v>0</v>
      </c>
      <c r="H425" s="25">
        <f t="shared" si="7"/>
        <v>0</v>
      </c>
      <c r="I425" s="25">
        <f>BDD!G428</f>
        <v>0</v>
      </c>
      <c r="J425" s="25">
        <f>SUMPRODUCT(BDD!H428:AS428,'ButsMPG + Var'!$B$46:$AM$46)</f>
        <v>0</v>
      </c>
      <c r="K425" s="25" t="e">
        <f>10*('ButsMPG + Var'!$H$37*J425/MAX(J:J)+'ButsMPG + Var'!$G$37*H425/MAX(H:H))</f>
        <v>#DIV/0!</v>
      </c>
      <c r="L425" s="1">
        <f>IF(ISNA(VLOOKUP(B425,PrixMini!$B$3:$E$573,4,FALSE)),1,VLOOKUP(B425,PrixMini!$B$3:$E$573,4,FALSE))</f>
        <v>1</v>
      </c>
      <c r="M425" s="25" t="e">
        <f>IF(ROUND(CalculCotation!$D$3*EXP(CalculCotation!$C$3*K425)-CalculCotation!$D$3+1,0)&gt;L425,ROUND(CalculCotation!$D$3*EXP(CalculCotation!$C$3*K425)-CalculCotation!$D$3+1,0),L425)</f>
        <v>#DIV/0!</v>
      </c>
    </row>
    <row r="426" spans="2:13" x14ac:dyDescent="0.3">
      <c r="B426" s="1">
        <f>BDD!C429</f>
        <v>0</v>
      </c>
      <c r="C426" s="1">
        <f>BDD!B429</f>
        <v>0</v>
      </c>
      <c r="D426" s="1">
        <f>BDD!A429</f>
        <v>0</v>
      </c>
      <c r="E426" s="1">
        <f>BDD!D429</f>
        <v>0</v>
      </c>
      <c r="F426" s="1">
        <f>BDD!F429</f>
        <v>0</v>
      </c>
      <c r="G426" s="25">
        <f>'ButsMPG + Var'!$I$39*IF(C426="A",COUNTIF(BDD!H429:AR429,10)*'ButsMPG + Var'!$K$12+COUNTIF(BDD!H429:AR429,9)*'ButsMPG + Var'!$K$11+COUNTIF(BDD!H429:AR429,8)*'ButsMPG + Var'!$K$10+COUNTIF(BDD!H429:AR429,7)*'ButsMPG + Var'!$K$9+COUNTIF(BDD!H429:AR429,6)*'ButsMPG + Var'!$K$8+COUNTIF(BDD!H429:AR429,5)*'ButsMPG + Var'!$K$7+COUNTIF(BDD!H429:AR429,4)*'ButsMPG + Var'!$K$6+COUNTIF(BDD!H429:AR429,3)*'ButsMPG + Var'!$K$5+COUNTIF(BDD!H429:AR429,2)*'ButsMPG + Var'!$K$4+COUNTIF(BDD!H429:AR429,1)*'ButsMPG + Var'!$K$3,IF(C426="M",COUNTIF(BDD!H429:AR429,10)*'ButsMPG + Var'!$K$22+COUNTIF(BDD!H429:AR429,9)*'ButsMPG + Var'!$K$21+COUNTIF(BDD!H429:AR429,8)*'ButsMPG + Var'!$K$20+COUNTIF(BDD!H429:AR429,7)*'ButsMPG + Var'!$K$19+COUNTIF(BDD!H429:AR429,6)*'ButsMPG + Var'!$K$18+COUNTIF(BDD!H429:AR429,5)*'ButsMPG + Var'!$K$17+COUNTIF(BDD!H429:AR429,4)*'ButsMPG + Var'!$K$16+COUNTIF(BDD!H429:AR429,3)*'ButsMPG + Var'!$K$15+COUNTIF(BDD!H429:AR429,2)*'ButsMPG + Var'!$K$14+COUNTIF(BDD!H429:AR429,1)*'ButsMPG + Var'!$K$13,IF(C426="D",COUNTIF(BDD!H429:AR429,10)*'ButsMPG + Var'!$K$32+COUNTIF(BDD!H429:AR429,9)*'ButsMPG + Var'!$K$31+COUNTIF(BDD!H429:AR429,8)*'ButsMPG + Var'!$K$30+COUNTIF(BDD!H429:AR429,7)*'ButsMPG + Var'!$K$29+COUNTIF(BDD!H429:AR429,6)*'ButsMPG + Var'!$K$28+COUNTIF(BDD!H429:AR429,5)*'ButsMPG + Var'!$K$27+COUNTIF(BDD!H429:AR429,4)*'ButsMPG + Var'!$K$26+COUNTIF(BDD!H429:AR429,3)*'ButsMPG + Var'!$K$25+COUNTIF(BDD!H429:AR429,2)*'ButsMPG + Var'!$K$24+COUNTIF(BDD!H429:AR429,1)*'ButsMPG + Var'!$K$23,0)))</f>
        <v>0</v>
      </c>
      <c r="H426" s="25">
        <f t="shared" si="7"/>
        <v>0</v>
      </c>
      <c r="I426" s="25">
        <f>BDD!G429</f>
        <v>0</v>
      </c>
      <c r="J426" s="25">
        <f>SUMPRODUCT(BDD!H429:AS429,'ButsMPG + Var'!$B$46:$AM$46)</f>
        <v>0</v>
      </c>
      <c r="K426" s="25" t="e">
        <f>10*('ButsMPG + Var'!$H$37*J426/MAX(J:J)+'ButsMPG + Var'!$G$37*H426/MAX(H:H))</f>
        <v>#DIV/0!</v>
      </c>
      <c r="L426" s="1">
        <f>IF(ISNA(VLOOKUP(B426,PrixMini!$B$3:$E$573,4,FALSE)),1,VLOOKUP(B426,PrixMini!$B$3:$E$573,4,FALSE))</f>
        <v>1</v>
      </c>
      <c r="M426" s="25" t="e">
        <f>IF(ROUND(CalculCotation!$D$3*EXP(CalculCotation!$C$3*K426)-CalculCotation!$D$3+1,0)&gt;L426,ROUND(CalculCotation!$D$3*EXP(CalculCotation!$C$3*K426)-CalculCotation!$D$3+1,0),L426)</f>
        <v>#DIV/0!</v>
      </c>
    </row>
    <row r="427" spans="2:13" x14ac:dyDescent="0.3">
      <c r="B427" s="1">
        <f>BDD!C430</f>
        <v>0</v>
      </c>
      <c r="C427" s="1">
        <f>BDD!B430</f>
        <v>0</v>
      </c>
      <c r="D427" s="1">
        <f>BDD!A430</f>
        <v>0</v>
      </c>
      <c r="E427" s="1">
        <f>BDD!D430</f>
        <v>0</v>
      </c>
      <c r="F427" s="1">
        <f>BDD!F430</f>
        <v>0</v>
      </c>
      <c r="G427" s="25">
        <f>'ButsMPG + Var'!$I$39*IF(C427="A",COUNTIF(BDD!H430:AR430,10)*'ButsMPG + Var'!$K$12+COUNTIF(BDD!H430:AR430,9)*'ButsMPG + Var'!$K$11+COUNTIF(BDD!H430:AR430,8)*'ButsMPG + Var'!$K$10+COUNTIF(BDD!H430:AR430,7)*'ButsMPG + Var'!$K$9+COUNTIF(BDD!H430:AR430,6)*'ButsMPG + Var'!$K$8+COUNTIF(BDD!H430:AR430,5)*'ButsMPG + Var'!$K$7+COUNTIF(BDD!H430:AR430,4)*'ButsMPG + Var'!$K$6+COUNTIF(BDD!H430:AR430,3)*'ButsMPG + Var'!$K$5+COUNTIF(BDD!H430:AR430,2)*'ButsMPG + Var'!$K$4+COUNTIF(BDD!H430:AR430,1)*'ButsMPG + Var'!$K$3,IF(C427="M",COUNTIF(BDD!H430:AR430,10)*'ButsMPG + Var'!$K$22+COUNTIF(BDD!H430:AR430,9)*'ButsMPG + Var'!$K$21+COUNTIF(BDD!H430:AR430,8)*'ButsMPG + Var'!$K$20+COUNTIF(BDD!H430:AR430,7)*'ButsMPG + Var'!$K$19+COUNTIF(BDD!H430:AR430,6)*'ButsMPG + Var'!$K$18+COUNTIF(BDD!H430:AR430,5)*'ButsMPG + Var'!$K$17+COUNTIF(BDD!H430:AR430,4)*'ButsMPG + Var'!$K$16+COUNTIF(BDD!H430:AR430,3)*'ButsMPG + Var'!$K$15+COUNTIF(BDD!H430:AR430,2)*'ButsMPG + Var'!$K$14+COUNTIF(BDD!H430:AR430,1)*'ButsMPG + Var'!$K$13,IF(C427="D",COUNTIF(BDD!H430:AR430,10)*'ButsMPG + Var'!$K$32+COUNTIF(BDD!H430:AR430,9)*'ButsMPG + Var'!$K$31+COUNTIF(BDD!H430:AR430,8)*'ButsMPG + Var'!$K$30+COUNTIF(BDD!H430:AR430,7)*'ButsMPG + Var'!$K$29+COUNTIF(BDD!H430:AR430,6)*'ButsMPG + Var'!$K$28+COUNTIF(BDD!H430:AR430,5)*'ButsMPG + Var'!$K$27+COUNTIF(BDD!H430:AR430,4)*'ButsMPG + Var'!$K$26+COUNTIF(BDD!H430:AR430,3)*'ButsMPG + Var'!$K$25+COUNTIF(BDD!H430:AR430,2)*'ButsMPG + Var'!$K$24+COUNTIF(BDD!H430:AR430,1)*'ButsMPG + Var'!$K$23,0)))</f>
        <v>0</v>
      </c>
      <c r="H427" s="25">
        <f t="shared" si="7"/>
        <v>0</v>
      </c>
      <c r="I427" s="25">
        <f>BDD!G430</f>
        <v>0</v>
      </c>
      <c r="J427" s="25">
        <f>SUMPRODUCT(BDD!H430:AS430,'ButsMPG + Var'!$B$46:$AM$46)</f>
        <v>0</v>
      </c>
      <c r="K427" s="25" t="e">
        <f>10*('ButsMPG + Var'!$H$37*J427/MAX(J:J)+'ButsMPG + Var'!$G$37*H427/MAX(H:H))</f>
        <v>#DIV/0!</v>
      </c>
      <c r="L427" s="1">
        <f>IF(ISNA(VLOOKUP(B427,PrixMini!$B$3:$E$573,4,FALSE)),1,VLOOKUP(B427,PrixMini!$B$3:$E$573,4,FALSE))</f>
        <v>1</v>
      </c>
      <c r="M427" s="25" t="e">
        <f>IF(ROUND(CalculCotation!$D$3*EXP(CalculCotation!$C$3*K427)-CalculCotation!$D$3+1,0)&gt;L427,ROUND(CalculCotation!$D$3*EXP(CalculCotation!$C$3*K427)-CalculCotation!$D$3+1,0),L427)</f>
        <v>#DIV/0!</v>
      </c>
    </row>
    <row r="428" spans="2:13" x14ac:dyDescent="0.3">
      <c r="B428" s="1">
        <f>BDD!C431</f>
        <v>0</v>
      </c>
      <c r="C428" s="1">
        <f>BDD!B431</f>
        <v>0</v>
      </c>
      <c r="D428" s="1">
        <f>BDD!A431</f>
        <v>0</v>
      </c>
      <c r="E428" s="1">
        <f>BDD!D431</f>
        <v>0</v>
      </c>
      <c r="F428" s="1">
        <f>BDD!F431</f>
        <v>0</v>
      </c>
      <c r="G428" s="25">
        <f>'ButsMPG + Var'!$I$39*IF(C428="A",COUNTIF(BDD!H431:AR431,10)*'ButsMPG + Var'!$K$12+COUNTIF(BDD!H431:AR431,9)*'ButsMPG + Var'!$K$11+COUNTIF(BDD!H431:AR431,8)*'ButsMPG + Var'!$K$10+COUNTIF(BDD!H431:AR431,7)*'ButsMPG + Var'!$K$9+COUNTIF(BDD!H431:AR431,6)*'ButsMPG + Var'!$K$8+COUNTIF(BDD!H431:AR431,5)*'ButsMPG + Var'!$K$7+COUNTIF(BDD!H431:AR431,4)*'ButsMPG + Var'!$K$6+COUNTIF(BDD!H431:AR431,3)*'ButsMPG + Var'!$K$5+COUNTIF(BDD!H431:AR431,2)*'ButsMPG + Var'!$K$4+COUNTIF(BDD!H431:AR431,1)*'ButsMPG + Var'!$K$3,IF(C428="M",COUNTIF(BDD!H431:AR431,10)*'ButsMPG + Var'!$K$22+COUNTIF(BDD!H431:AR431,9)*'ButsMPG + Var'!$K$21+COUNTIF(BDD!H431:AR431,8)*'ButsMPG + Var'!$K$20+COUNTIF(BDD!H431:AR431,7)*'ButsMPG + Var'!$K$19+COUNTIF(BDD!H431:AR431,6)*'ButsMPG + Var'!$K$18+COUNTIF(BDD!H431:AR431,5)*'ButsMPG + Var'!$K$17+COUNTIF(BDD!H431:AR431,4)*'ButsMPG + Var'!$K$16+COUNTIF(BDD!H431:AR431,3)*'ButsMPG + Var'!$K$15+COUNTIF(BDD!H431:AR431,2)*'ButsMPG + Var'!$K$14+COUNTIF(BDD!H431:AR431,1)*'ButsMPG + Var'!$K$13,IF(C428="D",COUNTIF(BDD!H431:AR431,10)*'ButsMPG + Var'!$K$32+COUNTIF(BDD!H431:AR431,9)*'ButsMPG + Var'!$K$31+COUNTIF(BDD!H431:AR431,8)*'ButsMPG + Var'!$K$30+COUNTIF(BDD!H431:AR431,7)*'ButsMPG + Var'!$K$29+COUNTIF(BDD!H431:AR431,6)*'ButsMPG + Var'!$K$28+COUNTIF(BDD!H431:AR431,5)*'ButsMPG + Var'!$K$27+COUNTIF(BDD!H431:AR431,4)*'ButsMPG + Var'!$K$26+COUNTIF(BDD!H431:AR431,3)*'ButsMPG + Var'!$K$25+COUNTIF(BDD!H431:AR431,2)*'ButsMPG + Var'!$K$24+COUNTIF(BDD!H431:AR431,1)*'ButsMPG + Var'!$K$23,0)))</f>
        <v>0</v>
      </c>
      <c r="H428" s="25">
        <f t="shared" si="7"/>
        <v>0</v>
      </c>
      <c r="I428" s="25">
        <f>BDD!G431</f>
        <v>0</v>
      </c>
      <c r="J428" s="25">
        <f>SUMPRODUCT(BDD!H431:AS431,'ButsMPG + Var'!$B$46:$AM$46)</f>
        <v>0</v>
      </c>
      <c r="K428" s="25" t="e">
        <f>10*('ButsMPG + Var'!$H$37*J428/MAX(J:J)+'ButsMPG + Var'!$G$37*H428/MAX(H:H))</f>
        <v>#DIV/0!</v>
      </c>
      <c r="L428" s="1">
        <f>IF(ISNA(VLOOKUP(B428,PrixMini!$B$3:$E$573,4,FALSE)),1,VLOOKUP(B428,PrixMini!$B$3:$E$573,4,FALSE))</f>
        <v>1</v>
      </c>
      <c r="M428" s="25" t="e">
        <f>IF(ROUND(CalculCotation!$D$3*EXP(CalculCotation!$C$3*K428)-CalculCotation!$D$3+1,0)&gt;L428,ROUND(CalculCotation!$D$3*EXP(CalculCotation!$C$3*K428)-CalculCotation!$D$3+1,0),L428)</f>
        <v>#DIV/0!</v>
      </c>
    </row>
    <row r="429" spans="2:13" x14ac:dyDescent="0.3">
      <c r="B429" s="1">
        <f>BDD!C432</f>
        <v>0</v>
      </c>
      <c r="C429" s="1">
        <f>BDD!B432</f>
        <v>0</v>
      </c>
      <c r="D429" s="1">
        <f>BDD!A432</f>
        <v>0</v>
      </c>
      <c r="E429" s="1">
        <f>BDD!D432</f>
        <v>0</v>
      </c>
      <c r="F429" s="1">
        <f>BDD!F432</f>
        <v>0</v>
      </c>
      <c r="G429" s="25">
        <f>'ButsMPG + Var'!$I$39*IF(C429="A",COUNTIF(BDD!H432:AR432,10)*'ButsMPG + Var'!$K$12+COUNTIF(BDD!H432:AR432,9)*'ButsMPG + Var'!$K$11+COUNTIF(BDD!H432:AR432,8)*'ButsMPG + Var'!$K$10+COUNTIF(BDD!H432:AR432,7)*'ButsMPG + Var'!$K$9+COUNTIF(BDD!H432:AR432,6)*'ButsMPG + Var'!$K$8+COUNTIF(BDD!H432:AR432,5)*'ButsMPG + Var'!$K$7+COUNTIF(BDD!H432:AR432,4)*'ButsMPG + Var'!$K$6+COUNTIF(BDD!H432:AR432,3)*'ButsMPG + Var'!$K$5+COUNTIF(BDD!H432:AR432,2)*'ButsMPG + Var'!$K$4+COUNTIF(BDD!H432:AR432,1)*'ButsMPG + Var'!$K$3,IF(C429="M",COUNTIF(BDD!H432:AR432,10)*'ButsMPG + Var'!$K$22+COUNTIF(BDD!H432:AR432,9)*'ButsMPG + Var'!$K$21+COUNTIF(BDD!H432:AR432,8)*'ButsMPG + Var'!$K$20+COUNTIF(BDD!H432:AR432,7)*'ButsMPG + Var'!$K$19+COUNTIF(BDD!H432:AR432,6)*'ButsMPG + Var'!$K$18+COUNTIF(BDD!H432:AR432,5)*'ButsMPG + Var'!$K$17+COUNTIF(BDD!H432:AR432,4)*'ButsMPG + Var'!$K$16+COUNTIF(BDD!H432:AR432,3)*'ButsMPG + Var'!$K$15+COUNTIF(BDD!H432:AR432,2)*'ButsMPG + Var'!$K$14+COUNTIF(BDD!H432:AR432,1)*'ButsMPG + Var'!$K$13,IF(C429="D",COUNTIF(BDD!H432:AR432,10)*'ButsMPG + Var'!$K$32+COUNTIF(BDD!H432:AR432,9)*'ButsMPG + Var'!$K$31+COUNTIF(BDD!H432:AR432,8)*'ButsMPG + Var'!$K$30+COUNTIF(BDD!H432:AR432,7)*'ButsMPG + Var'!$K$29+COUNTIF(BDD!H432:AR432,6)*'ButsMPG + Var'!$K$28+COUNTIF(BDD!H432:AR432,5)*'ButsMPG + Var'!$K$27+COUNTIF(BDD!H432:AR432,4)*'ButsMPG + Var'!$K$26+COUNTIF(BDD!H432:AR432,3)*'ButsMPG + Var'!$K$25+COUNTIF(BDD!H432:AR432,2)*'ButsMPG + Var'!$K$24+COUNTIF(BDD!H432:AR432,1)*'ButsMPG + Var'!$K$23,0)))</f>
        <v>0</v>
      </c>
      <c r="H429" s="25">
        <f t="shared" si="7"/>
        <v>0</v>
      </c>
      <c r="I429" s="25">
        <f>BDD!G432</f>
        <v>0</v>
      </c>
      <c r="J429" s="25">
        <f>SUMPRODUCT(BDD!H432:AS432,'ButsMPG + Var'!$B$46:$AM$46)</f>
        <v>0</v>
      </c>
      <c r="K429" s="25" t="e">
        <f>10*('ButsMPG + Var'!$H$37*J429/MAX(J:J)+'ButsMPG + Var'!$G$37*H429/MAX(H:H))</f>
        <v>#DIV/0!</v>
      </c>
      <c r="L429" s="1">
        <f>IF(ISNA(VLOOKUP(B429,PrixMini!$B$3:$E$573,4,FALSE)),1,VLOOKUP(B429,PrixMini!$B$3:$E$573,4,FALSE))</f>
        <v>1</v>
      </c>
      <c r="M429" s="25" t="e">
        <f>IF(ROUND(CalculCotation!$D$3*EXP(CalculCotation!$C$3*K429)-CalculCotation!$D$3+1,0)&gt;L429,ROUND(CalculCotation!$D$3*EXP(CalculCotation!$C$3*K429)-CalculCotation!$D$3+1,0),L429)</f>
        <v>#DIV/0!</v>
      </c>
    </row>
    <row r="430" spans="2:13" x14ac:dyDescent="0.3">
      <c r="B430" s="1">
        <f>BDD!C433</f>
        <v>0</v>
      </c>
      <c r="C430" s="1">
        <f>BDD!B433</f>
        <v>0</v>
      </c>
      <c r="D430" s="1">
        <f>BDD!A433</f>
        <v>0</v>
      </c>
      <c r="E430" s="1">
        <f>BDD!D433</f>
        <v>0</v>
      </c>
      <c r="F430" s="1">
        <f>BDD!F433</f>
        <v>0</v>
      </c>
      <c r="G430" s="25">
        <f>'ButsMPG + Var'!$I$39*IF(C430="A",COUNTIF(BDD!H433:AR433,10)*'ButsMPG + Var'!$K$12+COUNTIF(BDD!H433:AR433,9)*'ButsMPG + Var'!$K$11+COUNTIF(BDD!H433:AR433,8)*'ButsMPG + Var'!$K$10+COUNTIF(BDD!H433:AR433,7)*'ButsMPG + Var'!$K$9+COUNTIF(BDD!H433:AR433,6)*'ButsMPG + Var'!$K$8+COUNTIF(BDD!H433:AR433,5)*'ButsMPG + Var'!$K$7+COUNTIF(BDD!H433:AR433,4)*'ButsMPG + Var'!$K$6+COUNTIF(BDD!H433:AR433,3)*'ButsMPG + Var'!$K$5+COUNTIF(BDD!H433:AR433,2)*'ButsMPG + Var'!$K$4+COUNTIF(BDD!H433:AR433,1)*'ButsMPG + Var'!$K$3,IF(C430="M",COUNTIF(BDD!H433:AR433,10)*'ButsMPG + Var'!$K$22+COUNTIF(BDD!H433:AR433,9)*'ButsMPG + Var'!$K$21+COUNTIF(BDD!H433:AR433,8)*'ButsMPG + Var'!$K$20+COUNTIF(BDD!H433:AR433,7)*'ButsMPG + Var'!$K$19+COUNTIF(BDD!H433:AR433,6)*'ButsMPG + Var'!$K$18+COUNTIF(BDD!H433:AR433,5)*'ButsMPG + Var'!$K$17+COUNTIF(BDD!H433:AR433,4)*'ButsMPG + Var'!$K$16+COUNTIF(BDD!H433:AR433,3)*'ButsMPG + Var'!$K$15+COUNTIF(BDD!H433:AR433,2)*'ButsMPG + Var'!$K$14+COUNTIF(BDD!H433:AR433,1)*'ButsMPG + Var'!$K$13,IF(C430="D",COUNTIF(BDD!H433:AR433,10)*'ButsMPG + Var'!$K$32+COUNTIF(BDD!H433:AR433,9)*'ButsMPG + Var'!$K$31+COUNTIF(BDD!H433:AR433,8)*'ButsMPG + Var'!$K$30+COUNTIF(BDD!H433:AR433,7)*'ButsMPG + Var'!$K$29+COUNTIF(BDD!H433:AR433,6)*'ButsMPG + Var'!$K$28+COUNTIF(BDD!H433:AR433,5)*'ButsMPG + Var'!$K$27+COUNTIF(BDD!H433:AR433,4)*'ButsMPG + Var'!$K$26+COUNTIF(BDD!H433:AR433,3)*'ButsMPG + Var'!$K$25+COUNTIF(BDD!H433:AR433,2)*'ButsMPG + Var'!$K$24+COUNTIF(BDD!H433:AR433,1)*'ButsMPG + Var'!$K$23,0)))</f>
        <v>0</v>
      </c>
      <c r="H430" s="25">
        <f t="shared" si="7"/>
        <v>0</v>
      </c>
      <c r="I430" s="25">
        <f>BDD!G433</f>
        <v>0</v>
      </c>
      <c r="J430" s="25">
        <f>SUMPRODUCT(BDD!H433:AS433,'ButsMPG + Var'!$B$46:$AM$46)</f>
        <v>0</v>
      </c>
      <c r="K430" s="25" t="e">
        <f>10*('ButsMPG + Var'!$H$37*J430/MAX(J:J)+'ButsMPG + Var'!$G$37*H430/MAX(H:H))</f>
        <v>#DIV/0!</v>
      </c>
      <c r="L430" s="1">
        <f>IF(ISNA(VLOOKUP(B430,PrixMini!$B$3:$E$573,4,FALSE)),1,VLOOKUP(B430,PrixMini!$B$3:$E$573,4,FALSE))</f>
        <v>1</v>
      </c>
      <c r="M430" s="25" t="e">
        <f>IF(ROUND(CalculCotation!$D$3*EXP(CalculCotation!$C$3*K430)-CalculCotation!$D$3+1,0)&gt;L430,ROUND(CalculCotation!$D$3*EXP(CalculCotation!$C$3*K430)-CalculCotation!$D$3+1,0),L430)</f>
        <v>#DIV/0!</v>
      </c>
    </row>
    <row r="431" spans="2:13" x14ac:dyDescent="0.3">
      <c r="B431" s="1">
        <f>BDD!C434</f>
        <v>0</v>
      </c>
      <c r="C431" s="1">
        <f>BDD!B434</f>
        <v>0</v>
      </c>
      <c r="D431" s="1">
        <f>BDD!A434</f>
        <v>0</v>
      </c>
      <c r="E431" s="1">
        <f>BDD!D434</f>
        <v>0</v>
      </c>
      <c r="F431" s="1">
        <f>BDD!F434</f>
        <v>0</v>
      </c>
      <c r="G431" s="25">
        <f>'ButsMPG + Var'!$I$39*IF(C431="A",COUNTIF(BDD!H434:AR434,10)*'ButsMPG + Var'!$K$12+COUNTIF(BDD!H434:AR434,9)*'ButsMPG + Var'!$K$11+COUNTIF(BDD!H434:AR434,8)*'ButsMPG + Var'!$K$10+COUNTIF(BDD!H434:AR434,7)*'ButsMPG + Var'!$K$9+COUNTIF(BDD!H434:AR434,6)*'ButsMPG + Var'!$K$8+COUNTIF(BDD!H434:AR434,5)*'ButsMPG + Var'!$K$7+COUNTIF(BDD!H434:AR434,4)*'ButsMPG + Var'!$K$6+COUNTIF(BDD!H434:AR434,3)*'ButsMPG + Var'!$K$5+COUNTIF(BDD!H434:AR434,2)*'ButsMPG + Var'!$K$4+COUNTIF(BDD!H434:AR434,1)*'ButsMPG + Var'!$K$3,IF(C431="M",COUNTIF(BDD!H434:AR434,10)*'ButsMPG + Var'!$K$22+COUNTIF(BDD!H434:AR434,9)*'ButsMPG + Var'!$K$21+COUNTIF(BDD!H434:AR434,8)*'ButsMPG + Var'!$K$20+COUNTIF(BDD!H434:AR434,7)*'ButsMPG + Var'!$K$19+COUNTIF(BDD!H434:AR434,6)*'ButsMPG + Var'!$K$18+COUNTIF(BDD!H434:AR434,5)*'ButsMPG + Var'!$K$17+COUNTIF(BDD!H434:AR434,4)*'ButsMPG + Var'!$K$16+COUNTIF(BDD!H434:AR434,3)*'ButsMPG + Var'!$K$15+COUNTIF(BDD!H434:AR434,2)*'ButsMPG + Var'!$K$14+COUNTIF(BDD!H434:AR434,1)*'ButsMPG + Var'!$K$13,IF(C431="D",COUNTIF(BDD!H434:AR434,10)*'ButsMPG + Var'!$K$32+COUNTIF(BDD!H434:AR434,9)*'ButsMPG + Var'!$K$31+COUNTIF(BDD!H434:AR434,8)*'ButsMPG + Var'!$K$30+COUNTIF(BDD!H434:AR434,7)*'ButsMPG + Var'!$K$29+COUNTIF(BDD!H434:AR434,6)*'ButsMPG + Var'!$K$28+COUNTIF(BDD!H434:AR434,5)*'ButsMPG + Var'!$K$27+COUNTIF(BDD!H434:AR434,4)*'ButsMPG + Var'!$K$26+COUNTIF(BDD!H434:AR434,3)*'ButsMPG + Var'!$K$25+COUNTIF(BDD!H434:AR434,2)*'ButsMPG + Var'!$K$24+COUNTIF(BDD!H434:AR434,1)*'ButsMPG + Var'!$K$23,0)))</f>
        <v>0</v>
      </c>
      <c r="H431" s="25">
        <f t="shared" si="7"/>
        <v>0</v>
      </c>
      <c r="I431" s="25">
        <f>BDD!G434</f>
        <v>0</v>
      </c>
      <c r="J431" s="25">
        <f>SUMPRODUCT(BDD!H434:AS434,'ButsMPG + Var'!$B$46:$AM$46)</f>
        <v>0</v>
      </c>
      <c r="K431" s="25" t="e">
        <f>10*('ButsMPG + Var'!$H$37*J431/MAX(J:J)+'ButsMPG + Var'!$G$37*H431/MAX(H:H))</f>
        <v>#DIV/0!</v>
      </c>
      <c r="L431" s="1">
        <f>IF(ISNA(VLOOKUP(B431,PrixMini!$B$3:$E$573,4,FALSE)),1,VLOOKUP(B431,PrixMini!$B$3:$E$573,4,FALSE))</f>
        <v>1</v>
      </c>
      <c r="M431" s="25" t="e">
        <f>IF(ROUND(CalculCotation!$D$3*EXP(CalculCotation!$C$3*K431)-CalculCotation!$D$3+1,0)&gt;L431,ROUND(CalculCotation!$D$3*EXP(CalculCotation!$C$3*K431)-CalculCotation!$D$3+1,0),L431)</f>
        <v>#DIV/0!</v>
      </c>
    </row>
    <row r="432" spans="2:13" x14ac:dyDescent="0.3">
      <c r="B432" s="1">
        <f>BDD!C435</f>
        <v>0</v>
      </c>
      <c r="C432" s="1">
        <f>BDD!B435</f>
        <v>0</v>
      </c>
      <c r="D432" s="1">
        <f>BDD!A435</f>
        <v>0</v>
      </c>
      <c r="E432" s="1">
        <f>BDD!D435</f>
        <v>0</v>
      </c>
      <c r="F432" s="1">
        <f>BDD!F435</f>
        <v>0</v>
      </c>
      <c r="G432" s="25">
        <f>'ButsMPG + Var'!$I$39*IF(C432="A",COUNTIF(BDD!H435:AR435,10)*'ButsMPG + Var'!$K$12+COUNTIF(BDD!H435:AR435,9)*'ButsMPG + Var'!$K$11+COUNTIF(BDD!H435:AR435,8)*'ButsMPG + Var'!$K$10+COUNTIF(BDD!H435:AR435,7)*'ButsMPG + Var'!$K$9+COUNTIF(BDD!H435:AR435,6)*'ButsMPG + Var'!$K$8+COUNTIF(BDD!H435:AR435,5)*'ButsMPG + Var'!$K$7+COUNTIF(BDD!H435:AR435,4)*'ButsMPG + Var'!$K$6+COUNTIF(BDD!H435:AR435,3)*'ButsMPG + Var'!$K$5+COUNTIF(BDD!H435:AR435,2)*'ButsMPG + Var'!$K$4+COUNTIF(BDD!H435:AR435,1)*'ButsMPG + Var'!$K$3,IF(C432="M",COUNTIF(BDD!H435:AR435,10)*'ButsMPG + Var'!$K$22+COUNTIF(BDD!H435:AR435,9)*'ButsMPG + Var'!$K$21+COUNTIF(BDD!H435:AR435,8)*'ButsMPG + Var'!$K$20+COUNTIF(BDD!H435:AR435,7)*'ButsMPG + Var'!$K$19+COUNTIF(BDD!H435:AR435,6)*'ButsMPG + Var'!$K$18+COUNTIF(BDD!H435:AR435,5)*'ButsMPG + Var'!$K$17+COUNTIF(BDD!H435:AR435,4)*'ButsMPG + Var'!$K$16+COUNTIF(BDD!H435:AR435,3)*'ButsMPG + Var'!$K$15+COUNTIF(BDD!H435:AR435,2)*'ButsMPG + Var'!$K$14+COUNTIF(BDD!H435:AR435,1)*'ButsMPG + Var'!$K$13,IF(C432="D",COUNTIF(BDD!H435:AR435,10)*'ButsMPG + Var'!$K$32+COUNTIF(BDD!H435:AR435,9)*'ButsMPG + Var'!$K$31+COUNTIF(BDD!H435:AR435,8)*'ButsMPG + Var'!$K$30+COUNTIF(BDD!H435:AR435,7)*'ButsMPG + Var'!$K$29+COUNTIF(BDD!H435:AR435,6)*'ButsMPG + Var'!$K$28+COUNTIF(BDD!H435:AR435,5)*'ButsMPG + Var'!$K$27+COUNTIF(BDD!H435:AR435,4)*'ButsMPG + Var'!$K$26+COUNTIF(BDD!H435:AR435,3)*'ButsMPG + Var'!$K$25+COUNTIF(BDD!H435:AR435,2)*'ButsMPG + Var'!$K$24+COUNTIF(BDD!H435:AR435,1)*'ButsMPG + Var'!$K$23,0)))</f>
        <v>0</v>
      </c>
      <c r="H432" s="25">
        <f t="shared" si="7"/>
        <v>0</v>
      </c>
      <c r="I432" s="25">
        <f>BDD!G435</f>
        <v>0</v>
      </c>
      <c r="J432" s="25">
        <f>SUMPRODUCT(BDD!H435:AS435,'ButsMPG + Var'!$B$46:$AM$46)</f>
        <v>0</v>
      </c>
      <c r="K432" s="25" t="e">
        <f>10*('ButsMPG + Var'!$H$37*J432/MAX(J:J)+'ButsMPG + Var'!$G$37*H432/MAX(H:H))</f>
        <v>#DIV/0!</v>
      </c>
      <c r="L432" s="1">
        <f>IF(ISNA(VLOOKUP(B432,PrixMini!$B$3:$E$573,4,FALSE)),1,VLOOKUP(B432,PrixMini!$B$3:$E$573,4,FALSE))</f>
        <v>1</v>
      </c>
      <c r="M432" s="25" t="e">
        <f>IF(ROUND(CalculCotation!$D$3*EXP(CalculCotation!$C$3*K432)-CalculCotation!$D$3+1,0)&gt;L432,ROUND(CalculCotation!$D$3*EXP(CalculCotation!$C$3*K432)-CalculCotation!$D$3+1,0),L432)</f>
        <v>#DIV/0!</v>
      </c>
    </row>
    <row r="433" spans="2:13" x14ac:dyDescent="0.3">
      <c r="B433" s="1">
        <f>BDD!C436</f>
        <v>0</v>
      </c>
      <c r="C433" s="1">
        <f>BDD!B436</f>
        <v>0</v>
      </c>
      <c r="D433" s="1">
        <f>BDD!A436</f>
        <v>0</v>
      </c>
      <c r="E433" s="1">
        <f>BDD!D436</f>
        <v>0</v>
      </c>
      <c r="F433" s="1">
        <f>BDD!F436</f>
        <v>0</v>
      </c>
      <c r="G433" s="25">
        <f>'ButsMPG + Var'!$I$39*IF(C433="A",COUNTIF(BDD!H436:AR436,10)*'ButsMPG + Var'!$K$12+COUNTIF(BDD!H436:AR436,9)*'ButsMPG + Var'!$K$11+COUNTIF(BDD!H436:AR436,8)*'ButsMPG + Var'!$K$10+COUNTIF(BDD!H436:AR436,7)*'ButsMPG + Var'!$K$9+COUNTIF(BDD!H436:AR436,6)*'ButsMPG + Var'!$K$8+COUNTIF(BDD!H436:AR436,5)*'ButsMPG + Var'!$K$7+COUNTIF(BDD!H436:AR436,4)*'ButsMPG + Var'!$K$6+COUNTIF(BDD!H436:AR436,3)*'ButsMPG + Var'!$K$5+COUNTIF(BDD!H436:AR436,2)*'ButsMPG + Var'!$K$4+COUNTIF(BDD!H436:AR436,1)*'ButsMPG + Var'!$K$3,IF(C433="M",COUNTIF(BDD!H436:AR436,10)*'ButsMPG + Var'!$K$22+COUNTIF(BDD!H436:AR436,9)*'ButsMPG + Var'!$K$21+COUNTIF(BDD!H436:AR436,8)*'ButsMPG + Var'!$K$20+COUNTIF(BDD!H436:AR436,7)*'ButsMPG + Var'!$K$19+COUNTIF(BDD!H436:AR436,6)*'ButsMPG + Var'!$K$18+COUNTIF(BDD!H436:AR436,5)*'ButsMPG + Var'!$K$17+COUNTIF(BDD!H436:AR436,4)*'ButsMPG + Var'!$K$16+COUNTIF(BDD!H436:AR436,3)*'ButsMPG + Var'!$K$15+COUNTIF(BDD!H436:AR436,2)*'ButsMPG + Var'!$K$14+COUNTIF(BDD!H436:AR436,1)*'ButsMPG + Var'!$K$13,IF(C433="D",COUNTIF(BDD!H436:AR436,10)*'ButsMPG + Var'!$K$32+COUNTIF(BDD!H436:AR436,9)*'ButsMPG + Var'!$K$31+COUNTIF(BDD!H436:AR436,8)*'ButsMPG + Var'!$K$30+COUNTIF(BDD!H436:AR436,7)*'ButsMPG + Var'!$K$29+COUNTIF(BDD!H436:AR436,6)*'ButsMPG + Var'!$K$28+COUNTIF(BDD!H436:AR436,5)*'ButsMPG + Var'!$K$27+COUNTIF(BDD!H436:AR436,4)*'ButsMPG + Var'!$K$26+COUNTIF(BDD!H436:AR436,3)*'ButsMPG + Var'!$K$25+COUNTIF(BDD!H436:AR436,2)*'ButsMPG + Var'!$K$24+COUNTIF(BDD!H436:AR436,1)*'ButsMPG + Var'!$K$23,0)))</f>
        <v>0</v>
      </c>
      <c r="H433" s="25">
        <f t="shared" si="7"/>
        <v>0</v>
      </c>
      <c r="I433" s="25">
        <f>BDD!G436</f>
        <v>0</v>
      </c>
      <c r="J433" s="25">
        <f>SUMPRODUCT(BDD!H436:AS436,'ButsMPG + Var'!$B$46:$AM$46)</f>
        <v>0</v>
      </c>
      <c r="K433" s="25" t="e">
        <f>10*('ButsMPG + Var'!$H$37*J433/MAX(J:J)+'ButsMPG + Var'!$G$37*H433/MAX(H:H))</f>
        <v>#DIV/0!</v>
      </c>
      <c r="L433" s="1">
        <f>IF(ISNA(VLOOKUP(B433,PrixMini!$B$3:$E$573,4,FALSE)),1,VLOOKUP(B433,PrixMini!$B$3:$E$573,4,FALSE))</f>
        <v>1</v>
      </c>
      <c r="M433" s="25" t="e">
        <f>IF(ROUND(CalculCotation!$D$3*EXP(CalculCotation!$C$3*K433)-CalculCotation!$D$3+1,0)&gt;L433,ROUND(CalculCotation!$D$3*EXP(CalculCotation!$C$3*K433)-CalculCotation!$D$3+1,0),L433)</f>
        <v>#DIV/0!</v>
      </c>
    </row>
    <row r="434" spans="2:13" x14ac:dyDescent="0.3">
      <c r="B434" s="1">
        <f>BDD!C437</f>
        <v>0</v>
      </c>
      <c r="C434" s="1">
        <f>BDD!B437</f>
        <v>0</v>
      </c>
      <c r="D434" s="1">
        <f>BDD!A437</f>
        <v>0</v>
      </c>
      <c r="E434" s="1">
        <f>BDD!D437</f>
        <v>0</v>
      </c>
      <c r="F434" s="1">
        <f>BDD!F437</f>
        <v>0</v>
      </c>
      <c r="G434" s="25">
        <f>'ButsMPG + Var'!$I$39*IF(C434="A",COUNTIF(BDD!H437:AR437,10)*'ButsMPG + Var'!$K$12+COUNTIF(BDD!H437:AR437,9)*'ButsMPG + Var'!$K$11+COUNTIF(BDD!H437:AR437,8)*'ButsMPG + Var'!$K$10+COUNTIF(BDD!H437:AR437,7)*'ButsMPG + Var'!$K$9+COUNTIF(BDD!H437:AR437,6)*'ButsMPG + Var'!$K$8+COUNTIF(BDD!H437:AR437,5)*'ButsMPG + Var'!$K$7+COUNTIF(BDD!H437:AR437,4)*'ButsMPG + Var'!$K$6+COUNTIF(BDD!H437:AR437,3)*'ButsMPG + Var'!$K$5+COUNTIF(BDD!H437:AR437,2)*'ButsMPG + Var'!$K$4+COUNTIF(BDD!H437:AR437,1)*'ButsMPG + Var'!$K$3,IF(C434="M",COUNTIF(BDD!H437:AR437,10)*'ButsMPG + Var'!$K$22+COUNTIF(BDD!H437:AR437,9)*'ButsMPG + Var'!$K$21+COUNTIF(BDD!H437:AR437,8)*'ButsMPG + Var'!$K$20+COUNTIF(BDD!H437:AR437,7)*'ButsMPG + Var'!$K$19+COUNTIF(BDD!H437:AR437,6)*'ButsMPG + Var'!$K$18+COUNTIF(BDD!H437:AR437,5)*'ButsMPG + Var'!$K$17+COUNTIF(BDD!H437:AR437,4)*'ButsMPG + Var'!$K$16+COUNTIF(BDD!H437:AR437,3)*'ButsMPG + Var'!$K$15+COUNTIF(BDD!H437:AR437,2)*'ButsMPG + Var'!$K$14+COUNTIF(BDD!H437:AR437,1)*'ButsMPG + Var'!$K$13,IF(C434="D",COUNTIF(BDD!H437:AR437,10)*'ButsMPG + Var'!$K$32+COUNTIF(BDD!H437:AR437,9)*'ButsMPG + Var'!$K$31+COUNTIF(BDD!H437:AR437,8)*'ButsMPG + Var'!$K$30+COUNTIF(BDD!H437:AR437,7)*'ButsMPG + Var'!$K$29+COUNTIF(BDD!H437:AR437,6)*'ButsMPG + Var'!$K$28+COUNTIF(BDD!H437:AR437,5)*'ButsMPG + Var'!$K$27+COUNTIF(BDD!H437:AR437,4)*'ButsMPG + Var'!$K$26+COUNTIF(BDD!H437:AR437,3)*'ButsMPG + Var'!$K$25+COUNTIF(BDD!H437:AR437,2)*'ButsMPG + Var'!$K$24+COUNTIF(BDD!H437:AR437,1)*'ButsMPG + Var'!$K$23,0)))</f>
        <v>0</v>
      </c>
      <c r="H434" s="25">
        <f t="shared" si="7"/>
        <v>0</v>
      </c>
      <c r="I434" s="25">
        <f>BDD!G437</f>
        <v>0</v>
      </c>
      <c r="J434" s="25">
        <f>SUMPRODUCT(BDD!H437:AS437,'ButsMPG + Var'!$B$46:$AM$46)</f>
        <v>0</v>
      </c>
      <c r="K434" s="25" t="e">
        <f>10*('ButsMPG + Var'!$H$37*J434/MAX(J:J)+'ButsMPG + Var'!$G$37*H434/MAX(H:H))</f>
        <v>#DIV/0!</v>
      </c>
      <c r="L434" s="1">
        <f>IF(ISNA(VLOOKUP(B434,PrixMini!$B$3:$E$573,4,FALSE)),1,VLOOKUP(B434,PrixMini!$B$3:$E$573,4,FALSE))</f>
        <v>1</v>
      </c>
      <c r="M434" s="25" t="e">
        <f>IF(ROUND(CalculCotation!$D$3*EXP(CalculCotation!$C$3*K434)-CalculCotation!$D$3+1,0)&gt;L434,ROUND(CalculCotation!$D$3*EXP(CalculCotation!$C$3*K434)-CalculCotation!$D$3+1,0),L434)</f>
        <v>#DIV/0!</v>
      </c>
    </row>
    <row r="435" spans="2:13" x14ac:dyDescent="0.3">
      <c r="B435" s="1">
        <f>BDD!C438</f>
        <v>0</v>
      </c>
      <c r="C435" s="1">
        <f>BDD!B438</f>
        <v>0</v>
      </c>
      <c r="D435" s="1">
        <f>BDD!A438</f>
        <v>0</v>
      </c>
      <c r="E435" s="1">
        <f>BDD!D438</f>
        <v>0</v>
      </c>
      <c r="F435" s="1">
        <f>BDD!F438</f>
        <v>0</v>
      </c>
      <c r="G435" s="25">
        <f>'ButsMPG + Var'!$I$39*IF(C435="A",COUNTIF(BDD!H438:AR438,10)*'ButsMPG + Var'!$K$12+COUNTIF(BDD!H438:AR438,9)*'ButsMPG + Var'!$K$11+COUNTIF(BDD!H438:AR438,8)*'ButsMPG + Var'!$K$10+COUNTIF(BDD!H438:AR438,7)*'ButsMPG + Var'!$K$9+COUNTIF(BDD!H438:AR438,6)*'ButsMPG + Var'!$K$8+COUNTIF(BDD!H438:AR438,5)*'ButsMPG + Var'!$K$7+COUNTIF(BDD!H438:AR438,4)*'ButsMPG + Var'!$K$6+COUNTIF(BDD!H438:AR438,3)*'ButsMPG + Var'!$K$5+COUNTIF(BDD!H438:AR438,2)*'ButsMPG + Var'!$K$4+COUNTIF(BDD!H438:AR438,1)*'ButsMPG + Var'!$K$3,IF(C435="M",COUNTIF(BDD!H438:AR438,10)*'ButsMPG + Var'!$K$22+COUNTIF(BDD!H438:AR438,9)*'ButsMPG + Var'!$K$21+COUNTIF(BDD!H438:AR438,8)*'ButsMPG + Var'!$K$20+COUNTIF(BDD!H438:AR438,7)*'ButsMPG + Var'!$K$19+COUNTIF(BDD!H438:AR438,6)*'ButsMPG + Var'!$K$18+COUNTIF(BDD!H438:AR438,5)*'ButsMPG + Var'!$K$17+COUNTIF(BDD!H438:AR438,4)*'ButsMPG + Var'!$K$16+COUNTIF(BDD!H438:AR438,3)*'ButsMPG + Var'!$K$15+COUNTIF(BDD!H438:AR438,2)*'ButsMPG + Var'!$K$14+COUNTIF(BDD!H438:AR438,1)*'ButsMPG + Var'!$K$13,IF(C435="D",COUNTIF(BDD!H438:AR438,10)*'ButsMPG + Var'!$K$32+COUNTIF(BDD!H438:AR438,9)*'ButsMPG + Var'!$K$31+COUNTIF(BDD!H438:AR438,8)*'ButsMPG + Var'!$K$30+COUNTIF(BDD!H438:AR438,7)*'ButsMPG + Var'!$K$29+COUNTIF(BDD!H438:AR438,6)*'ButsMPG + Var'!$K$28+COUNTIF(BDD!H438:AR438,5)*'ButsMPG + Var'!$K$27+COUNTIF(BDD!H438:AR438,4)*'ButsMPG + Var'!$K$26+COUNTIF(BDD!H438:AR438,3)*'ButsMPG + Var'!$K$25+COUNTIF(BDD!H438:AR438,2)*'ButsMPG + Var'!$K$24+COUNTIF(BDD!H438:AR438,1)*'ButsMPG + Var'!$K$23,0)))</f>
        <v>0</v>
      </c>
      <c r="H435" s="25">
        <f t="shared" si="7"/>
        <v>0</v>
      </c>
      <c r="I435" s="25">
        <f>BDD!G438</f>
        <v>0</v>
      </c>
      <c r="J435" s="25">
        <f>SUMPRODUCT(BDD!H438:AS438,'ButsMPG + Var'!$B$46:$AM$46)</f>
        <v>0</v>
      </c>
      <c r="K435" s="25" t="e">
        <f>10*('ButsMPG + Var'!$H$37*J435/MAX(J:J)+'ButsMPG + Var'!$G$37*H435/MAX(H:H))</f>
        <v>#DIV/0!</v>
      </c>
      <c r="L435" s="1">
        <f>IF(ISNA(VLOOKUP(B435,PrixMini!$B$3:$E$573,4,FALSE)),1,VLOOKUP(B435,PrixMini!$B$3:$E$573,4,FALSE))</f>
        <v>1</v>
      </c>
      <c r="M435" s="25" t="e">
        <f>IF(ROUND(CalculCotation!$D$3*EXP(CalculCotation!$C$3*K435)-CalculCotation!$D$3+1,0)&gt;L435,ROUND(CalculCotation!$D$3*EXP(CalculCotation!$C$3*K435)-CalculCotation!$D$3+1,0),L435)</f>
        <v>#DIV/0!</v>
      </c>
    </row>
    <row r="436" spans="2:13" x14ac:dyDescent="0.3">
      <c r="B436" s="1">
        <f>BDD!C439</f>
        <v>0</v>
      </c>
      <c r="C436" s="1">
        <f>BDD!B439</f>
        <v>0</v>
      </c>
      <c r="D436" s="1">
        <f>BDD!A439</f>
        <v>0</v>
      </c>
      <c r="E436" s="1">
        <f>BDD!D439</f>
        <v>0</v>
      </c>
      <c r="F436" s="1">
        <f>BDD!F439</f>
        <v>0</v>
      </c>
      <c r="G436" s="25">
        <f>'ButsMPG + Var'!$I$39*IF(C436="A",COUNTIF(BDD!H439:AR439,10)*'ButsMPG + Var'!$K$12+COUNTIF(BDD!H439:AR439,9)*'ButsMPG + Var'!$K$11+COUNTIF(BDD!H439:AR439,8)*'ButsMPG + Var'!$K$10+COUNTIF(BDD!H439:AR439,7)*'ButsMPG + Var'!$K$9+COUNTIF(BDD!H439:AR439,6)*'ButsMPG + Var'!$K$8+COUNTIF(BDD!H439:AR439,5)*'ButsMPG + Var'!$K$7+COUNTIF(BDD!H439:AR439,4)*'ButsMPG + Var'!$K$6+COUNTIF(BDD!H439:AR439,3)*'ButsMPG + Var'!$K$5+COUNTIF(BDD!H439:AR439,2)*'ButsMPG + Var'!$K$4+COUNTIF(BDD!H439:AR439,1)*'ButsMPG + Var'!$K$3,IF(C436="M",COUNTIF(BDD!H439:AR439,10)*'ButsMPG + Var'!$K$22+COUNTIF(BDD!H439:AR439,9)*'ButsMPG + Var'!$K$21+COUNTIF(BDD!H439:AR439,8)*'ButsMPG + Var'!$K$20+COUNTIF(BDD!H439:AR439,7)*'ButsMPG + Var'!$K$19+COUNTIF(BDD!H439:AR439,6)*'ButsMPG + Var'!$K$18+COUNTIF(BDD!H439:AR439,5)*'ButsMPG + Var'!$K$17+COUNTIF(BDD!H439:AR439,4)*'ButsMPG + Var'!$K$16+COUNTIF(BDD!H439:AR439,3)*'ButsMPG + Var'!$K$15+COUNTIF(BDD!H439:AR439,2)*'ButsMPG + Var'!$K$14+COUNTIF(BDD!H439:AR439,1)*'ButsMPG + Var'!$K$13,IF(C436="D",COUNTIF(BDD!H439:AR439,10)*'ButsMPG + Var'!$K$32+COUNTIF(BDD!H439:AR439,9)*'ButsMPG + Var'!$K$31+COUNTIF(BDD!H439:AR439,8)*'ButsMPG + Var'!$K$30+COUNTIF(BDD!H439:AR439,7)*'ButsMPG + Var'!$K$29+COUNTIF(BDD!H439:AR439,6)*'ButsMPG + Var'!$K$28+COUNTIF(BDD!H439:AR439,5)*'ButsMPG + Var'!$K$27+COUNTIF(BDD!H439:AR439,4)*'ButsMPG + Var'!$K$26+COUNTIF(BDD!H439:AR439,3)*'ButsMPG + Var'!$K$25+COUNTIF(BDD!H439:AR439,2)*'ButsMPG + Var'!$K$24+COUNTIF(BDD!H439:AR439,1)*'ButsMPG + Var'!$K$23,0)))</f>
        <v>0</v>
      </c>
      <c r="H436" s="25">
        <f t="shared" si="7"/>
        <v>0</v>
      </c>
      <c r="I436" s="25">
        <f>BDD!G439</f>
        <v>0</v>
      </c>
      <c r="J436" s="25">
        <f>SUMPRODUCT(BDD!H439:AS439,'ButsMPG + Var'!$B$46:$AM$46)</f>
        <v>0</v>
      </c>
      <c r="K436" s="25" t="e">
        <f>10*('ButsMPG + Var'!$H$37*J436/MAX(J:J)+'ButsMPG + Var'!$G$37*H436/MAX(H:H))</f>
        <v>#DIV/0!</v>
      </c>
      <c r="L436" s="1">
        <f>IF(ISNA(VLOOKUP(B436,PrixMini!$B$3:$E$573,4,FALSE)),1,VLOOKUP(B436,PrixMini!$B$3:$E$573,4,FALSE))</f>
        <v>1</v>
      </c>
      <c r="M436" s="25" t="e">
        <f>IF(ROUND(CalculCotation!$D$3*EXP(CalculCotation!$C$3*K436)-CalculCotation!$D$3+1,0)&gt;L436,ROUND(CalculCotation!$D$3*EXP(CalculCotation!$C$3*K436)-CalculCotation!$D$3+1,0),L436)</f>
        <v>#DIV/0!</v>
      </c>
    </row>
    <row r="437" spans="2:13" x14ac:dyDescent="0.3">
      <c r="B437" s="1">
        <f>BDD!C440</f>
        <v>0</v>
      </c>
      <c r="C437" s="1">
        <f>BDD!B440</f>
        <v>0</v>
      </c>
      <c r="D437" s="1">
        <f>BDD!A440</f>
        <v>0</v>
      </c>
      <c r="E437" s="1">
        <f>BDD!D440</f>
        <v>0</v>
      </c>
      <c r="F437" s="1">
        <f>BDD!F440</f>
        <v>0</v>
      </c>
      <c r="G437" s="25">
        <f>'ButsMPG + Var'!$I$39*IF(C437="A",COUNTIF(BDD!H440:AR440,10)*'ButsMPG + Var'!$K$12+COUNTIF(BDD!H440:AR440,9)*'ButsMPG + Var'!$K$11+COUNTIF(BDD!H440:AR440,8)*'ButsMPG + Var'!$K$10+COUNTIF(BDD!H440:AR440,7)*'ButsMPG + Var'!$K$9+COUNTIF(BDD!H440:AR440,6)*'ButsMPG + Var'!$K$8+COUNTIF(BDD!H440:AR440,5)*'ButsMPG + Var'!$K$7+COUNTIF(BDD!H440:AR440,4)*'ButsMPG + Var'!$K$6+COUNTIF(BDD!H440:AR440,3)*'ButsMPG + Var'!$K$5+COUNTIF(BDD!H440:AR440,2)*'ButsMPG + Var'!$K$4+COUNTIF(BDD!H440:AR440,1)*'ButsMPG + Var'!$K$3,IF(C437="M",COUNTIF(BDD!H440:AR440,10)*'ButsMPG + Var'!$K$22+COUNTIF(BDD!H440:AR440,9)*'ButsMPG + Var'!$K$21+COUNTIF(BDD!H440:AR440,8)*'ButsMPG + Var'!$K$20+COUNTIF(BDD!H440:AR440,7)*'ButsMPG + Var'!$K$19+COUNTIF(BDD!H440:AR440,6)*'ButsMPG + Var'!$K$18+COUNTIF(BDD!H440:AR440,5)*'ButsMPG + Var'!$K$17+COUNTIF(BDD!H440:AR440,4)*'ButsMPG + Var'!$K$16+COUNTIF(BDD!H440:AR440,3)*'ButsMPG + Var'!$K$15+COUNTIF(BDD!H440:AR440,2)*'ButsMPG + Var'!$K$14+COUNTIF(BDD!H440:AR440,1)*'ButsMPG + Var'!$K$13,IF(C437="D",COUNTIF(BDD!H440:AR440,10)*'ButsMPG + Var'!$K$32+COUNTIF(BDD!H440:AR440,9)*'ButsMPG + Var'!$K$31+COUNTIF(BDD!H440:AR440,8)*'ButsMPG + Var'!$K$30+COUNTIF(BDD!H440:AR440,7)*'ButsMPG + Var'!$K$29+COUNTIF(BDD!H440:AR440,6)*'ButsMPG + Var'!$K$28+COUNTIF(BDD!H440:AR440,5)*'ButsMPG + Var'!$K$27+COUNTIF(BDD!H440:AR440,4)*'ButsMPG + Var'!$K$26+COUNTIF(BDD!H440:AR440,3)*'ButsMPG + Var'!$K$25+COUNTIF(BDD!H440:AR440,2)*'ButsMPG + Var'!$K$24+COUNTIF(BDD!H440:AR440,1)*'ButsMPG + Var'!$K$23,0)))</f>
        <v>0</v>
      </c>
      <c r="H437" s="25">
        <f t="shared" si="7"/>
        <v>0</v>
      </c>
      <c r="I437" s="25">
        <f>BDD!G440</f>
        <v>0</v>
      </c>
      <c r="J437" s="25">
        <f>SUMPRODUCT(BDD!H440:AS440,'ButsMPG + Var'!$B$46:$AM$46)</f>
        <v>0</v>
      </c>
      <c r="K437" s="25" t="e">
        <f>10*('ButsMPG + Var'!$H$37*J437/MAX(J:J)+'ButsMPG + Var'!$G$37*H437/MAX(H:H))</f>
        <v>#DIV/0!</v>
      </c>
      <c r="L437" s="1">
        <f>IF(ISNA(VLOOKUP(B437,PrixMini!$B$3:$E$573,4,FALSE)),1,VLOOKUP(B437,PrixMini!$B$3:$E$573,4,FALSE))</f>
        <v>1</v>
      </c>
      <c r="M437" s="25" t="e">
        <f>IF(ROUND(CalculCotation!$D$3*EXP(CalculCotation!$C$3*K437)-CalculCotation!$D$3+1,0)&gt;L437,ROUND(CalculCotation!$D$3*EXP(CalculCotation!$C$3*K437)-CalculCotation!$D$3+1,0),L437)</f>
        <v>#DIV/0!</v>
      </c>
    </row>
    <row r="438" spans="2:13" x14ac:dyDescent="0.3">
      <c r="B438" s="1">
        <f>BDD!C441</f>
        <v>0</v>
      </c>
      <c r="C438" s="1">
        <f>BDD!B441</f>
        <v>0</v>
      </c>
      <c r="D438" s="1">
        <f>BDD!A441</f>
        <v>0</v>
      </c>
      <c r="E438" s="1">
        <f>BDD!D441</f>
        <v>0</v>
      </c>
      <c r="F438" s="1">
        <f>BDD!F441</f>
        <v>0</v>
      </c>
      <c r="G438" s="25">
        <f>'ButsMPG + Var'!$I$39*IF(C438="A",COUNTIF(BDD!H441:AR441,10)*'ButsMPG + Var'!$K$12+COUNTIF(BDD!H441:AR441,9)*'ButsMPG + Var'!$K$11+COUNTIF(BDD!H441:AR441,8)*'ButsMPG + Var'!$K$10+COUNTIF(BDD!H441:AR441,7)*'ButsMPG + Var'!$K$9+COUNTIF(BDD!H441:AR441,6)*'ButsMPG + Var'!$K$8+COUNTIF(BDD!H441:AR441,5)*'ButsMPG + Var'!$K$7+COUNTIF(BDD!H441:AR441,4)*'ButsMPG + Var'!$K$6+COUNTIF(BDD!H441:AR441,3)*'ButsMPG + Var'!$K$5+COUNTIF(BDD!H441:AR441,2)*'ButsMPG + Var'!$K$4+COUNTIF(BDD!H441:AR441,1)*'ButsMPG + Var'!$K$3,IF(C438="M",COUNTIF(BDD!H441:AR441,10)*'ButsMPG + Var'!$K$22+COUNTIF(BDD!H441:AR441,9)*'ButsMPG + Var'!$K$21+COUNTIF(BDD!H441:AR441,8)*'ButsMPG + Var'!$K$20+COUNTIF(BDD!H441:AR441,7)*'ButsMPG + Var'!$K$19+COUNTIF(BDD!H441:AR441,6)*'ButsMPG + Var'!$K$18+COUNTIF(BDD!H441:AR441,5)*'ButsMPG + Var'!$K$17+COUNTIF(BDD!H441:AR441,4)*'ButsMPG + Var'!$K$16+COUNTIF(BDD!H441:AR441,3)*'ButsMPG + Var'!$K$15+COUNTIF(BDD!H441:AR441,2)*'ButsMPG + Var'!$K$14+COUNTIF(BDD!H441:AR441,1)*'ButsMPG + Var'!$K$13,IF(C438="D",COUNTIF(BDD!H441:AR441,10)*'ButsMPG + Var'!$K$32+COUNTIF(BDD!H441:AR441,9)*'ButsMPG + Var'!$K$31+COUNTIF(BDD!H441:AR441,8)*'ButsMPG + Var'!$K$30+COUNTIF(BDD!H441:AR441,7)*'ButsMPG + Var'!$K$29+COUNTIF(BDD!H441:AR441,6)*'ButsMPG + Var'!$K$28+COUNTIF(BDD!H441:AR441,5)*'ButsMPG + Var'!$K$27+COUNTIF(BDD!H441:AR441,4)*'ButsMPG + Var'!$K$26+COUNTIF(BDD!H441:AR441,3)*'ButsMPG + Var'!$K$25+COUNTIF(BDD!H441:AR441,2)*'ButsMPG + Var'!$K$24+COUNTIF(BDD!H441:AR441,1)*'ButsMPG + Var'!$K$23,0)))</f>
        <v>0</v>
      </c>
      <c r="H438" s="25">
        <f t="shared" si="7"/>
        <v>0</v>
      </c>
      <c r="I438" s="25">
        <f>BDD!G441</f>
        <v>0</v>
      </c>
      <c r="J438" s="25">
        <f>SUMPRODUCT(BDD!H441:AS441,'ButsMPG + Var'!$B$46:$AM$46)</f>
        <v>0</v>
      </c>
      <c r="K438" s="25" t="e">
        <f>10*('ButsMPG + Var'!$H$37*J438/MAX(J:J)+'ButsMPG + Var'!$G$37*H438/MAX(H:H))</f>
        <v>#DIV/0!</v>
      </c>
      <c r="L438" s="1">
        <f>IF(ISNA(VLOOKUP(B438,PrixMini!$B$3:$E$573,4,FALSE)),1,VLOOKUP(B438,PrixMini!$B$3:$E$573,4,FALSE))</f>
        <v>1</v>
      </c>
      <c r="M438" s="25" t="e">
        <f>IF(ROUND(CalculCotation!$D$3*EXP(CalculCotation!$C$3*K438)-CalculCotation!$D$3+1,0)&gt;L438,ROUND(CalculCotation!$D$3*EXP(CalculCotation!$C$3*K438)-CalculCotation!$D$3+1,0),L438)</f>
        <v>#DIV/0!</v>
      </c>
    </row>
    <row r="439" spans="2:13" x14ac:dyDescent="0.3">
      <c r="B439" s="1">
        <f>BDD!C442</f>
        <v>0</v>
      </c>
      <c r="C439" s="1">
        <f>BDD!B442</f>
        <v>0</v>
      </c>
      <c r="D439" s="1">
        <f>BDD!A442</f>
        <v>0</v>
      </c>
      <c r="E439" s="1">
        <f>BDD!D442</f>
        <v>0</v>
      </c>
      <c r="F439" s="1">
        <f>BDD!F442</f>
        <v>0</v>
      </c>
      <c r="G439" s="25">
        <f>'ButsMPG + Var'!$I$39*IF(C439="A",COUNTIF(BDD!H442:AR442,10)*'ButsMPG + Var'!$K$12+COUNTIF(BDD!H442:AR442,9)*'ButsMPG + Var'!$K$11+COUNTIF(BDD!H442:AR442,8)*'ButsMPG + Var'!$K$10+COUNTIF(BDD!H442:AR442,7)*'ButsMPG + Var'!$K$9+COUNTIF(BDD!H442:AR442,6)*'ButsMPG + Var'!$K$8+COUNTIF(BDD!H442:AR442,5)*'ButsMPG + Var'!$K$7+COUNTIF(BDD!H442:AR442,4)*'ButsMPG + Var'!$K$6+COUNTIF(BDD!H442:AR442,3)*'ButsMPG + Var'!$K$5+COUNTIF(BDD!H442:AR442,2)*'ButsMPG + Var'!$K$4+COUNTIF(BDD!H442:AR442,1)*'ButsMPG + Var'!$K$3,IF(C439="M",COUNTIF(BDD!H442:AR442,10)*'ButsMPG + Var'!$K$22+COUNTIF(BDD!H442:AR442,9)*'ButsMPG + Var'!$K$21+COUNTIF(BDD!H442:AR442,8)*'ButsMPG + Var'!$K$20+COUNTIF(BDD!H442:AR442,7)*'ButsMPG + Var'!$K$19+COUNTIF(BDD!H442:AR442,6)*'ButsMPG + Var'!$K$18+COUNTIF(BDD!H442:AR442,5)*'ButsMPG + Var'!$K$17+COUNTIF(BDD!H442:AR442,4)*'ButsMPG + Var'!$K$16+COUNTIF(BDD!H442:AR442,3)*'ButsMPG + Var'!$K$15+COUNTIF(BDD!H442:AR442,2)*'ButsMPG + Var'!$K$14+COUNTIF(BDD!H442:AR442,1)*'ButsMPG + Var'!$K$13,IF(C439="D",COUNTIF(BDD!H442:AR442,10)*'ButsMPG + Var'!$K$32+COUNTIF(BDD!H442:AR442,9)*'ButsMPG + Var'!$K$31+COUNTIF(BDD!H442:AR442,8)*'ButsMPG + Var'!$K$30+COUNTIF(BDD!H442:AR442,7)*'ButsMPG + Var'!$K$29+COUNTIF(BDD!H442:AR442,6)*'ButsMPG + Var'!$K$28+COUNTIF(BDD!H442:AR442,5)*'ButsMPG + Var'!$K$27+COUNTIF(BDD!H442:AR442,4)*'ButsMPG + Var'!$K$26+COUNTIF(BDD!H442:AR442,3)*'ButsMPG + Var'!$K$25+COUNTIF(BDD!H442:AR442,2)*'ButsMPG + Var'!$K$24+COUNTIF(BDD!H442:AR442,1)*'ButsMPG + Var'!$K$23,0)))</f>
        <v>0</v>
      </c>
      <c r="H439" s="25">
        <f t="shared" si="7"/>
        <v>0</v>
      </c>
      <c r="I439" s="25">
        <f>BDD!G442</f>
        <v>0</v>
      </c>
      <c r="J439" s="25">
        <f>SUMPRODUCT(BDD!H442:AS442,'ButsMPG + Var'!$B$46:$AM$46)</f>
        <v>0</v>
      </c>
      <c r="K439" s="25" t="e">
        <f>10*('ButsMPG + Var'!$H$37*J439/MAX(J:J)+'ButsMPG + Var'!$G$37*H439/MAX(H:H))</f>
        <v>#DIV/0!</v>
      </c>
      <c r="L439" s="1">
        <f>IF(ISNA(VLOOKUP(B439,PrixMini!$B$3:$E$573,4,FALSE)),1,VLOOKUP(B439,PrixMini!$B$3:$E$573,4,FALSE))</f>
        <v>1</v>
      </c>
      <c r="M439" s="25" t="e">
        <f>IF(ROUND(CalculCotation!$D$3*EXP(CalculCotation!$C$3*K439)-CalculCotation!$D$3+1,0)&gt;L439,ROUND(CalculCotation!$D$3*EXP(CalculCotation!$C$3*K439)-CalculCotation!$D$3+1,0),L439)</f>
        <v>#DIV/0!</v>
      </c>
    </row>
    <row r="440" spans="2:13" x14ac:dyDescent="0.3">
      <c r="B440" s="1">
        <f>BDD!C443</f>
        <v>0</v>
      </c>
      <c r="C440" s="1">
        <f>BDD!B443</f>
        <v>0</v>
      </c>
      <c r="D440" s="1">
        <f>BDD!A443</f>
        <v>0</v>
      </c>
      <c r="E440" s="1">
        <f>BDD!D443</f>
        <v>0</v>
      </c>
      <c r="F440" s="1">
        <f>BDD!F443</f>
        <v>0</v>
      </c>
      <c r="G440" s="25">
        <f>'ButsMPG + Var'!$I$39*IF(C440="A",COUNTIF(BDD!H443:AR443,10)*'ButsMPG + Var'!$K$12+COUNTIF(BDD!H443:AR443,9)*'ButsMPG + Var'!$K$11+COUNTIF(BDD!H443:AR443,8)*'ButsMPG + Var'!$K$10+COUNTIF(BDD!H443:AR443,7)*'ButsMPG + Var'!$K$9+COUNTIF(BDD!H443:AR443,6)*'ButsMPG + Var'!$K$8+COUNTIF(BDD!H443:AR443,5)*'ButsMPG + Var'!$K$7+COUNTIF(BDD!H443:AR443,4)*'ButsMPG + Var'!$K$6+COUNTIF(BDD!H443:AR443,3)*'ButsMPG + Var'!$K$5+COUNTIF(BDD!H443:AR443,2)*'ButsMPG + Var'!$K$4+COUNTIF(BDD!H443:AR443,1)*'ButsMPG + Var'!$K$3,IF(C440="M",COUNTIF(BDD!H443:AR443,10)*'ButsMPG + Var'!$K$22+COUNTIF(BDD!H443:AR443,9)*'ButsMPG + Var'!$K$21+COUNTIF(BDD!H443:AR443,8)*'ButsMPG + Var'!$K$20+COUNTIF(BDD!H443:AR443,7)*'ButsMPG + Var'!$K$19+COUNTIF(BDD!H443:AR443,6)*'ButsMPG + Var'!$K$18+COUNTIF(BDD!H443:AR443,5)*'ButsMPG + Var'!$K$17+COUNTIF(BDD!H443:AR443,4)*'ButsMPG + Var'!$K$16+COUNTIF(BDD!H443:AR443,3)*'ButsMPG + Var'!$K$15+COUNTIF(BDD!H443:AR443,2)*'ButsMPG + Var'!$K$14+COUNTIF(BDD!H443:AR443,1)*'ButsMPG + Var'!$K$13,IF(C440="D",COUNTIF(BDD!H443:AR443,10)*'ButsMPG + Var'!$K$32+COUNTIF(BDD!H443:AR443,9)*'ButsMPG + Var'!$K$31+COUNTIF(BDD!H443:AR443,8)*'ButsMPG + Var'!$K$30+COUNTIF(BDD!H443:AR443,7)*'ButsMPG + Var'!$K$29+COUNTIF(BDD!H443:AR443,6)*'ButsMPG + Var'!$K$28+COUNTIF(BDD!H443:AR443,5)*'ButsMPG + Var'!$K$27+COUNTIF(BDD!H443:AR443,4)*'ButsMPG + Var'!$K$26+COUNTIF(BDD!H443:AR443,3)*'ButsMPG + Var'!$K$25+COUNTIF(BDD!H443:AR443,2)*'ButsMPG + Var'!$K$24+COUNTIF(BDD!H443:AR443,1)*'ButsMPG + Var'!$K$23,0)))</f>
        <v>0</v>
      </c>
      <c r="H440" s="25">
        <f t="shared" si="7"/>
        <v>0</v>
      </c>
      <c r="I440" s="25">
        <f>BDD!G443</f>
        <v>0</v>
      </c>
      <c r="J440" s="25">
        <f>SUMPRODUCT(BDD!H443:AS443,'ButsMPG + Var'!$B$46:$AM$46)</f>
        <v>0</v>
      </c>
      <c r="K440" s="25" t="e">
        <f>10*('ButsMPG + Var'!$H$37*J440/MAX(J:J)+'ButsMPG + Var'!$G$37*H440/MAX(H:H))</f>
        <v>#DIV/0!</v>
      </c>
      <c r="L440" s="1">
        <f>IF(ISNA(VLOOKUP(B440,PrixMini!$B$3:$E$573,4,FALSE)),1,VLOOKUP(B440,PrixMini!$B$3:$E$573,4,FALSE))</f>
        <v>1</v>
      </c>
      <c r="M440" s="25" t="e">
        <f>IF(ROUND(CalculCotation!$D$3*EXP(CalculCotation!$C$3*K440)-CalculCotation!$D$3+1,0)&gt;L440,ROUND(CalculCotation!$D$3*EXP(CalculCotation!$C$3*K440)-CalculCotation!$D$3+1,0),L440)</f>
        <v>#DIV/0!</v>
      </c>
    </row>
    <row r="441" spans="2:13" x14ac:dyDescent="0.3">
      <c r="B441" s="1">
        <f>BDD!C444</f>
        <v>0</v>
      </c>
      <c r="C441" s="1">
        <f>BDD!B444</f>
        <v>0</v>
      </c>
      <c r="D441" s="1">
        <f>BDD!A444</f>
        <v>0</v>
      </c>
      <c r="E441" s="1">
        <f>BDD!D444</f>
        <v>0</v>
      </c>
      <c r="F441" s="1">
        <f>BDD!F444</f>
        <v>0</v>
      </c>
      <c r="G441" s="25">
        <f>'ButsMPG + Var'!$I$39*IF(C441="A",COUNTIF(BDD!H444:AR444,10)*'ButsMPG + Var'!$K$12+COUNTIF(BDD!H444:AR444,9)*'ButsMPG + Var'!$K$11+COUNTIF(BDD!H444:AR444,8)*'ButsMPG + Var'!$K$10+COUNTIF(BDD!H444:AR444,7)*'ButsMPG + Var'!$K$9+COUNTIF(BDD!H444:AR444,6)*'ButsMPG + Var'!$K$8+COUNTIF(BDD!H444:AR444,5)*'ButsMPG + Var'!$K$7+COUNTIF(BDD!H444:AR444,4)*'ButsMPG + Var'!$K$6+COUNTIF(BDD!H444:AR444,3)*'ButsMPG + Var'!$K$5+COUNTIF(BDD!H444:AR444,2)*'ButsMPG + Var'!$K$4+COUNTIF(BDD!H444:AR444,1)*'ButsMPG + Var'!$K$3,IF(C441="M",COUNTIF(BDD!H444:AR444,10)*'ButsMPG + Var'!$K$22+COUNTIF(BDD!H444:AR444,9)*'ButsMPG + Var'!$K$21+COUNTIF(BDD!H444:AR444,8)*'ButsMPG + Var'!$K$20+COUNTIF(BDD!H444:AR444,7)*'ButsMPG + Var'!$K$19+COUNTIF(BDD!H444:AR444,6)*'ButsMPG + Var'!$K$18+COUNTIF(BDD!H444:AR444,5)*'ButsMPG + Var'!$K$17+COUNTIF(BDD!H444:AR444,4)*'ButsMPG + Var'!$K$16+COUNTIF(BDD!H444:AR444,3)*'ButsMPG + Var'!$K$15+COUNTIF(BDD!H444:AR444,2)*'ButsMPG + Var'!$K$14+COUNTIF(BDD!H444:AR444,1)*'ButsMPG + Var'!$K$13,IF(C441="D",COUNTIF(BDD!H444:AR444,10)*'ButsMPG + Var'!$K$32+COUNTIF(BDD!H444:AR444,9)*'ButsMPG + Var'!$K$31+COUNTIF(BDD!H444:AR444,8)*'ButsMPG + Var'!$K$30+COUNTIF(BDD!H444:AR444,7)*'ButsMPG + Var'!$K$29+COUNTIF(BDD!H444:AR444,6)*'ButsMPG + Var'!$K$28+COUNTIF(BDD!H444:AR444,5)*'ButsMPG + Var'!$K$27+COUNTIF(BDD!H444:AR444,4)*'ButsMPG + Var'!$K$26+COUNTIF(BDD!H444:AR444,3)*'ButsMPG + Var'!$K$25+COUNTIF(BDD!H444:AR444,2)*'ButsMPG + Var'!$K$24+COUNTIF(BDD!H444:AR444,1)*'ButsMPG + Var'!$K$23,0)))</f>
        <v>0</v>
      </c>
      <c r="H441" s="25">
        <f t="shared" si="7"/>
        <v>0</v>
      </c>
      <c r="I441" s="25">
        <f>BDD!G444</f>
        <v>0</v>
      </c>
      <c r="J441" s="25">
        <f>SUMPRODUCT(BDD!H444:AS444,'ButsMPG + Var'!$B$46:$AM$46)</f>
        <v>0</v>
      </c>
      <c r="K441" s="25" t="e">
        <f>10*('ButsMPG + Var'!$H$37*J441/MAX(J:J)+'ButsMPG + Var'!$G$37*H441/MAX(H:H))</f>
        <v>#DIV/0!</v>
      </c>
      <c r="L441" s="1">
        <f>IF(ISNA(VLOOKUP(B441,PrixMini!$B$3:$E$573,4,FALSE)),1,VLOOKUP(B441,PrixMini!$B$3:$E$573,4,FALSE))</f>
        <v>1</v>
      </c>
      <c r="M441" s="25" t="e">
        <f>IF(ROUND(CalculCotation!$D$3*EXP(CalculCotation!$C$3*K441)-CalculCotation!$D$3+1,0)&gt;L441,ROUND(CalculCotation!$D$3*EXP(CalculCotation!$C$3*K441)-CalculCotation!$D$3+1,0),L441)</f>
        <v>#DIV/0!</v>
      </c>
    </row>
    <row r="442" spans="2:13" x14ac:dyDescent="0.3">
      <c r="B442" s="1">
        <f>BDD!C445</f>
        <v>0</v>
      </c>
      <c r="C442" s="1">
        <f>BDD!B445</f>
        <v>0</v>
      </c>
      <c r="D442" s="1">
        <f>BDD!A445</f>
        <v>0</v>
      </c>
      <c r="E442" s="1">
        <f>BDD!D445</f>
        <v>0</v>
      </c>
      <c r="F442" s="1">
        <f>BDD!F445</f>
        <v>0</v>
      </c>
      <c r="G442" s="25">
        <f>'ButsMPG + Var'!$I$39*IF(C442="A",COUNTIF(BDD!H445:AR445,10)*'ButsMPG + Var'!$K$12+COUNTIF(BDD!H445:AR445,9)*'ButsMPG + Var'!$K$11+COUNTIF(BDD!H445:AR445,8)*'ButsMPG + Var'!$K$10+COUNTIF(BDD!H445:AR445,7)*'ButsMPG + Var'!$K$9+COUNTIF(BDD!H445:AR445,6)*'ButsMPG + Var'!$K$8+COUNTIF(BDD!H445:AR445,5)*'ButsMPG + Var'!$K$7+COUNTIF(BDD!H445:AR445,4)*'ButsMPG + Var'!$K$6+COUNTIF(BDD!H445:AR445,3)*'ButsMPG + Var'!$K$5+COUNTIF(BDD!H445:AR445,2)*'ButsMPG + Var'!$K$4+COUNTIF(BDD!H445:AR445,1)*'ButsMPG + Var'!$K$3,IF(C442="M",COUNTIF(BDD!H445:AR445,10)*'ButsMPG + Var'!$K$22+COUNTIF(BDD!H445:AR445,9)*'ButsMPG + Var'!$K$21+COUNTIF(BDD!H445:AR445,8)*'ButsMPG + Var'!$K$20+COUNTIF(BDD!H445:AR445,7)*'ButsMPG + Var'!$K$19+COUNTIF(BDD!H445:AR445,6)*'ButsMPG + Var'!$K$18+COUNTIF(BDD!H445:AR445,5)*'ButsMPG + Var'!$K$17+COUNTIF(BDD!H445:AR445,4)*'ButsMPG + Var'!$K$16+COUNTIF(BDD!H445:AR445,3)*'ButsMPG + Var'!$K$15+COUNTIF(BDD!H445:AR445,2)*'ButsMPG + Var'!$K$14+COUNTIF(BDD!H445:AR445,1)*'ButsMPG + Var'!$K$13,IF(C442="D",COUNTIF(BDD!H445:AR445,10)*'ButsMPG + Var'!$K$32+COUNTIF(BDD!H445:AR445,9)*'ButsMPG + Var'!$K$31+COUNTIF(BDD!H445:AR445,8)*'ButsMPG + Var'!$K$30+COUNTIF(BDD!H445:AR445,7)*'ButsMPG + Var'!$K$29+COUNTIF(BDD!H445:AR445,6)*'ButsMPG + Var'!$K$28+COUNTIF(BDD!H445:AR445,5)*'ButsMPG + Var'!$K$27+COUNTIF(BDD!H445:AR445,4)*'ButsMPG + Var'!$K$26+COUNTIF(BDD!H445:AR445,3)*'ButsMPG + Var'!$K$25+COUNTIF(BDD!H445:AR445,2)*'ButsMPG + Var'!$K$24+COUNTIF(BDD!H445:AR445,1)*'ButsMPG + Var'!$K$23,0)))</f>
        <v>0</v>
      </c>
      <c r="H442" s="25">
        <f t="shared" si="7"/>
        <v>0</v>
      </c>
      <c r="I442" s="25">
        <f>BDD!G445</f>
        <v>0</v>
      </c>
      <c r="J442" s="25">
        <f>SUMPRODUCT(BDD!H445:AS445,'ButsMPG + Var'!$B$46:$AM$46)</f>
        <v>0</v>
      </c>
      <c r="K442" s="25" t="e">
        <f>10*('ButsMPG + Var'!$H$37*J442/MAX(J:J)+'ButsMPG + Var'!$G$37*H442/MAX(H:H))</f>
        <v>#DIV/0!</v>
      </c>
      <c r="L442" s="1">
        <f>IF(ISNA(VLOOKUP(B442,PrixMini!$B$3:$E$573,4,FALSE)),1,VLOOKUP(B442,PrixMini!$B$3:$E$573,4,FALSE))</f>
        <v>1</v>
      </c>
      <c r="M442" s="25" t="e">
        <f>IF(ROUND(CalculCotation!$D$3*EXP(CalculCotation!$C$3*K442)-CalculCotation!$D$3+1,0)&gt;L442,ROUND(CalculCotation!$D$3*EXP(CalculCotation!$C$3*K442)-CalculCotation!$D$3+1,0),L442)</f>
        <v>#DIV/0!</v>
      </c>
    </row>
    <row r="443" spans="2:13" x14ac:dyDescent="0.3">
      <c r="B443" s="1">
        <f>BDD!C446</f>
        <v>0</v>
      </c>
      <c r="C443" s="1">
        <f>BDD!B446</f>
        <v>0</v>
      </c>
      <c r="D443" s="1">
        <f>BDD!A446</f>
        <v>0</v>
      </c>
      <c r="E443" s="1">
        <f>BDD!D446</f>
        <v>0</v>
      </c>
      <c r="F443" s="1">
        <f>BDD!F446</f>
        <v>0</v>
      </c>
      <c r="G443" s="25">
        <f>'ButsMPG + Var'!$I$39*IF(C443="A",COUNTIF(BDD!H446:AR446,10)*'ButsMPG + Var'!$K$12+COUNTIF(BDD!H446:AR446,9)*'ButsMPG + Var'!$K$11+COUNTIF(BDD!H446:AR446,8)*'ButsMPG + Var'!$K$10+COUNTIF(BDD!H446:AR446,7)*'ButsMPG + Var'!$K$9+COUNTIF(BDD!H446:AR446,6)*'ButsMPG + Var'!$K$8+COUNTIF(BDD!H446:AR446,5)*'ButsMPG + Var'!$K$7+COUNTIF(BDD!H446:AR446,4)*'ButsMPG + Var'!$K$6+COUNTIF(BDD!H446:AR446,3)*'ButsMPG + Var'!$K$5+COUNTIF(BDD!H446:AR446,2)*'ButsMPG + Var'!$K$4+COUNTIF(BDD!H446:AR446,1)*'ButsMPG + Var'!$K$3,IF(C443="M",COUNTIF(BDD!H446:AR446,10)*'ButsMPG + Var'!$K$22+COUNTIF(BDD!H446:AR446,9)*'ButsMPG + Var'!$K$21+COUNTIF(BDD!H446:AR446,8)*'ButsMPG + Var'!$K$20+COUNTIF(BDD!H446:AR446,7)*'ButsMPG + Var'!$K$19+COUNTIF(BDD!H446:AR446,6)*'ButsMPG + Var'!$K$18+COUNTIF(BDD!H446:AR446,5)*'ButsMPG + Var'!$K$17+COUNTIF(BDD!H446:AR446,4)*'ButsMPG + Var'!$K$16+COUNTIF(BDD!H446:AR446,3)*'ButsMPG + Var'!$K$15+COUNTIF(BDD!H446:AR446,2)*'ButsMPG + Var'!$K$14+COUNTIF(BDD!H446:AR446,1)*'ButsMPG + Var'!$K$13,IF(C443="D",COUNTIF(BDD!H446:AR446,10)*'ButsMPG + Var'!$K$32+COUNTIF(BDD!H446:AR446,9)*'ButsMPG + Var'!$K$31+COUNTIF(BDD!H446:AR446,8)*'ButsMPG + Var'!$K$30+COUNTIF(BDD!H446:AR446,7)*'ButsMPG + Var'!$K$29+COUNTIF(BDD!H446:AR446,6)*'ButsMPG + Var'!$K$28+COUNTIF(BDD!H446:AR446,5)*'ButsMPG + Var'!$K$27+COUNTIF(BDD!H446:AR446,4)*'ButsMPG + Var'!$K$26+COUNTIF(BDD!H446:AR446,3)*'ButsMPG + Var'!$K$25+COUNTIF(BDD!H446:AR446,2)*'ButsMPG + Var'!$K$24+COUNTIF(BDD!H446:AR446,1)*'ButsMPG + Var'!$K$23,0)))</f>
        <v>0</v>
      </c>
      <c r="H443" s="25">
        <f t="shared" si="7"/>
        <v>0</v>
      </c>
      <c r="I443" s="25">
        <f>BDD!G446</f>
        <v>0</v>
      </c>
      <c r="J443" s="25">
        <f>SUMPRODUCT(BDD!H446:AS446,'ButsMPG + Var'!$B$46:$AM$46)</f>
        <v>0</v>
      </c>
      <c r="K443" s="25" t="e">
        <f>10*('ButsMPG + Var'!$H$37*J443/MAX(J:J)+'ButsMPG + Var'!$G$37*H443/MAX(H:H))</f>
        <v>#DIV/0!</v>
      </c>
      <c r="L443" s="1">
        <f>IF(ISNA(VLOOKUP(B443,PrixMini!$B$3:$E$573,4,FALSE)),1,VLOOKUP(B443,PrixMini!$B$3:$E$573,4,FALSE))</f>
        <v>1</v>
      </c>
      <c r="M443" s="25" t="e">
        <f>IF(ROUND(CalculCotation!$D$3*EXP(CalculCotation!$C$3*K443)-CalculCotation!$D$3+1,0)&gt;L443,ROUND(CalculCotation!$D$3*EXP(CalculCotation!$C$3*K443)-CalculCotation!$D$3+1,0),L443)</f>
        <v>#DIV/0!</v>
      </c>
    </row>
    <row r="444" spans="2:13" x14ac:dyDescent="0.3">
      <c r="B444" s="1">
        <f>BDD!C447</f>
        <v>0</v>
      </c>
      <c r="C444" s="1">
        <f>BDD!B447</f>
        <v>0</v>
      </c>
      <c r="D444" s="1">
        <f>BDD!A447</f>
        <v>0</v>
      </c>
      <c r="E444" s="1">
        <f>BDD!D447</f>
        <v>0</v>
      </c>
      <c r="F444" s="1">
        <f>BDD!F447</f>
        <v>0</v>
      </c>
      <c r="G444" s="25">
        <f>'ButsMPG + Var'!$I$39*IF(C444="A",COUNTIF(BDD!H447:AR447,10)*'ButsMPG + Var'!$K$12+COUNTIF(BDD!H447:AR447,9)*'ButsMPG + Var'!$K$11+COUNTIF(BDD!H447:AR447,8)*'ButsMPG + Var'!$K$10+COUNTIF(BDD!H447:AR447,7)*'ButsMPG + Var'!$K$9+COUNTIF(BDD!H447:AR447,6)*'ButsMPG + Var'!$K$8+COUNTIF(BDD!H447:AR447,5)*'ButsMPG + Var'!$K$7+COUNTIF(BDD!H447:AR447,4)*'ButsMPG + Var'!$K$6+COUNTIF(BDD!H447:AR447,3)*'ButsMPG + Var'!$K$5+COUNTIF(BDD!H447:AR447,2)*'ButsMPG + Var'!$K$4+COUNTIF(BDD!H447:AR447,1)*'ButsMPG + Var'!$K$3,IF(C444="M",COUNTIF(BDD!H447:AR447,10)*'ButsMPG + Var'!$K$22+COUNTIF(BDD!H447:AR447,9)*'ButsMPG + Var'!$K$21+COUNTIF(BDD!H447:AR447,8)*'ButsMPG + Var'!$K$20+COUNTIF(BDD!H447:AR447,7)*'ButsMPG + Var'!$K$19+COUNTIF(BDD!H447:AR447,6)*'ButsMPG + Var'!$K$18+COUNTIF(BDD!H447:AR447,5)*'ButsMPG + Var'!$K$17+COUNTIF(BDD!H447:AR447,4)*'ButsMPG + Var'!$K$16+COUNTIF(BDD!H447:AR447,3)*'ButsMPG + Var'!$K$15+COUNTIF(BDD!H447:AR447,2)*'ButsMPG + Var'!$K$14+COUNTIF(BDD!H447:AR447,1)*'ButsMPG + Var'!$K$13,IF(C444="D",COUNTIF(BDD!H447:AR447,10)*'ButsMPG + Var'!$K$32+COUNTIF(BDD!H447:AR447,9)*'ButsMPG + Var'!$K$31+COUNTIF(BDD!H447:AR447,8)*'ButsMPG + Var'!$K$30+COUNTIF(BDD!H447:AR447,7)*'ButsMPG + Var'!$K$29+COUNTIF(BDD!H447:AR447,6)*'ButsMPG + Var'!$K$28+COUNTIF(BDD!H447:AR447,5)*'ButsMPG + Var'!$K$27+COUNTIF(BDD!H447:AR447,4)*'ButsMPG + Var'!$K$26+COUNTIF(BDD!H447:AR447,3)*'ButsMPG + Var'!$K$25+COUNTIF(BDD!H447:AR447,2)*'ButsMPG + Var'!$K$24+COUNTIF(BDD!H447:AR447,1)*'ButsMPG + Var'!$K$23,0)))</f>
        <v>0</v>
      </c>
      <c r="H444" s="25">
        <f t="shared" si="7"/>
        <v>0</v>
      </c>
      <c r="I444" s="25">
        <f>BDD!G447</f>
        <v>0</v>
      </c>
      <c r="J444" s="25">
        <f>SUMPRODUCT(BDD!H447:AS447,'ButsMPG + Var'!$B$46:$AM$46)</f>
        <v>0</v>
      </c>
      <c r="K444" s="25" t="e">
        <f>10*('ButsMPG + Var'!$H$37*J444/MAX(J:J)+'ButsMPG + Var'!$G$37*H444/MAX(H:H))</f>
        <v>#DIV/0!</v>
      </c>
      <c r="L444" s="1">
        <f>IF(ISNA(VLOOKUP(B444,PrixMini!$B$3:$E$573,4,FALSE)),1,VLOOKUP(B444,PrixMini!$B$3:$E$573,4,FALSE))</f>
        <v>1</v>
      </c>
      <c r="M444" s="25" t="e">
        <f>IF(ROUND(CalculCotation!$D$3*EXP(CalculCotation!$C$3*K444)-CalculCotation!$D$3+1,0)&gt;L444,ROUND(CalculCotation!$D$3*EXP(CalculCotation!$C$3*K444)-CalculCotation!$D$3+1,0),L444)</f>
        <v>#DIV/0!</v>
      </c>
    </row>
    <row r="445" spans="2:13" x14ac:dyDescent="0.3">
      <c r="B445" s="1">
        <f>BDD!C448</f>
        <v>0</v>
      </c>
      <c r="C445" s="1">
        <f>BDD!B448</f>
        <v>0</v>
      </c>
      <c r="D445" s="1">
        <f>BDD!A448</f>
        <v>0</v>
      </c>
      <c r="E445" s="1">
        <f>BDD!D448</f>
        <v>0</v>
      </c>
      <c r="F445" s="1">
        <f>BDD!F448</f>
        <v>0</v>
      </c>
      <c r="G445" s="25">
        <f>'ButsMPG + Var'!$I$39*IF(C445="A",COUNTIF(BDD!H448:AR448,10)*'ButsMPG + Var'!$K$12+COUNTIF(BDD!H448:AR448,9)*'ButsMPG + Var'!$K$11+COUNTIF(BDD!H448:AR448,8)*'ButsMPG + Var'!$K$10+COUNTIF(BDD!H448:AR448,7)*'ButsMPG + Var'!$K$9+COUNTIF(BDD!H448:AR448,6)*'ButsMPG + Var'!$K$8+COUNTIF(BDD!H448:AR448,5)*'ButsMPG + Var'!$K$7+COUNTIF(BDD!H448:AR448,4)*'ButsMPG + Var'!$K$6+COUNTIF(BDD!H448:AR448,3)*'ButsMPG + Var'!$K$5+COUNTIF(BDD!H448:AR448,2)*'ButsMPG + Var'!$K$4+COUNTIF(BDD!H448:AR448,1)*'ButsMPG + Var'!$K$3,IF(C445="M",COUNTIF(BDD!H448:AR448,10)*'ButsMPG + Var'!$K$22+COUNTIF(BDD!H448:AR448,9)*'ButsMPG + Var'!$K$21+COUNTIF(BDD!H448:AR448,8)*'ButsMPG + Var'!$K$20+COUNTIF(BDD!H448:AR448,7)*'ButsMPG + Var'!$K$19+COUNTIF(BDD!H448:AR448,6)*'ButsMPG + Var'!$K$18+COUNTIF(BDD!H448:AR448,5)*'ButsMPG + Var'!$K$17+COUNTIF(BDD!H448:AR448,4)*'ButsMPG + Var'!$K$16+COUNTIF(BDD!H448:AR448,3)*'ButsMPG + Var'!$K$15+COUNTIF(BDD!H448:AR448,2)*'ButsMPG + Var'!$K$14+COUNTIF(BDD!H448:AR448,1)*'ButsMPG + Var'!$K$13,IF(C445="D",COUNTIF(BDD!H448:AR448,10)*'ButsMPG + Var'!$K$32+COUNTIF(BDD!H448:AR448,9)*'ButsMPG + Var'!$K$31+COUNTIF(BDD!H448:AR448,8)*'ButsMPG + Var'!$K$30+COUNTIF(BDD!H448:AR448,7)*'ButsMPG + Var'!$K$29+COUNTIF(BDD!H448:AR448,6)*'ButsMPG + Var'!$K$28+COUNTIF(BDD!H448:AR448,5)*'ButsMPG + Var'!$K$27+COUNTIF(BDD!H448:AR448,4)*'ButsMPG + Var'!$K$26+COUNTIF(BDD!H448:AR448,3)*'ButsMPG + Var'!$K$25+COUNTIF(BDD!H448:AR448,2)*'ButsMPG + Var'!$K$24+COUNTIF(BDD!H448:AR448,1)*'ButsMPG + Var'!$K$23,0)))</f>
        <v>0</v>
      </c>
      <c r="H445" s="25">
        <f t="shared" si="7"/>
        <v>0</v>
      </c>
      <c r="I445" s="25">
        <f>BDD!G448</f>
        <v>0</v>
      </c>
      <c r="J445" s="25">
        <f>SUMPRODUCT(BDD!H448:AS448,'ButsMPG + Var'!$B$46:$AM$46)</f>
        <v>0</v>
      </c>
      <c r="K445" s="25" t="e">
        <f>10*('ButsMPG + Var'!$H$37*J445/MAX(J:J)+'ButsMPG + Var'!$G$37*H445/MAX(H:H))</f>
        <v>#DIV/0!</v>
      </c>
      <c r="L445" s="1">
        <f>IF(ISNA(VLOOKUP(B445,PrixMini!$B$3:$E$573,4,FALSE)),1,VLOOKUP(B445,PrixMini!$B$3:$E$573,4,FALSE))</f>
        <v>1</v>
      </c>
      <c r="M445" s="25" t="e">
        <f>IF(ROUND(CalculCotation!$D$3*EXP(CalculCotation!$C$3*K445)-CalculCotation!$D$3+1,0)&gt;L445,ROUND(CalculCotation!$D$3*EXP(CalculCotation!$C$3*K445)-CalculCotation!$D$3+1,0),L445)</f>
        <v>#DIV/0!</v>
      </c>
    </row>
    <row r="446" spans="2:13" x14ac:dyDescent="0.3">
      <c r="B446" s="1">
        <f>BDD!C449</f>
        <v>0</v>
      </c>
      <c r="C446" s="1">
        <f>BDD!B449</f>
        <v>0</v>
      </c>
      <c r="D446" s="1">
        <f>BDD!A449</f>
        <v>0</v>
      </c>
      <c r="E446" s="1">
        <f>BDD!D449</f>
        <v>0</v>
      </c>
      <c r="F446" s="1">
        <f>BDD!F449</f>
        <v>0</v>
      </c>
      <c r="G446" s="25">
        <f>'ButsMPG + Var'!$I$39*IF(C446="A",COUNTIF(BDD!H449:AR449,10)*'ButsMPG + Var'!$K$12+COUNTIF(BDD!H449:AR449,9)*'ButsMPG + Var'!$K$11+COUNTIF(BDD!H449:AR449,8)*'ButsMPG + Var'!$K$10+COUNTIF(BDD!H449:AR449,7)*'ButsMPG + Var'!$K$9+COUNTIF(BDD!H449:AR449,6)*'ButsMPG + Var'!$K$8+COUNTIF(BDD!H449:AR449,5)*'ButsMPG + Var'!$K$7+COUNTIF(BDD!H449:AR449,4)*'ButsMPG + Var'!$K$6+COUNTIF(BDD!H449:AR449,3)*'ButsMPG + Var'!$K$5+COUNTIF(BDD!H449:AR449,2)*'ButsMPG + Var'!$K$4+COUNTIF(BDD!H449:AR449,1)*'ButsMPG + Var'!$K$3,IF(C446="M",COUNTIF(BDD!H449:AR449,10)*'ButsMPG + Var'!$K$22+COUNTIF(BDD!H449:AR449,9)*'ButsMPG + Var'!$K$21+COUNTIF(BDD!H449:AR449,8)*'ButsMPG + Var'!$K$20+COUNTIF(BDD!H449:AR449,7)*'ButsMPG + Var'!$K$19+COUNTIF(BDD!H449:AR449,6)*'ButsMPG + Var'!$K$18+COUNTIF(BDD!H449:AR449,5)*'ButsMPG + Var'!$K$17+COUNTIF(BDD!H449:AR449,4)*'ButsMPG + Var'!$K$16+COUNTIF(BDD!H449:AR449,3)*'ButsMPG + Var'!$K$15+COUNTIF(BDD!H449:AR449,2)*'ButsMPG + Var'!$K$14+COUNTIF(BDD!H449:AR449,1)*'ButsMPG + Var'!$K$13,IF(C446="D",COUNTIF(BDD!H449:AR449,10)*'ButsMPG + Var'!$K$32+COUNTIF(BDD!H449:AR449,9)*'ButsMPG + Var'!$K$31+COUNTIF(BDD!H449:AR449,8)*'ButsMPG + Var'!$K$30+COUNTIF(BDD!H449:AR449,7)*'ButsMPG + Var'!$K$29+COUNTIF(BDD!H449:AR449,6)*'ButsMPG + Var'!$K$28+COUNTIF(BDD!H449:AR449,5)*'ButsMPG + Var'!$K$27+COUNTIF(BDD!H449:AR449,4)*'ButsMPG + Var'!$K$26+COUNTIF(BDD!H449:AR449,3)*'ButsMPG + Var'!$K$25+COUNTIF(BDD!H449:AR449,2)*'ButsMPG + Var'!$K$24+COUNTIF(BDD!H449:AR449,1)*'ButsMPG + Var'!$K$23,0)))</f>
        <v>0</v>
      </c>
      <c r="H446" s="25">
        <f t="shared" si="7"/>
        <v>0</v>
      </c>
      <c r="I446" s="25">
        <f>BDD!G449</f>
        <v>0</v>
      </c>
      <c r="J446" s="25">
        <f>SUMPRODUCT(BDD!H449:AS449,'ButsMPG + Var'!$B$46:$AM$46)</f>
        <v>0</v>
      </c>
      <c r="K446" s="25" t="e">
        <f>10*('ButsMPG + Var'!$H$37*J446/MAX(J:J)+'ButsMPG + Var'!$G$37*H446/MAX(H:H))</f>
        <v>#DIV/0!</v>
      </c>
      <c r="L446" s="1">
        <f>IF(ISNA(VLOOKUP(B446,PrixMini!$B$3:$E$573,4,FALSE)),1,VLOOKUP(B446,PrixMini!$B$3:$E$573,4,FALSE))</f>
        <v>1</v>
      </c>
      <c r="M446" s="25" t="e">
        <f>IF(ROUND(CalculCotation!$D$3*EXP(CalculCotation!$C$3*K446)-CalculCotation!$D$3+1,0)&gt;L446,ROUND(CalculCotation!$D$3*EXP(CalculCotation!$C$3*K446)-CalculCotation!$D$3+1,0),L446)</f>
        <v>#DIV/0!</v>
      </c>
    </row>
    <row r="447" spans="2:13" x14ac:dyDescent="0.3">
      <c r="B447" s="1">
        <f>BDD!C450</f>
        <v>0</v>
      </c>
      <c r="C447" s="1">
        <f>BDD!B450</f>
        <v>0</v>
      </c>
      <c r="D447" s="1">
        <f>BDD!A450</f>
        <v>0</v>
      </c>
      <c r="E447" s="1">
        <f>BDD!D450</f>
        <v>0</v>
      </c>
      <c r="F447" s="1">
        <f>BDD!F450</f>
        <v>0</v>
      </c>
      <c r="G447" s="25">
        <f>'ButsMPG + Var'!$I$39*IF(C447="A",COUNTIF(BDD!H450:AR450,10)*'ButsMPG + Var'!$K$12+COUNTIF(BDD!H450:AR450,9)*'ButsMPG + Var'!$K$11+COUNTIF(BDD!H450:AR450,8)*'ButsMPG + Var'!$K$10+COUNTIF(BDD!H450:AR450,7)*'ButsMPG + Var'!$K$9+COUNTIF(BDD!H450:AR450,6)*'ButsMPG + Var'!$K$8+COUNTIF(BDD!H450:AR450,5)*'ButsMPG + Var'!$K$7+COUNTIF(BDD!H450:AR450,4)*'ButsMPG + Var'!$K$6+COUNTIF(BDD!H450:AR450,3)*'ButsMPG + Var'!$K$5+COUNTIF(BDD!H450:AR450,2)*'ButsMPG + Var'!$K$4+COUNTIF(BDD!H450:AR450,1)*'ButsMPG + Var'!$K$3,IF(C447="M",COUNTIF(BDD!H450:AR450,10)*'ButsMPG + Var'!$K$22+COUNTIF(BDD!H450:AR450,9)*'ButsMPG + Var'!$K$21+COUNTIF(BDD!H450:AR450,8)*'ButsMPG + Var'!$K$20+COUNTIF(BDD!H450:AR450,7)*'ButsMPG + Var'!$K$19+COUNTIF(BDD!H450:AR450,6)*'ButsMPG + Var'!$K$18+COUNTIF(BDD!H450:AR450,5)*'ButsMPG + Var'!$K$17+COUNTIF(BDD!H450:AR450,4)*'ButsMPG + Var'!$K$16+COUNTIF(BDD!H450:AR450,3)*'ButsMPG + Var'!$K$15+COUNTIF(BDD!H450:AR450,2)*'ButsMPG + Var'!$K$14+COUNTIF(BDD!H450:AR450,1)*'ButsMPG + Var'!$K$13,IF(C447="D",COUNTIF(BDD!H450:AR450,10)*'ButsMPG + Var'!$K$32+COUNTIF(BDD!H450:AR450,9)*'ButsMPG + Var'!$K$31+COUNTIF(BDD!H450:AR450,8)*'ButsMPG + Var'!$K$30+COUNTIF(BDD!H450:AR450,7)*'ButsMPG + Var'!$K$29+COUNTIF(BDD!H450:AR450,6)*'ButsMPG + Var'!$K$28+COUNTIF(BDD!H450:AR450,5)*'ButsMPG + Var'!$K$27+COUNTIF(BDD!H450:AR450,4)*'ButsMPG + Var'!$K$26+COUNTIF(BDD!H450:AR450,3)*'ButsMPG + Var'!$K$25+COUNTIF(BDD!H450:AR450,2)*'ButsMPG + Var'!$K$24+COUNTIF(BDD!H450:AR450,1)*'ButsMPG + Var'!$K$23,0)))</f>
        <v>0</v>
      </c>
      <c r="H447" s="25">
        <f t="shared" si="7"/>
        <v>0</v>
      </c>
      <c r="I447" s="25">
        <f>BDD!G450</f>
        <v>0</v>
      </c>
      <c r="J447" s="25">
        <f>SUMPRODUCT(BDD!H450:AS450,'ButsMPG + Var'!$B$46:$AM$46)</f>
        <v>0</v>
      </c>
      <c r="K447" s="25" t="e">
        <f>10*('ButsMPG + Var'!$H$37*J447/MAX(J:J)+'ButsMPG + Var'!$G$37*H447/MAX(H:H))</f>
        <v>#DIV/0!</v>
      </c>
      <c r="L447" s="1">
        <f>IF(ISNA(VLOOKUP(B447,PrixMini!$B$3:$E$573,4,FALSE)),1,VLOOKUP(B447,PrixMini!$B$3:$E$573,4,FALSE))</f>
        <v>1</v>
      </c>
      <c r="M447" s="25" t="e">
        <f>IF(ROUND(CalculCotation!$D$3*EXP(CalculCotation!$C$3*K447)-CalculCotation!$D$3+1,0)&gt;L447,ROUND(CalculCotation!$D$3*EXP(CalculCotation!$C$3*K447)-CalculCotation!$D$3+1,0),L447)</f>
        <v>#DIV/0!</v>
      </c>
    </row>
    <row r="448" spans="2:13" x14ac:dyDescent="0.3">
      <c r="B448" s="1">
        <f>BDD!C451</f>
        <v>0</v>
      </c>
      <c r="C448" s="1">
        <f>BDD!B451</f>
        <v>0</v>
      </c>
      <c r="D448" s="1">
        <f>BDD!A451</f>
        <v>0</v>
      </c>
      <c r="E448" s="1">
        <f>BDD!D451</f>
        <v>0</v>
      </c>
      <c r="F448" s="1">
        <f>BDD!F451</f>
        <v>0</v>
      </c>
      <c r="G448" s="25">
        <f>'ButsMPG + Var'!$I$39*IF(C448="A",COUNTIF(BDD!H451:AR451,10)*'ButsMPG + Var'!$K$12+COUNTIF(BDD!H451:AR451,9)*'ButsMPG + Var'!$K$11+COUNTIF(BDD!H451:AR451,8)*'ButsMPG + Var'!$K$10+COUNTIF(BDD!H451:AR451,7)*'ButsMPG + Var'!$K$9+COUNTIF(BDD!H451:AR451,6)*'ButsMPG + Var'!$K$8+COUNTIF(BDD!H451:AR451,5)*'ButsMPG + Var'!$K$7+COUNTIF(BDD!H451:AR451,4)*'ButsMPG + Var'!$K$6+COUNTIF(BDD!H451:AR451,3)*'ButsMPG + Var'!$K$5+COUNTIF(BDD!H451:AR451,2)*'ButsMPG + Var'!$K$4+COUNTIF(BDD!H451:AR451,1)*'ButsMPG + Var'!$K$3,IF(C448="M",COUNTIF(BDD!H451:AR451,10)*'ButsMPG + Var'!$K$22+COUNTIF(BDD!H451:AR451,9)*'ButsMPG + Var'!$K$21+COUNTIF(BDD!H451:AR451,8)*'ButsMPG + Var'!$K$20+COUNTIF(BDD!H451:AR451,7)*'ButsMPG + Var'!$K$19+COUNTIF(BDD!H451:AR451,6)*'ButsMPG + Var'!$K$18+COUNTIF(BDD!H451:AR451,5)*'ButsMPG + Var'!$K$17+COUNTIF(BDD!H451:AR451,4)*'ButsMPG + Var'!$K$16+COUNTIF(BDD!H451:AR451,3)*'ButsMPG + Var'!$K$15+COUNTIF(BDD!H451:AR451,2)*'ButsMPG + Var'!$K$14+COUNTIF(BDD!H451:AR451,1)*'ButsMPG + Var'!$K$13,IF(C448="D",COUNTIF(BDD!H451:AR451,10)*'ButsMPG + Var'!$K$32+COUNTIF(BDD!H451:AR451,9)*'ButsMPG + Var'!$K$31+COUNTIF(BDD!H451:AR451,8)*'ButsMPG + Var'!$K$30+COUNTIF(BDD!H451:AR451,7)*'ButsMPG + Var'!$K$29+COUNTIF(BDD!H451:AR451,6)*'ButsMPG + Var'!$K$28+COUNTIF(BDD!H451:AR451,5)*'ButsMPG + Var'!$K$27+COUNTIF(BDD!H451:AR451,4)*'ButsMPG + Var'!$K$26+COUNTIF(BDD!H451:AR451,3)*'ButsMPG + Var'!$K$25+COUNTIF(BDD!H451:AR451,2)*'ButsMPG + Var'!$K$24+COUNTIF(BDD!H451:AR451,1)*'ButsMPG + Var'!$K$23,0)))</f>
        <v>0</v>
      </c>
      <c r="H448" s="25">
        <f t="shared" si="7"/>
        <v>0</v>
      </c>
      <c r="I448" s="25">
        <f>BDD!G451</f>
        <v>0</v>
      </c>
      <c r="J448" s="25">
        <f>SUMPRODUCT(BDD!H451:AS451,'ButsMPG + Var'!$B$46:$AM$46)</f>
        <v>0</v>
      </c>
      <c r="K448" s="25" t="e">
        <f>10*('ButsMPG + Var'!$H$37*J448/MAX(J:J)+'ButsMPG + Var'!$G$37*H448/MAX(H:H))</f>
        <v>#DIV/0!</v>
      </c>
      <c r="L448" s="1">
        <f>IF(ISNA(VLOOKUP(B448,PrixMini!$B$3:$E$573,4,FALSE)),1,VLOOKUP(B448,PrixMini!$B$3:$E$573,4,FALSE))</f>
        <v>1</v>
      </c>
      <c r="M448" s="25" t="e">
        <f>IF(ROUND(CalculCotation!$D$3*EXP(CalculCotation!$C$3*K448)-CalculCotation!$D$3+1,0)&gt;L448,ROUND(CalculCotation!$D$3*EXP(CalculCotation!$C$3*K448)-CalculCotation!$D$3+1,0),L448)</f>
        <v>#DIV/0!</v>
      </c>
    </row>
    <row r="449" spans="2:13" x14ac:dyDescent="0.3">
      <c r="B449" s="1">
        <f>BDD!C452</f>
        <v>0</v>
      </c>
      <c r="C449" s="1">
        <f>BDD!B452</f>
        <v>0</v>
      </c>
      <c r="D449" s="1">
        <f>BDD!A452</f>
        <v>0</v>
      </c>
      <c r="E449" s="1">
        <f>BDD!D452</f>
        <v>0</v>
      </c>
      <c r="F449" s="1">
        <f>BDD!F452</f>
        <v>0</v>
      </c>
      <c r="G449" s="25">
        <f>'ButsMPG + Var'!$I$39*IF(C449="A",COUNTIF(BDD!H452:AR452,10)*'ButsMPG + Var'!$K$12+COUNTIF(BDD!H452:AR452,9)*'ButsMPG + Var'!$K$11+COUNTIF(BDD!H452:AR452,8)*'ButsMPG + Var'!$K$10+COUNTIF(BDD!H452:AR452,7)*'ButsMPG + Var'!$K$9+COUNTIF(BDD!H452:AR452,6)*'ButsMPG + Var'!$K$8+COUNTIF(BDD!H452:AR452,5)*'ButsMPG + Var'!$K$7+COUNTIF(BDD!H452:AR452,4)*'ButsMPG + Var'!$K$6+COUNTIF(BDD!H452:AR452,3)*'ButsMPG + Var'!$K$5+COUNTIF(BDD!H452:AR452,2)*'ButsMPG + Var'!$K$4+COUNTIF(BDD!H452:AR452,1)*'ButsMPG + Var'!$K$3,IF(C449="M",COUNTIF(BDD!H452:AR452,10)*'ButsMPG + Var'!$K$22+COUNTIF(BDD!H452:AR452,9)*'ButsMPG + Var'!$K$21+COUNTIF(BDD!H452:AR452,8)*'ButsMPG + Var'!$K$20+COUNTIF(BDD!H452:AR452,7)*'ButsMPG + Var'!$K$19+COUNTIF(BDD!H452:AR452,6)*'ButsMPG + Var'!$K$18+COUNTIF(BDD!H452:AR452,5)*'ButsMPG + Var'!$K$17+COUNTIF(BDD!H452:AR452,4)*'ButsMPG + Var'!$K$16+COUNTIF(BDD!H452:AR452,3)*'ButsMPG + Var'!$K$15+COUNTIF(BDD!H452:AR452,2)*'ButsMPG + Var'!$K$14+COUNTIF(BDD!H452:AR452,1)*'ButsMPG + Var'!$K$13,IF(C449="D",COUNTIF(BDD!H452:AR452,10)*'ButsMPG + Var'!$K$32+COUNTIF(BDD!H452:AR452,9)*'ButsMPG + Var'!$K$31+COUNTIF(BDD!H452:AR452,8)*'ButsMPG + Var'!$K$30+COUNTIF(BDD!H452:AR452,7)*'ButsMPG + Var'!$K$29+COUNTIF(BDD!H452:AR452,6)*'ButsMPG + Var'!$K$28+COUNTIF(BDD!H452:AR452,5)*'ButsMPG + Var'!$K$27+COUNTIF(BDD!H452:AR452,4)*'ButsMPG + Var'!$K$26+COUNTIF(BDD!H452:AR452,3)*'ButsMPG + Var'!$K$25+COUNTIF(BDD!H452:AR452,2)*'ButsMPG + Var'!$K$24+COUNTIF(BDD!H452:AR452,1)*'ButsMPG + Var'!$K$23,0)))</f>
        <v>0</v>
      </c>
      <c r="H449" s="25">
        <f t="shared" si="7"/>
        <v>0</v>
      </c>
      <c r="I449" s="25">
        <f>BDD!G452</f>
        <v>0</v>
      </c>
      <c r="J449" s="25">
        <f>SUMPRODUCT(BDD!H452:AS452,'ButsMPG + Var'!$B$46:$AM$46)</f>
        <v>0</v>
      </c>
      <c r="K449" s="25" t="e">
        <f>10*('ButsMPG + Var'!$H$37*J449/MAX(J:J)+'ButsMPG + Var'!$G$37*H449/MAX(H:H))</f>
        <v>#DIV/0!</v>
      </c>
      <c r="L449" s="1">
        <f>IF(ISNA(VLOOKUP(B449,PrixMini!$B$3:$E$573,4,FALSE)),1,VLOOKUP(B449,PrixMini!$B$3:$E$573,4,FALSE))</f>
        <v>1</v>
      </c>
      <c r="M449" s="25" t="e">
        <f>IF(ROUND(CalculCotation!$D$3*EXP(CalculCotation!$C$3*K449)-CalculCotation!$D$3+1,0)&gt;L449,ROUND(CalculCotation!$D$3*EXP(CalculCotation!$C$3*K449)-CalculCotation!$D$3+1,0),L449)</f>
        <v>#DIV/0!</v>
      </c>
    </row>
    <row r="450" spans="2:13" x14ac:dyDescent="0.3">
      <c r="B450" s="1">
        <f>BDD!C453</f>
        <v>0</v>
      </c>
      <c r="C450" s="1">
        <f>BDD!B453</f>
        <v>0</v>
      </c>
      <c r="D450" s="1">
        <f>BDD!A453</f>
        <v>0</v>
      </c>
      <c r="E450" s="1">
        <f>BDD!D453</f>
        <v>0</v>
      </c>
      <c r="F450" s="1">
        <f>BDD!F453</f>
        <v>0</v>
      </c>
      <c r="G450" s="25">
        <f>'ButsMPG + Var'!$I$39*IF(C450="A",COUNTIF(BDD!H453:AR453,10)*'ButsMPG + Var'!$K$12+COUNTIF(BDD!H453:AR453,9)*'ButsMPG + Var'!$K$11+COUNTIF(BDD!H453:AR453,8)*'ButsMPG + Var'!$K$10+COUNTIF(BDD!H453:AR453,7)*'ButsMPG + Var'!$K$9+COUNTIF(BDD!H453:AR453,6)*'ButsMPG + Var'!$K$8+COUNTIF(BDD!H453:AR453,5)*'ButsMPG + Var'!$K$7+COUNTIF(BDD!H453:AR453,4)*'ButsMPG + Var'!$K$6+COUNTIF(BDD!H453:AR453,3)*'ButsMPG + Var'!$K$5+COUNTIF(BDD!H453:AR453,2)*'ButsMPG + Var'!$K$4+COUNTIF(BDD!H453:AR453,1)*'ButsMPG + Var'!$K$3,IF(C450="M",COUNTIF(BDD!H453:AR453,10)*'ButsMPG + Var'!$K$22+COUNTIF(BDD!H453:AR453,9)*'ButsMPG + Var'!$K$21+COUNTIF(BDD!H453:AR453,8)*'ButsMPG + Var'!$K$20+COUNTIF(BDD!H453:AR453,7)*'ButsMPG + Var'!$K$19+COUNTIF(BDD!H453:AR453,6)*'ButsMPG + Var'!$K$18+COUNTIF(BDD!H453:AR453,5)*'ButsMPG + Var'!$K$17+COUNTIF(BDD!H453:AR453,4)*'ButsMPG + Var'!$K$16+COUNTIF(BDD!H453:AR453,3)*'ButsMPG + Var'!$K$15+COUNTIF(BDD!H453:AR453,2)*'ButsMPG + Var'!$K$14+COUNTIF(BDD!H453:AR453,1)*'ButsMPG + Var'!$K$13,IF(C450="D",COUNTIF(BDD!H453:AR453,10)*'ButsMPG + Var'!$K$32+COUNTIF(BDD!H453:AR453,9)*'ButsMPG + Var'!$K$31+COUNTIF(BDD!H453:AR453,8)*'ButsMPG + Var'!$K$30+COUNTIF(BDD!H453:AR453,7)*'ButsMPG + Var'!$K$29+COUNTIF(BDD!H453:AR453,6)*'ButsMPG + Var'!$K$28+COUNTIF(BDD!H453:AR453,5)*'ButsMPG + Var'!$K$27+COUNTIF(BDD!H453:AR453,4)*'ButsMPG + Var'!$K$26+COUNTIF(BDD!H453:AR453,3)*'ButsMPG + Var'!$K$25+COUNTIF(BDD!H453:AR453,2)*'ButsMPG + Var'!$K$24+COUNTIF(BDD!H453:AR453,1)*'ButsMPG + Var'!$K$23,0)))</f>
        <v>0</v>
      </c>
      <c r="H450" s="25">
        <f t="shared" si="7"/>
        <v>0</v>
      </c>
      <c r="I450" s="25">
        <f>BDD!G453</f>
        <v>0</v>
      </c>
      <c r="J450" s="25">
        <f>SUMPRODUCT(BDD!H453:AS453,'ButsMPG + Var'!$B$46:$AM$46)</f>
        <v>0</v>
      </c>
      <c r="K450" s="25" t="e">
        <f>10*('ButsMPG + Var'!$H$37*J450/MAX(J:J)+'ButsMPG + Var'!$G$37*H450/MAX(H:H))</f>
        <v>#DIV/0!</v>
      </c>
      <c r="L450" s="1">
        <f>IF(ISNA(VLOOKUP(B450,PrixMini!$B$3:$E$573,4,FALSE)),1,VLOOKUP(B450,PrixMini!$B$3:$E$573,4,FALSE))</f>
        <v>1</v>
      </c>
      <c r="M450" s="25" t="e">
        <f>IF(ROUND(CalculCotation!$D$3*EXP(CalculCotation!$C$3*K450)-CalculCotation!$D$3+1,0)&gt;L450,ROUND(CalculCotation!$D$3*EXP(CalculCotation!$C$3*K450)-CalculCotation!$D$3+1,0),L450)</f>
        <v>#DIV/0!</v>
      </c>
    </row>
    <row r="451" spans="2:13" x14ac:dyDescent="0.3">
      <c r="B451" s="1">
        <f>BDD!C454</f>
        <v>0</v>
      </c>
      <c r="C451" s="1">
        <f>BDD!B454</f>
        <v>0</v>
      </c>
      <c r="D451" s="1">
        <f>BDD!A454</f>
        <v>0</v>
      </c>
      <c r="E451" s="1">
        <f>BDD!D454</f>
        <v>0</v>
      </c>
      <c r="F451" s="1">
        <f>BDD!F454</f>
        <v>0</v>
      </c>
      <c r="G451" s="25">
        <f>'ButsMPG + Var'!$I$39*IF(C451="A",COUNTIF(BDD!H454:AR454,10)*'ButsMPG + Var'!$K$12+COUNTIF(BDD!H454:AR454,9)*'ButsMPG + Var'!$K$11+COUNTIF(BDD!H454:AR454,8)*'ButsMPG + Var'!$K$10+COUNTIF(BDD!H454:AR454,7)*'ButsMPG + Var'!$K$9+COUNTIF(BDD!H454:AR454,6)*'ButsMPG + Var'!$K$8+COUNTIF(BDD!H454:AR454,5)*'ButsMPG + Var'!$K$7+COUNTIF(BDD!H454:AR454,4)*'ButsMPG + Var'!$K$6+COUNTIF(BDD!H454:AR454,3)*'ButsMPG + Var'!$K$5+COUNTIF(BDD!H454:AR454,2)*'ButsMPG + Var'!$K$4+COUNTIF(BDD!H454:AR454,1)*'ButsMPG + Var'!$K$3,IF(C451="M",COUNTIF(BDD!H454:AR454,10)*'ButsMPG + Var'!$K$22+COUNTIF(BDD!H454:AR454,9)*'ButsMPG + Var'!$K$21+COUNTIF(BDD!H454:AR454,8)*'ButsMPG + Var'!$K$20+COUNTIF(BDD!H454:AR454,7)*'ButsMPG + Var'!$K$19+COUNTIF(BDD!H454:AR454,6)*'ButsMPG + Var'!$K$18+COUNTIF(BDD!H454:AR454,5)*'ButsMPG + Var'!$K$17+COUNTIF(BDD!H454:AR454,4)*'ButsMPG + Var'!$K$16+COUNTIF(BDD!H454:AR454,3)*'ButsMPG + Var'!$K$15+COUNTIF(BDD!H454:AR454,2)*'ButsMPG + Var'!$K$14+COUNTIF(BDD!H454:AR454,1)*'ButsMPG + Var'!$K$13,IF(C451="D",COUNTIF(BDD!H454:AR454,10)*'ButsMPG + Var'!$K$32+COUNTIF(BDD!H454:AR454,9)*'ButsMPG + Var'!$K$31+COUNTIF(BDD!H454:AR454,8)*'ButsMPG + Var'!$K$30+COUNTIF(BDD!H454:AR454,7)*'ButsMPG + Var'!$K$29+COUNTIF(BDD!H454:AR454,6)*'ButsMPG + Var'!$K$28+COUNTIF(BDD!H454:AR454,5)*'ButsMPG + Var'!$K$27+COUNTIF(BDD!H454:AR454,4)*'ButsMPG + Var'!$K$26+COUNTIF(BDD!H454:AR454,3)*'ButsMPG + Var'!$K$25+COUNTIF(BDD!H454:AR454,2)*'ButsMPG + Var'!$K$24+COUNTIF(BDD!H454:AR454,1)*'ButsMPG + Var'!$K$23,0)))</f>
        <v>0</v>
      </c>
      <c r="H451" s="25">
        <f t="shared" si="7"/>
        <v>0</v>
      </c>
      <c r="I451" s="25">
        <f>BDD!G454</f>
        <v>0</v>
      </c>
      <c r="J451" s="25">
        <f>SUMPRODUCT(BDD!H454:AS454,'ButsMPG + Var'!$B$46:$AM$46)</f>
        <v>0</v>
      </c>
      <c r="K451" s="25" t="e">
        <f>10*('ButsMPG + Var'!$H$37*J451/MAX(J:J)+'ButsMPG + Var'!$G$37*H451/MAX(H:H))</f>
        <v>#DIV/0!</v>
      </c>
      <c r="L451" s="1">
        <f>IF(ISNA(VLOOKUP(B451,PrixMini!$B$3:$E$573,4,FALSE)),1,VLOOKUP(B451,PrixMini!$B$3:$E$573,4,FALSE))</f>
        <v>1</v>
      </c>
      <c r="M451" s="25" t="e">
        <f>IF(ROUND(CalculCotation!$D$3*EXP(CalculCotation!$C$3*K451)-CalculCotation!$D$3+1,0)&gt;L451,ROUND(CalculCotation!$D$3*EXP(CalculCotation!$C$3*K451)-CalculCotation!$D$3+1,0),L451)</f>
        <v>#DIV/0!</v>
      </c>
    </row>
    <row r="452" spans="2:13" x14ac:dyDescent="0.3">
      <c r="B452" s="1">
        <f>BDD!C455</f>
        <v>0</v>
      </c>
      <c r="C452" s="1">
        <f>BDD!B455</f>
        <v>0</v>
      </c>
      <c r="D452" s="1">
        <f>BDD!A455</f>
        <v>0</v>
      </c>
      <c r="E452" s="1">
        <f>BDD!D455</f>
        <v>0</v>
      </c>
      <c r="F452" s="1">
        <f>BDD!F455</f>
        <v>0</v>
      </c>
      <c r="G452" s="25">
        <f>'ButsMPG + Var'!$I$39*IF(C452="A",COUNTIF(BDD!H455:AR455,10)*'ButsMPG + Var'!$K$12+COUNTIF(BDD!H455:AR455,9)*'ButsMPG + Var'!$K$11+COUNTIF(BDD!H455:AR455,8)*'ButsMPG + Var'!$K$10+COUNTIF(BDD!H455:AR455,7)*'ButsMPG + Var'!$K$9+COUNTIF(BDD!H455:AR455,6)*'ButsMPG + Var'!$K$8+COUNTIF(BDD!H455:AR455,5)*'ButsMPG + Var'!$K$7+COUNTIF(BDD!H455:AR455,4)*'ButsMPG + Var'!$K$6+COUNTIF(BDD!H455:AR455,3)*'ButsMPG + Var'!$K$5+COUNTIF(BDD!H455:AR455,2)*'ButsMPG + Var'!$K$4+COUNTIF(BDD!H455:AR455,1)*'ButsMPG + Var'!$K$3,IF(C452="M",COUNTIF(BDD!H455:AR455,10)*'ButsMPG + Var'!$K$22+COUNTIF(BDD!H455:AR455,9)*'ButsMPG + Var'!$K$21+COUNTIF(BDD!H455:AR455,8)*'ButsMPG + Var'!$K$20+COUNTIF(BDD!H455:AR455,7)*'ButsMPG + Var'!$K$19+COUNTIF(BDD!H455:AR455,6)*'ButsMPG + Var'!$K$18+COUNTIF(BDD!H455:AR455,5)*'ButsMPG + Var'!$K$17+COUNTIF(BDD!H455:AR455,4)*'ButsMPG + Var'!$K$16+COUNTIF(BDD!H455:AR455,3)*'ButsMPG + Var'!$K$15+COUNTIF(BDD!H455:AR455,2)*'ButsMPG + Var'!$K$14+COUNTIF(BDD!H455:AR455,1)*'ButsMPG + Var'!$K$13,IF(C452="D",COUNTIF(BDD!H455:AR455,10)*'ButsMPG + Var'!$K$32+COUNTIF(BDD!H455:AR455,9)*'ButsMPG + Var'!$K$31+COUNTIF(BDD!H455:AR455,8)*'ButsMPG + Var'!$K$30+COUNTIF(BDD!H455:AR455,7)*'ButsMPG + Var'!$K$29+COUNTIF(BDD!H455:AR455,6)*'ButsMPG + Var'!$K$28+COUNTIF(BDD!H455:AR455,5)*'ButsMPG + Var'!$K$27+COUNTIF(BDD!H455:AR455,4)*'ButsMPG + Var'!$K$26+COUNTIF(BDD!H455:AR455,3)*'ButsMPG + Var'!$K$25+COUNTIF(BDD!H455:AR455,2)*'ButsMPG + Var'!$K$24+COUNTIF(BDD!H455:AR455,1)*'ButsMPG + Var'!$K$23,0)))</f>
        <v>0</v>
      </c>
      <c r="H452" s="25">
        <f t="shared" ref="H452:H515" si="8">SUM(F452:G452)</f>
        <v>0</v>
      </c>
      <c r="I452" s="25">
        <f>BDD!G455</f>
        <v>0</v>
      </c>
      <c r="J452" s="25">
        <f>SUMPRODUCT(BDD!H455:AS455,'ButsMPG + Var'!$B$46:$AM$46)</f>
        <v>0</v>
      </c>
      <c r="K452" s="25" t="e">
        <f>10*('ButsMPG + Var'!$H$37*J452/MAX(J:J)+'ButsMPG + Var'!$G$37*H452/MAX(H:H))</f>
        <v>#DIV/0!</v>
      </c>
      <c r="L452" s="1">
        <f>IF(ISNA(VLOOKUP(B452,PrixMini!$B$3:$E$573,4,FALSE)),1,VLOOKUP(B452,PrixMini!$B$3:$E$573,4,FALSE))</f>
        <v>1</v>
      </c>
      <c r="M452" s="25" t="e">
        <f>IF(ROUND(CalculCotation!$D$3*EXP(CalculCotation!$C$3*K452)-CalculCotation!$D$3+1,0)&gt;L452,ROUND(CalculCotation!$D$3*EXP(CalculCotation!$C$3*K452)-CalculCotation!$D$3+1,0),L452)</f>
        <v>#DIV/0!</v>
      </c>
    </row>
    <row r="453" spans="2:13" x14ac:dyDescent="0.3">
      <c r="B453" s="1">
        <f>BDD!C456</f>
        <v>0</v>
      </c>
      <c r="C453" s="1">
        <f>BDD!B456</f>
        <v>0</v>
      </c>
      <c r="D453" s="1">
        <f>BDD!A456</f>
        <v>0</v>
      </c>
      <c r="E453" s="1">
        <f>BDD!D456</f>
        <v>0</v>
      </c>
      <c r="F453" s="1">
        <f>BDD!F456</f>
        <v>0</v>
      </c>
      <c r="G453" s="25">
        <f>'ButsMPG + Var'!$I$39*IF(C453="A",COUNTIF(BDD!H456:AR456,10)*'ButsMPG + Var'!$K$12+COUNTIF(BDD!H456:AR456,9)*'ButsMPG + Var'!$K$11+COUNTIF(BDD!H456:AR456,8)*'ButsMPG + Var'!$K$10+COUNTIF(BDD!H456:AR456,7)*'ButsMPG + Var'!$K$9+COUNTIF(BDD!H456:AR456,6)*'ButsMPG + Var'!$K$8+COUNTIF(BDD!H456:AR456,5)*'ButsMPG + Var'!$K$7+COUNTIF(BDD!H456:AR456,4)*'ButsMPG + Var'!$K$6+COUNTIF(BDD!H456:AR456,3)*'ButsMPG + Var'!$K$5+COUNTIF(BDD!H456:AR456,2)*'ButsMPG + Var'!$K$4+COUNTIF(BDD!H456:AR456,1)*'ButsMPG + Var'!$K$3,IF(C453="M",COUNTIF(BDD!H456:AR456,10)*'ButsMPG + Var'!$K$22+COUNTIF(BDD!H456:AR456,9)*'ButsMPG + Var'!$K$21+COUNTIF(BDD!H456:AR456,8)*'ButsMPG + Var'!$K$20+COUNTIF(BDD!H456:AR456,7)*'ButsMPG + Var'!$K$19+COUNTIF(BDD!H456:AR456,6)*'ButsMPG + Var'!$K$18+COUNTIF(BDD!H456:AR456,5)*'ButsMPG + Var'!$K$17+COUNTIF(BDD!H456:AR456,4)*'ButsMPG + Var'!$K$16+COUNTIF(BDD!H456:AR456,3)*'ButsMPG + Var'!$K$15+COUNTIF(BDD!H456:AR456,2)*'ButsMPG + Var'!$K$14+COUNTIF(BDD!H456:AR456,1)*'ButsMPG + Var'!$K$13,IF(C453="D",COUNTIF(BDD!H456:AR456,10)*'ButsMPG + Var'!$K$32+COUNTIF(BDD!H456:AR456,9)*'ButsMPG + Var'!$K$31+COUNTIF(BDD!H456:AR456,8)*'ButsMPG + Var'!$K$30+COUNTIF(BDD!H456:AR456,7)*'ButsMPG + Var'!$K$29+COUNTIF(BDD!H456:AR456,6)*'ButsMPG + Var'!$K$28+COUNTIF(BDD!H456:AR456,5)*'ButsMPG + Var'!$K$27+COUNTIF(BDD!H456:AR456,4)*'ButsMPG + Var'!$K$26+COUNTIF(BDD!H456:AR456,3)*'ButsMPG + Var'!$K$25+COUNTIF(BDD!H456:AR456,2)*'ButsMPG + Var'!$K$24+COUNTIF(BDD!H456:AR456,1)*'ButsMPG + Var'!$K$23,0)))</f>
        <v>0</v>
      </c>
      <c r="H453" s="25">
        <f t="shared" si="8"/>
        <v>0</v>
      </c>
      <c r="I453" s="25">
        <f>BDD!G456</f>
        <v>0</v>
      </c>
      <c r="J453" s="25">
        <f>SUMPRODUCT(BDD!H456:AS456,'ButsMPG + Var'!$B$46:$AM$46)</f>
        <v>0</v>
      </c>
      <c r="K453" s="25" t="e">
        <f>10*('ButsMPG + Var'!$H$37*J453/MAX(J:J)+'ButsMPG + Var'!$G$37*H453/MAX(H:H))</f>
        <v>#DIV/0!</v>
      </c>
      <c r="L453" s="1">
        <f>IF(ISNA(VLOOKUP(B453,PrixMini!$B$3:$E$573,4,FALSE)),1,VLOOKUP(B453,PrixMini!$B$3:$E$573,4,FALSE))</f>
        <v>1</v>
      </c>
      <c r="M453" s="25" t="e">
        <f>IF(ROUND(CalculCotation!$D$3*EXP(CalculCotation!$C$3*K453)-CalculCotation!$D$3+1,0)&gt;L453,ROUND(CalculCotation!$D$3*EXP(CalculCotation!$C$3*K453)-CalculCotation!$D$3+1,0),L453)</f>
        <v>#DIV/0!</v>
      </c>
    </row>
    <row r="454" spans="2:13" x14ac:dyDescent="0.3">
      <c r="B454" s="1">
        <f>BDD!C457</f>
        <v>0</v>
      </c>
      <c r="C454" s="1">
        <f>BDD!B457</f>
        <v>0</v>
      </c>
      <c r="D454" s="1">
        <f>BDD!A457</f>
        <v>0</v>
      </c>
      <c r="E454" s="1">
        <f>BDD!D457</f>
        <v>0</v>
      </c>
      <c r="F454" s="1">
        <f>BDD!F457</f>
        <v>0</v>
      </c>
      <c r="G454" s="25">
        <f>'ButsMPG + Var'!$I$39*IF(C454="A",COUNTIF(BDD!H457:AR457,10)*'ButsMPG + Var'!$K$12+COUNTIF(BDD!H457:AR457,9)*'ButsMPG + Var'!$K$11+COUNTIF(BDD!H457:AR457,8)*'ButsMPG + Var'!$K$10+COUNTIF(BDD!H457:AR457,7)*'ButsMPG + Var'!$K$9+COUNTIF(BDD!H457:AR457,6)*'ButsMPG + Var'!$K$8+COUNTIF(BDD!H457:AR457,5)*'ButsMPG + Var'!$K$7+COUNTIF(BDD!H457:AR457,4)*'ButsMPG + Var'!$K$6+COUNTIF(BDD!H457:AR457,3)*'ButsMPG + Var'!$K$5+COUNTIF(BDD!H457:AR457,2)*'ButsMPG + Var'!$K$4+COUNTIF(BDD!H457:AR457,1)*'ButsMPG + Var'!$K$3,IF(C454="M",COUNTIF(BDD!H457:AR457,10)*'ButsMPG + Var'!$K$22+COUNTIF(BDD!H457:AR457,9)*'ButsMPG + Var'!$K$21+COUNTIF(BDD!H457:AR457,8)*'ButsMPG + Var'!$K$20+COUNTIF(BDD!H457:AR457,7)*'ButsMPG + Var'!$K$19+COUNTIF(BDD!H457:AR457,6)*'ButsMPG + Var'!$K$18+COUNTIF(BDD!H457:AR457,5)*'ButsMPG + Var'!$K$17+COUNTIF(BDD!H457:AR457,4)*'ButsMPG + Var'!$K$16+COUNTIF(BDD!H457:AR457,3)*'ButsMPG + Var'!$K$15+COUNTIF(BDD!H457:AR457,2)*'ButsMPG + Var'!$K$14+COUNTIF(BDD!H457:AR457,1)*'ButsMPG + Var'!$K$13,IF(C454="D",COUNTIF(BDD!H457:AR457,10)*'ButsMPG + Var'!$K$32+COUNTIF(BDD!H457:AR457,9)*'ButsMPG + Var'!$K$31+COUNTIF(BDD!H457:AR457,8)*'ButsMPG + Var'!$K$30+COUNTIF(BDD!H457:AR457,7)*'ButsMPG + Var'!$K$29+COUNTIF(BDD!H457:AR457,6)*'ButsMPG + Var'!$K$28+COUNTIF(BDD!H457:AR457,5)*'ButsMPG + Var'!$K$27+COUNTIF(BDD!H457:AR457,4)*'ButsMPG + Var'!$K$26+COUNTIF(BDD!H457:AR457,3)*'ButsMPG + Var'!$K$25+COUNTIF(BDD!H457:AR457,2)*'ButsMPG + Var'!$K$24+COUNTIF(BDD!H457:AR457,1)*'ButsMPG + Var'!$K$23,0)))</f>
        <v>0</v>
      </c>
      <c r="H454" s="25">
        <f t="shared" si="8"/>
        <v>0</v>
      </c>
      <c r="I454" s="25">
        <f>BDD!G457</f>
        <v>0</v>
      </c>
      <c r="J454" s="25">
        <f>SUMPRODUCT(BDD!H457:AS457,'ButsMPG + Var'!$B$46:$AM$46)</f>
        <v>0</v>
      </c>
      <c r="K454" s="25" t="e">
        <f>10*('ButsMPG + Var'!$H$37*J454/MAX(J:J)+'ButsMPG + Var'!$G$37*H454/MAX(H:H))</f>
        <v>#DIV/0!</v>
      </c>
      <c r="L454" s="1">
        <f>IF(ISNA(VLOOKUP(B454,PrixMini!$B$3:$E$573,4,FALSE)),1,VLOOKUP(B454,PrixMini!$B$3:$E$573,4,FALSE))</f>
        <v>1</v>
      </c>
      <c r="M454" s="25" t="e">
        <f>IF(ROUND(CalculCotation!$D$3*EXP(CalculCotation!$C$3*K454)-CalculCotation!$D$3+1,0)&gt;L454,ROUND(CalculCotation!$D$3*EXP(CalculCotation!$C$3*K454)-CalculCotation!$D$3+1,0),L454)</f>
        <v>#DIV/0!</v>
      </c>
    </row>
    <row r="455" spans="2:13" x14ac:dyDescent="0.3">
      <c r="B455" s="1">
        <f>BDD!C458</f>
        <v>0</v>
      </c>
      <c r="C455" s="1">
        <f>BDD!B458</f>
        <v>0</v>
      </c>
      <c r="D455" s="1">
        <f>BDD!A458</f>
        <v>0</v>
      </c>
      <c r="E455" s="1">
        <f>BDD!D458</f>
        <v>0</v>
      </c>
      <c r="F455" s="1">
        <f>BDD!F458</f>
        <v>0</v>
      </c>
      <c r="G455" s="25">
        <f>'ButsMPG + Var'!$I$39*IF(C455="A",COUNTIF(BDD!H458:AR458,10)*'ButsMPG + Var'!$K$12+COUNTIF(BDD!H458:AR458,9)*'ButsMPG + Var'!$K$11+COUNTIF(BDD!H458:AR458,8)*'ButsMPG + Var'!$K$10+COUNTIF(BDD!H458:AR458,7)*'ButsMPG + Var'!$K$9+COUNTIF(BDD!H458:AR458,6)*'ButsMPG + Var'!$K$8+COUNTIF(BDD!H458:AR458,5)*'ButsMPG + Var'!$K$7+COUNTIF(BDD!H458:AR458,4)*'ButsMPG + Var'!$K$6+COUNTIF(BDD!H458:AR458,3)*'ButsMPG + Var'!$K$5+COUNTIF(BDD!H458:AR458,2)*'ButsMPG + Var'!$K$4+COUNTIF(BDD!H458:AR458,1)*'ButsMPG + Var'!$K$3,IF(C455="M",COUNTIF(BDD!H458:AR458,10)*'ButsMPG + Var'!$K$22+COUNTIF(BDD!H458:AR458,9)*'ButsMPG + Var'!$K$21+COUNTIF(BDD!H458:AR458,8)*'ButsMPG + Var'!$K$20+COUNTIF(BDD!H458:AR458,7)*'ButsMPG + Var'!$K$19+COUNTIF(BDD!H458:AR458,6)*'ButsMPG + Var'!$K$18+COUNTIF(BDD!H458:AR458,5)*'ButsMPG + Var'!$K$17+COUNTIF(BDD!H458:AR458,4)*'ButsMPG + Var'!$K$16+COUNTIF(BDD!H458:AR458,3)*'ButsMPG + Var'!$K$15+COUNTIF(BDD!H458:AR458,2)*'ButsMPG + Var'!$K$14+COUNTIF(BDD!H458:AR458,1)*'ButsMPG + Var'!$K$13,IF(C455="D",COUNTIF(BDD!H458:AR458,10)*'ButsMPG + Var'!$K$32+COUNTIF(BDD!H458:AR458,9)*'ButsMPG + Var'!$K$31+COUNTIF(BDD!H458:AR458,8)*'ButsMPG + Var'!$K$30+COUNTIF(BDD!H458:AR458,7)*'ButsMPG + Var'!$K$29+COUNTIF(BDD!H458:AR458,6)*'ButsMPG + Var'!$K$28+COUNTIF(BDD!H458:AR458,5)*'ButsMPG + Var'!$K$27+COUNTIF(BDD!H458:AR458,4)*'ButsMPG + Var'!$K$26+COUNTIF(BDD!H458:AR458,3)*'ButsMPG + Var'!$K$25+COUNTIF(BDD!H458:AR458,2)*'ButsMPG + Var'!$K$24+COUNTIF(BDD!H458:AR458,1)*'ButsMPG + Var'!$K$23,0)))</f>
        <v>0</v>
      </c>
      <c r="H455" s="25">
        <f t="shared" si="8"/>
        <v>0</v>
      </c>
      <c r="I455" s="25">
        <f>BDD!G458</f>
        <v>0</v>
      </c>
      <c r="J455" s="25">
        <f>SUMPRODUCT(BDD!H458:AS458,'ButsMPG + Var'!$B$46:$AM$46)</f>
        <v>0</v>
      </c>
      <c r="K455" s="25" t="e">
        <f>10*('ButsMPG + Var'!$H$37*J455/MAX(J:J)+'ButsMPG + Var'!$G$37*H455/MAX(H:H))</f>
        <v>#DIV/0!</v>
      </c>
      <c r="L455" s="1">
        <f>IF(ISNA(VLOOKUP(B455,PrixMini!$B$3:$E$573,4,FALSE)),1,VLOOKUP(B455,PrixMini!$B$3:$E$573,4,FALSE))</f>
        <v>1</v>
      </c>
      <c r="M455" s="25" t="e">
        <f>IF(ROUND(CalculCotation!$D$3*EXP(CalculCotation!$C$3*K455)-CalculCotation!$D$3+1,0)&gt;L455,ROUND(CalculCotation!$D$3*EXP(CalculCotation!$C$3*K455)-CalculCotation!$D$3+1,0),L455)</f>
        <v>#DIV/0!</v>
      </c>
    </row>
    <row r="456" spans="2:13" x14ac:dyDescent="0.3">
      <c r="B456" s="1">
        <f>BDD!C459</f>
        <v>0</v>
      </c>
      <c r="C456" s="1">
        <f>BDD!B459</f>
        <v>0</v>
      </c>
      <c r="D456" s="1">
        <f>BDD!A459</f>
        <v>0</v>
      </c>
      <c r="E456" s="1">
        <f>BDD!D459</f>
        <v>0</v>
      </c>
      <c r="F456" s="1">
        <f>BDD!F459</f>
        <v>0</v>
      </c>
      <c r="G456" s="25">
        <f>'ButsMPG + Var'!$I$39*IF(C456="A",COUNTIF(BDD!H459:AR459,10)*'ButsMPG + Var'!$K$12+COUNTIF(BDD!H459:AR459,9)*'ButsMPG + Var'!$K$11+COUNTIF(BDD!H459:AR459,8)*'ButsMPG + Var'!$K$10+COUNTIF(BDD!H459:AR459,7)*'ButsMPG + Var'!$K$9+COUNTIF(BDD!H459:AR459,6)*'ButsMPG + Var'!$K$8+COUNTIF(BDD!H459:AR459,5)*'ButsMPG + Var'!$K$7+COUNTIF(BDD!H459:AR459,4)*'ButsMPG + Var'!$K$6+COUNTIF(BDD!H459:AR459,3)*'ButsMPG + Var'!$K$5+COUNTIF(BDD!H459:AR459,2)*'ButsMPG + Var'!$K$4+COUNTIF(BDD!H459:AR459,1)*'ButsMPG + Var'!$K$3,IF(C456="M",COUNTIF(BDD!H459:AR459,10)*'ButsMPG + Var'!$K$22+COUNTIF(BDD!H459:AR459,9)*'ButsMPG + Var'!$K$21+COUNTIF(BDD!H459:AR459,8)*'ButsMPG + Var'!$K$20+COUNTIF(BDD!H459:AR459,7)*'ButsMPG + Var'!$K$19+COUNTIF(BDD!H459:AR459,6)*'ButsMPG + Var'!$K$18+COUNTIF(BDD!H459:AR459,5)*'ButsMPG + Var'!$K$17+COUNTIF(BDD!H459:AR459,4)*'ButsMPG + Var'!$K$16+COUNTIF(BDD!H459:AR459,3)*'ButsMPG + Var'!$K$15+COUNTIF(BDD!H459:AR459,2)*'ButsMPG + Var'!$K$14+COUNTIF(BDD!H459:AR459,1)*'ButsMPG + Var'!$K$13,IF(C456="D",COUNTIF(BDD!H459:AR459,10)*'ButsMPG + Var'!$K$32+COUNTIF(BDD!H459:AR459,9)*'ButsMPG + Var'!$K$31+COUNTIF(BDD!H459:AR459,8)*'ButsMPG + Var'!$K$30+COUNTIF(BDD!H459:AR459,7)*'ButsMPG + Var'!$K$29+COUNTIF(BDD!H459:AR459,6)*'ButsMPG + Var'!$K$28+COUNTIF(BDD!H459:AR459,5)*'ButsMPG + Var'!$K$27+COUNTIF(BDD!H459:AR459,4)*'ButsMPG + Var'!$K$26+COUNTIF(BDD!H459:AR459,3)*'ButsMPG + Var'!$K$25+COUNTIF(BDD!H459:AR459,2)*'ButsMPG + Var'!$K$24+COUNTIF(BDD!H459:AR459,1)*'ButsMPG + Var'!$K$23,0)))</f>
        <v>0</v>
      </c>
      <c r="H456" s="25">
        <f t="shared" si="8"/>
        <v>0</v>
      </c>
      <c r="I456" s="25">
        <f>BDD!G459</f>
        <v>0</v>
      </c>
      <c r="J456" s="25">
        <f>SUMPRODUCT(BDD!H459:AS459,'ButsMPG + Var'!$B$46:$AM$46)</f>
        <v>0</v>
      </c>
      <c r="K456" s="25" t="e">
        <f>10*('ButsMPG + Var'!$H$37*J456/MAX(J:J)+'ButsMPG + Var'!$G$37*H456/MAX(H:H))</f>
        <v>#DIV/0!</v>
      </c>
      <c r="L456" s="1">
        <f>IF(ISNA(VLOOKUP(B456,PrixMini!$B$3:$E$573,4,FALSE)),1,VLOOKUP(B456,PrixMini!$B$3:$E$573,4,FALSE))</f>
        <v>1</v>
      </c>
      <c r="M456" s="25" t="e">
        <f>IF(ROUND(CalculCotation!$D$3*EXP(CalculCotation!$C$3*K456)-CalculCotation!$D$3+1,0)&gt;L456,ROUND(CalculCotation!$D$3*EXP(CalculCotation!$C$3*K456)-CalculCotation!$D$3+1,0),L456)</f>
        <v>#DIV/0!</v>
      </c>
    </row>
    <row r="457" spans="2:13" x14ac:dyDescent="0.3">
      <c r="B457" s="1">
        <f>BDD!C460</f>
        <v>0</v>
      </c>
      <c r="C457" s="1">
        <f>BDD!B460</f>
        <v>0</v>
      </c>
      <c r="D457" s="1">
        <f>BDD!A460</f>
        <v>0</v>
      </c>
      <c r="E457" s="1">
        <f>BDD!D460</f>
        <v>0</v>
      </c>
      <c r="F457" s="1">
        <f>BDD!F460</f>
        <v>0</v>
      </c>
      <c r="G457" s="25">
        <f>'ButsMPG + Var'!$I$39*IF(C457="A",COUNTIF(BDD!H460:AR460,10)*'ButsMPG + Var'!$K$12+COUNTIF(BDD!H460:AR460,9)*'ButsMPG + Var'!$K$11+COUNTIF(BDD!H460:AR460,8)*'ButsMPG + Var'!$K$10+COUNTIF(BDD!H460:AR460,7)*'ButsMPG + Var'!$K$9+COUNTIF(BDD!H460:AR460,6)*'ButsMPG + Var'!$K$8+COUNTIF(BDD!H460:AR460,5)*'ButsMPG + Var'!$K$7+COUNTIF(BDD!H460:AR460,4)*'ButsMPG + Var'!$K$6+COUNTIF(BDD!H460:AR460,3)*'ButsMPG + Var'!$K$5+COUNTIF(BDD!H460:AR460,2)*'ButsMPG + Var'!$K$4+COUNTIF(BDD!H460:AR460,1)*'ButsMPG + Var'!$K$3,IF(C457="M",COUNTIF(BDD!H460:AR460,10)*'ButsMPG + Var'!$K$22+COUNTIF(BDD!H460:AR460,9)*'ButsMPG + Var'!$K$21+COUNTIF(BDD!H460:AR460,8)*'ButsMPG + Var'!$K$20+COUNTIF(BDD!H460:AR460,7)*'ButsMPG + Var'!$K$19+COUNTIF(BDD!H460:AR460,6)*'ButsMPG + Var'!$K$18+COUNTIF(BDD!H460:AR460,5)*'ButsMPG + Var'!$K$17+COUNTIF(BDD!H460:AR460,4)*'ButsMPG + Var'!$K$16+COUNTIF(BDD!H460:AR460,3)*'ButsMPG + Var'!$K$15+COUNTIF(BDD!H460:AR460,2)*'ButsMPG + Var'!$K$14+COUNTIF(BDD!H460:AR460,1)*'ButsMPG + Var'!$K$13,IF(C457="D",COUNTIF(BDD!H460:AR460,10)*'ButsMPG + Var'!$K$32+COUNTIF(BDD!H460:AR460,9)*'ButsMPG + Var'!$K$31+COUNTIF(BDD!H460:AR460,8)*'ButsMPG + Var'!$K$30+COUNTIF(BDD!H460:AR460,7)*'ButsMPG + Var'!$K$29+COUNTIF(BDD!H460:AR460,6)*'ButsMPG + Var'!$K$28+COUNTIF(BDD!H460:AR460,5)*'ButsMPG + Var'!$K$27+COUNTIF(BDD!H460:AR460,4)*'ButsMPG + Var'!$K$26+COUNTIF(BDD!H460:AR460,3)*'ButsMPG + Var'!$K$25+COUNTIF(BDD!H460:AR460,2)*'ButsMPG + Var'!$K$24+COUNTIF(BDD!H460:AR460,1)*'ButsMPG + Var'!$K$23,0)))</f>
        <v>0</v>
      </c>
      <c r="H457" s="25">
        <f t="shared" si="8"/>
        <v>0</v>
      </c>
      <c r="I457" s="25">
        <f>BDD!G460</f>
        <v>0</v>
      </c>
      <c r="J457" s="25">
        <f>SUMPRODUCT(BDD!H460:AS460,'ButsMPG + Var'!$B$46:$AM$46)</f>
        <v>0</v>
      </c>
      <c r="K457" s="25" t="e">
        <f>10*('ButsMPG + Var'!$H$37*J457/MAX(J:J)+'ButsMPG + Var'!$G$37*H457/MAX(H:H))</f>
        <v>#DIV/0!</v>
      </c>
      <c r="L457" s="1">
        <f>IF(ISNA(VLOOKUP(B457,PrixMini!$B$3:$E$573,4,FALSE)),1,VLOOKUP(B457,PrixMini!$B$3:$E$573,4,FALSE))</f>
        <v>1</v>
      </c>
      <c r="M457" s="25" t="e">
        <f>IF(ROUND(CalculCotation!$D$3*EXP(CalculCotation!$C$3*K457)-CalculCotation!$D$3+1,0)&gt;L457,ROUND(CalculCotation!$D$3*EXP(CalculCotation!$C$3*K457)-CalculCotation!$D$3+1,0),L457)</f>
        <v>#DIV/0!</v>
      </c>
    </row>
    <row r="458" spans="2:13" x14ac:dyDescent="0.3">
      <c r="B458" s="1">
        <f>BDD!C461</f>
        <v>0</v>
      </c>
      <c r="C458" s="1">
        <f>BDD!B461</f>
        <v>0</v>
      </c>
      <c r="D458" s="1">
        <f>BDD!A461</f>
        <v>0</v>
      </c>
      <c r="E458" s="1">
        <f>BDD!D461</f>
        <v>0</v>
      </c>
      <c r="F458" s="1">
        <f>BDD!F461</f>
        <v>0</v>
      </c>
      <c r="G458" s="25">
        <f>'ButsMPG + Var'!$I$39*IF(C458="A",COUNTIF(BDD!H461:AR461,10)*'ButsMPG + Var'!$K$12+COUNTIF(BDD!H461:AR461,9)*'ButsMPG + Var'!$K$11+COUNTIF(BDD!H461:AR461,8)*'ButsMPG + Var'!$K$10+COUNTIF(BDD!H461:AR461,7)*'ButsMPG + Var'!$K$9+COUNTIF(BDD!H461:AR461,6)*'ButsMPG + Var'!$K$8+COUNTIF(BDD!H461:AR461,5)*'ButsMPG + Var'!$K$7+COUNTIF(BDD!H461:AR461,4)*'ButsMPG + Var'!$K$6+COUNTIF(BDD!H461:AR461,3)*'ButsMPG + Var'!$K$5+COUNTIF(BDD!H461:AR461,2)*'ButsMPG + Var'!$K$4+COUNTIF(BDD!H461:AR461,1)*'ButsMPG + Var'!$K$3,IF(C458="M",COUNTIF(BDD!H461:AR461,10)*'ButsMPG + Var'!$K$22+COUNTIF(BDD!H461:AR461,9)*'ButsMPG + Var'!$K$21+COUNTIF(BDD!H461:AR461,8)*'ButsMPG + Var'!$K$20+COUNTIF(BDD!H461:AR461,7)*'ButsMPG + Var'!$K$19+COUNTIF(BDD!H461:AR461,6)*'ButsMPG + Var'!$K$18+COUNTIF(BDD!H461:AR461,5)*'ButsMPG + Var'!$K$17+COUNTIF(BDD!H461:AR461,4)*'ButsMPG + Var'!$K$16+COUNTIF(BDD!H461:AR461,3)*'ButsMPG + Var'!$K$15+COUNTIF(BDD!H461:AR461,2)*'ButsMPG + Var'!$K$14+COUNTIF(BDD!H461:AR461,1)*'ButsMPG + Var'!$K$13,IF(C458="D",COUNTIF(BDD!H461:AR461,10)*'ButsMPG + Var'!$K$32+COUNTIF(BDD!H461:AR461,9)*'ButsMPG + Var'!$K$31+COUNTIF(BDD!H461:AR461,8)*'ButsMPG + Var'!$K$30+COUNTIF(BDD!H461:AR461,7)*'ButsMPG + Var'!$K$29+COUNTIF(BDD!H461:AR461,6)*'ButsMPG + Var'!$K$28+COUNTIF(BDD!H461:AR461,5)*'ButsMPG + Var'!$K$27+COUNTIF(BDD!H461:AR461,4)*'ButsMPG + Var'!$K$26+COUNTIF(BDD!H461:AR461,3)*'ButsMPG + Var'!$K$25+COUNTIF(BDD!H461:AR461,2)*'ButsMPG + Var'!$K$24+COUNTIF(BDD!H461:AR461,1)*'ButsMPG + Var'!$K$23,0)))</f>
        <v>0</v>
      </c>
      <c r="H458" s="25">
        <f t="shared" si="8"/>
        <v>0</v>
      </c>
      <c r="I458" s="25">
        <f>BDD!G461</f>
        <v>0</v>
      </c>
      <c r="J458" s="25">
        <f>SUMPRODUCT(BDD!H461:AS461,'ButsMPG + Var'!$B$46:$AM$46)</f>
        <v>0</v>
      </c>
      <c r="K458" s="25" t="e">
        <f>10*('ButsMPG + Var'!$H$37*J458/MAX(J:J)+'ButsMPG + Var'!$G$37*H458/MAX(H:H))</f>
        <v>#DIV/0!</v>
      </c>
      <c r="L458" s="1">
        <f>IF(ISNA(VLOOKUP(B458,PrixMini!$B$3:$E$573,4,FALSE)),1,VLOOKUP(B458,PrixMini!$B$3:$E$573,4,FALSE))</f>
        <v>1</v>
      </c>
      <c r="M458" s="25" t="e">
        <f>IF(ROUND(CalculCotation!$D$3*EXP(CalculCotation!$C$3*K458)-CalculCotation!$D$3+1,0)&gt;L458,ROUND(CalculCotation!$D$3*EXP(CalculCotation!$C$3*K458)-CalculCotation!$D$3+1,0),L458)</f>
        <v>#DIV/0!</v>
      </c>
    </row>
    <row r="459" spans="2:13" x14ac:dyDescent="0.3">
      <c r="B459" s="1">
        <f>BDD!C462</f>
        <v>0</v>
      </c>
      <c r="C459" s="1">
        <f>BDD!B462</f>
        <v>0</v>
      </c>
      <c r="D459" s="1">
        <f>BDD!A462</f>
        <v>0</v>
      </c>
      <c r="E459" s="1">
        <f>BDD!D462</f>
        <v>0</v>
      </c>
      <c r="F459" s="1">
        <f>BDD!F462</f>
        <v>0</v>
      </c>
      <c r="G459" s="25">
        <f>'ButsMPG + Var'!$I$39*IF(C459="A",COUNTIF(BDD!H462:AR462,10)*'ButsMPG + Var'!$K$12+COUNTIF(BDD!H462:AR462,9)*'ButsMPG + Var'!$K$11+COUNTIF(BDD!H462:AR462,8)*'ButsMPG + Var'!$K$10+COUNTIF(BDD!H462:AR462,7)*'ButsMPG + Var'!$K$9+COUNTIF(BDD!H462:AR462,6)*'ButsMPG + Var'!$K$8+COUNTIF(BDD!H462:AR462,5)*'ButsMPG + Var'!$K$7+COUNTIF(BDD!H462:AR462,4)*'ButsMPG + Var'!$K$6+COUNTIF(BDD!H462:AR462,3)*'ButsMPG + Var'!$K$5+COUNTIF(BDD!H462:AR462,2)*'ButsMPG + Var'!$K$4+COUNTIF(BDD!H462:AR462,1)*'ButsMPG + Var'!$K$3,IF(C459="M",COUNTIF(BDD!H462:AR462,10)*'ButsMPG + Var'!$K$22+COUNTIF(BDD!H462:AR462,9)*'ButsMPG + Var'!$K$21+COUNTIF(BDD!H462:AR462,8)*'ButsMPG + Var'!$K$20+COUNTIF(BDD!H462:AR462,7)*'ButsMPG + Var'!$K$19+COUNTIF(BDD!H462:AR462,6)*'ButsMPG + Var'!$K$18+COUNTIF(BDD!H462:AR462,5)*'ButsMPG + Var'!$K$17+COUNTIF(BDD!H462:AR462,4)*'ButsMPG + Var'!$K$16+COUNTIF(BDD!H462:AR462,3)*'ButsMPG + Var'!$K$15+COUNTIF(BDD!H462:AR462,2)*'ButsMPG + Var'!$K$14+COUNTIF(BDD!H462:AR462,1)*'ButsMPG + Var'!$K$13,IF(C459="D",COUNTIF(BDD!H462:AR462,10)*'ButsMPG + Var'!$K$32+COUNTIF(BDD!H462:AR462,9)*'ButsMPG + Var'!$K$31+COUNTIF(BDD!H462:AR462,8)*'ButsMPG + Var'!$K$30+COUNTIF(BDD!H462:AR462,7)*'ButsMPG + Var'!$K$29+COUNTIF(BDD!H462:AR462,6)*'ButsMPG + Var'!$K$28+COUNTIF(BDD!H462:AR462,5)*'ButsMPG + Var'!$K$27+COUNTIF(BDD!H462:AR462,4)*'ButsMPG + Var'!$K$26+COUNTIF(BDD!H462:AR462,3)*'ButsMPG + Var'!$K$25+COUNTIF(BDD!H462:AR462,2)*'ButsMPG + Var'!$K$24+COUNTIF(BDD!H462:AR462,1)*'ButsMPG + Var'!$K$23,0)))</f>
        <v>0</v>
      </c>
      <c r="H459" s="25">
        <f t="shared" si="8"/>
        <v>0</v>
      </c>
      <c r="I459" s="25">
        <f>BDD!G462</f>
        <v>0</v>
      </c>
      <c r="J459" s="25">
        <f>SUMPRODUCT(BDD!H462:AS462,'ButsMPG + Var'!$B$46:$AM$46)</f>
        <v>0</v>
      </c>
      <c r="K459" s="25" t="e">
        <f>10*('ButsMPG + Var'!$H$37*J459/MAX(J:J)+'ButsMPG + Var'!$G$37*H459/MAX(H:H))</f>
        <v>#DIV/0!</v>
      </c>
      <c r="L459" s="1">
        <f>IF(ISNA(VLOOKUP(B459,PrixMini!$B$3:$E$573,4,FALSE)),1,VLOOKUP(B459,PrixMini!$B$3:$E$573,4,FALSE))</f>
        <v>1</v>
      </c>
      <c r="M459" s="25" t="e">
        <f>IF(ROUND(CalculCotation!$D$3*EXP(CalculCotation!$C$3*K459)-CalculCotation!$D$3+1,0)&gt;L459,ROUND(CalculCotation!$D$3*EXP(CalculCotation!$C$3*K459)-CalculCotation!$D$3+1,0),L459)</f>
        <v>#DIV/0!</v>
      </c>
    </row>
    <row r="460" spans="2:13" x14ac:dyDescent="0.3">
      <c r="B460" s="1">
        <f>BDD!C463</f>
        <v>0</v>
      </c>
      <c r="C460" s="1">
        <f>BDD!B463</f>
        <v>0</v>
      </c>
      <c r="D460" s="1">
        <f>BDD!A463</f>
        <v>0</v>
      </c>
      <c r="E460" s="1">
        <f>BDD!D463</f>
        <v>0</v>
      </c>
      <c r="F460" s="1">
        <f>BDD!F463</f>
        <v>0</v>
      </c>
      <c r="G460" s="25">
        <f>'ButsMPG + Var'!$I$39*IF(C460="A",COUNTIF(BDD!H463:AR463,10)*'ButsMPG + Var'!$K$12+COUNTIF(BDD!H463:AR463,9)*'ButsMPG + Var'!$K$11+COUNTIF(BDD!H463:AR463,8)*'ButsMPG + Var'!$K$10+COUNTIF(BDD!H463:AR463,7)*'ButsMPG + Var'!$K$9+COUNTIF(BDD!H463:AR463,6)*'ButsMPG + Var'!$K$8+COUNTIF(BDD!H463:AR463,5)*'ButsMPG + Var'!$K$7+COUNTIF(BDD!H463:AR463,4)*'ButsMPG + Var'!$K$6+COUNTIF(BDD!H463:AR463,3)*'ButsMPG + Var'!$K$5+COUNTIF(BDD!H463:AR463,2)*'ButsMPG + Var'!$K$4+COUNTIF(BDD!H463:AR463,1)*'ButsMPG + Var'!$K$3,IF(C460="M",COUNTIF(BDD!H463:AR463,10)*'ButsMPG + Var'!$K$22+COUNTIF(BDD!H463:AR463,9)*'ButsMPG + Var'!$K$21+COUNTIF(BDD!H463:AR463,8)*'ButsMPG + Var'!$K$20+COUNTIF(BDD!H463:AR463,7)*'ButsMPG + Var'!$K$19+COUNTIF(BDD!H463:AR463,6)*'ButsMPG + Var'!$K$18+COUNTIF(BDD!H463:AR463,5)*'ButsMPG + Var'!$K$17+COUNTIF(BDD!H463:AR463,4)*'ButsMPG + Var'!$K$16+COUNTIF(BDD!H463:AR463,3)*'ButsMPG + Var'!$K$15+COUNTIF(BDD!H463:AR463,2)*'ButsMPG + Var'!$K$14+COUNTIF(BDD!H463:AR463,1)*'ButsMPG + Var'!$K$13,IF(C460="D",COUNTIF(BDD!H463:AR463,10)*'ButsMPG + Var'!$K$32+COUNTIF(BDD!H463:AR463,9)*'ButsMPG + Var'!$K$31+COUNTIF(BDD!H463:AR463,8)*'ButsMPG + Var'!$K$30+COUNTIF(BDD!H463:AR463,7)*'ButsMPG + Var'!$K$29+COUNTIF(BDD!H463:AR463,6)*'ButsMPG + Var'!$K$28+COUNTIF(BDD!H463:AR463,5)*'ButsMPG + Var'!$K$27+COUNTIF(BDD!H463:AR463,4)*'ButsMPG + Var'!$K$26+COUNTIF(BDD!H463:AR463,3)*'ButsMPG + Var'!$K$25+COUNTIF(BDD!H463:AR463,2)*'ButsMPG + Var'!$K$24+COUNTIF(BDD!H463:AR463,1)*'ButsMPG + Var'!$K$23,0)))</f>
        <v>0</v>
      </c>
      <c r="H460" s="25">
        <f t="shared" si="8"/>
        <v>0</v>
      </c>
      <c r="I460" s="25">
        <f>BDD!G463</f>
        <v>0</v>
      </c>
      <c r="J460" s="25">
        <f>SUMPRODUCT(BDD!H463:AS463,'ButsMPG + Var'!$B$46:$AM$46)</f>
        <v>0</v>
      </c>
      <c r="K460" s="25" t="e">
        <f>10*('ButsMPG + Var'!$H$37*J460/MAX(J:J)+'ButsMPG + Var'!$G$37*H460/MAX(H:H))</f>
        <v>#DIV/0!</v>
      </c>
      <c r="L460" s="1">
        <f>IF(ISNA(VLOOKUP(B460,PrixMini!$B$3:$E$573,4,FALSE)),1,VLOOKUP(B460,PrixMini!$B$3:$E$573,4,FALSE))</f>
        <v>1</v>
      </c>
      <c r="M460" s="25" t="e">
        <f>IF(ROUND(CalculCotation!$D$3*EXP(CalculCotation!$C$3*K460)-CalculCotation!$D$3+1,0)&gt;L460,ROUND(CalculCotation!$D$3*EXP(CalculCotation!$C$3*K460)-CalculCotation!$D$3+1,0),L460)</f>
        <v>#DIV/0!</v>
      </c>
    </row>
    <row r="461" spans="2:13" x14ac:dyDescent="0.3">
      <c r="B461" s="1">
        <f>BDD!C464</f>
        <v>0</v>
      </c>
      <c r="C461" s="1">
        <f>BDD!B464</f>
        <v>0</v>
      </c>
      <c r="D461" s="1">
        <f>BDD!A464</f>
        <v>0</v>
      </c>
      <c r="E461" s="1">
        <f>BDD!D464</f>
        <v>0</v>
      </c>
      <c r="F461" s="1">
        <f>BDD!F464</f>
        <v>0</v>
      </c>
      <c r="G461" s="25">
        <f>'ButsMPG + Var'!$I$39*IF(C461="A",COUNTIF(BDD!H464:AR464,10)*'ButsMPG + Var'!$K$12+COUNTIF(BDD!H464:AR464,9)*'ButsMPG + Var'!$K$11+COUNTIF(BDD!H464:AR464,8)*'ButsMPG + Var'!$K$10+COUNTIF(BDD!H464:AR464,7)*'ButsMPG + Var'!$K$9+COUNTIF(BDD!H464:AR464,6)*'ButsMPG + Var'!$K$8+COUNTIF(BDD!H464:AR464,5)*'ButsMPG + Var'!$K$7+COUNTIF(BDD!H464:AR464,4)*'ButsMPG + Var'!$K$6+COUNTIF(BDD!H464:AR464,3)*'ButsMPG + Var'!$K$5+COUNTIF(BDD!H464:AR464,2)*'ButsMPG + Var'!$K$4+COUNTIF(BDD!H464:AR464,1)*'ButsMPG + Var'!$K$3,IF(C461="M",COUNTIF(BDD!H464:AR464,10)*'ButsMPG + Var'!$K$22+COUNTIF(BDD!H464:AR464,9)*'ButsMPG + Var'!$K$21+COUNTIF(BDD!H464:AR464,8)*'ButsMPG + Var'!$K$20+COUNTIF(BDD!H464:AR464,7)*'ButsMPG + Var'!$K$19+COUNTIF(BDD!H464:AR464,6)*'ButsMPG + Var'!$K$18+COUNTIF(BDD!H464:AR464,5)*'ButsMPG + Var'!$K$17+COUNTIF(BDD!H464:AR464,4)*'ButsMPG + Var'!$K$16+COUNTIF(BDD!H464:AR464,3)*'ButsMPG + Var'!$K$15+COUNTIF(BDD!H464:AR464,2)*'ButsMPG + Var'!$K$14+COUNTIF(BDD!H464:AR464,1)*'ButsMPG + Var'!$K$13,IF(C461="D",COUNTIF(BDD!H464:AR464,10)*'ButsMPG + Var'!$K$32+COUNTIF(BDD!H464:AR464,9)*'ButsMPG + Var'!$K$31+COUNTIF(BDD!H464:AR464,8)*'ButsMPG + Var'!$K$30+COUNTIF(BDD!H464:AR464,7)*'ButsMPG + Var'!$K$29+COUNTIF(BDD!H464:AR464,6)*'ButsMPG + Var'!$K$28+COUNTIF(BDD!H464:AR464,5)*'ButsMPG + Var'!$K$27+COUNTIF(BDD!H464:AR464,4)*'ButsMPG + Var'!$K$26+COUNTIF(BDD!H464:AR464,3)*'ButsMPG + Var'!$K$25+COUNTIF(BDD!H464:AR464,2)*'ButsMPG + Var'!$K$24+COUNTIF(BDD!H464:AR464,1)*'ButsMPG + Var'!$K$23,0)))</f>
        <v>0</v>
      </c>
      <c r="H461" s="25">
        <f t="shared" si="8"/>
        <v>0</v>
      </c>
      <c r="I461" s="25">
        <f>BDD!G464</f>
        <v>0</v>
      </c>
      <c r="J461" s="25">
        <f>SUMPRODUCT(BDD!H464:AS464,'ButsMPG + Var'!$B$46:$AM$46)</f>
        <v>0</v>
      </c>
      <c r="K461" s="25" t="e">
        <f>10*('ButsMPG + Var'!$H$37*J461/MAX(J:J)+'ButsMPG + Var'!$G$37*H461/MAX(H:H))</f>
        <v>#DIV/0!</v>
      </c>
      <c r="L461" s="1">
        <f>IF(ISNA(VLOOKUP(B461,PrixMini!$B$3:$E$573,4,FALSE)),1,VLOOKUP(B461,PrixMini!$B$3:$E$573,4,FALSE))</f>
        <v>1</v>
      </c>
      <c r="M461" s="25" t="e">
        <f>IF(ROUND(CalculCotation!$D$3*EXP(CalculCotation!$C$3*K461)-CalculCotation!$D$3+1,0)&gt;L461,ROUND(CalculCotation!$D$3*EXP(CalculCotation!$C$3*K461)-CalculCotation!$D$3+1,0),L461)</f>
        <v>#DIV/0!</v>
      </c>
    </row>
    <row r="462" spans="2:13" x14ac:dyDescent="0.3">
      <c r="B462" s="1">
        <f>BDD!C465</f>
        <v>0</v>
      </c>
      <c r="C462" s="1">
        <f>BDD!B465</f>
        <v>0</v>
      </c>
      <c r="D462" s="1">
        <f>BDD!A465</f>
        <v>0</v>
      </c>
      <c r="E462" s="1">
        <f>BDD!D465</f>
        <v>0</v>
      </c>
      <c r="F462" s="1">
        <f>BDD!F465</f>
        <v>0</v>
      </c>
      <c r="G462" s="25">
        <f>'ButsMPG + Var'!$I$39*IF(C462="A",COUNTIF(BDD!H465:AR465,10)*'ButsMPG + Var'!$K$12+COUNTIF(BDD!H465:AR465,9)*'ButsMPG + Var'!$K$11+COUNTIF(BDD!H465:AR465,8)*'ButsMPG + Var'!$K$10+COUNTIF(BDD!H465:AR465,7)*'ButsMPG + Var'!$K$9+COUNTIF(BDD!H465:AR465,6)*'ButsMPG + Var'!$K$8+COUNTIF(BDD!H465:AR465,5)*'ButsMPG + Var'!$K$7+COUNTIF(BDD!H465:AR465,4)*'ButsMPG + Var'!$K$6+COUNTIF(BDD!H465:AR465,3)*'ButsMPG + Var'!$K$5+COUNTIF(BDD!H465:AR465,2)*'ButsMPG + Var'!$K$4+COUNTIF(BDD!H465:AR465,1)*'ButsMPG + Var'!$K$3,IF(C462="M",COUNTIF(BDD!H465:AR465,10)*'ButsMPG + Var'!$K$22+COUNTIF(BDD!H465:AR465,9)*'ButsMPG + Var'!$K$21+COUNTIF(BDD!H465:AR465,8)*'ButsMPG + Var'!$K$20+COUNTIF(BDD!H465:AR465,7)*'ButsMPG + Var'!$K$19+COUNTIF(BDD!H465:AR465,6)*'ButsMPG + Var'!$K$18+COUNTIF(BDD!H465:AR465,5)*'ButsMPG + Var'!$K$17+COUNTIF(BDD!H465:AR465,4)*'ButsMPG + Var'!$K$16+COUNTIF(BDD!H465:AR465,3)*'ButsMPG + Var'!$K$15+COUNTIF(BDD!H465:AR465,2)*'ButsMPG + Var'!$K$14+COUNTIF(BDD!H465:AR465,1)*'ButsMPG + Var'!$K$13,IF(C462="D",COUNTIF(BDD!H465:AR465,10)*'ButsMPG + Var'!$K$32+COUNTIF(BDD!H465:AR465,9)*'ButsMPG + Var'!$K$31+COUNTIF(BDD!H465:AR465,8)*'ButsMPG + Var'!$K$30+COUNTIF(BDD!H465:AR465,7)*'ButsMPG + Var'!$K$29+COUNTIF(BDD!H465:AR465,6)*'ButsMPG + Var'!$K$28+COUNTIF(BDD!H465:AR465,5)*'ButsMPG + Var'!$K$27+COUNTIF(BDD!H465:AR465,4)*'ButsMPG + Var'!$K$26+COUNTIF(BDD!H465:AR465,3)*'ButsMPG + Var'!$K$25+COUNTIF(BDD!H465:AR465,2)*'ButsMPG + Var'!$K$24+COUNTIF(BDD!H465:AR465,1)*'ButsMPG + Var'!$K$23,0)))</f>
        <v>0</v>
      </c>
      <c r="H462" s="25">
        <f t="shared" si="8"/>
        <v>0</v>
      </c>
      <c r="I462" s="25">
        <f>BDD!G465</f>
        <v>0</v>
      </c>
      <c r="J462" s="25">
        <f>SUMPRODUCT(BDD!H465:AS465,'ButsMPG + Var'!$B$46:$AM$46)</f>
        <v>0</v>
      </c>
      <c r="K462" s="25" t="e">
        <f>10*('ButsMPG + Var'!$H$37*J462/MAX(J:J)+'ButsMPG + Var'!$G$37*H462/MAX(H:H))</f>
        <v>#DIV/0!</v>
      </c>
      <c r="L462" s="1">
        <f>IF(ISNA(VLOOKUP(B462,PrixMini!$B$3:$E$573,4,FALSE)),1,VLOOKUP(B462,PrixMini!$B$3:$E$573,4,FALSE))</f>
        <v>1</v>
      </c>
      <c r="M462" s="25" t="e">
        <f>IF(ROUND(CalculCotation!$D$3*EXP(CalculCotation!$C$3*K462)-CalculCotation!$D$3+1,0)&gt;L462,ROUND(CalculCotation!$D$3*EXP(CalculCotation!$C$3*K462)-CalculCotation!$D$3+1,0),L462)</f>
        <v>#DIV/0!</v>
      </c>
    </row>
    <row r="463" spans="2:13" x14ac:dyDescent="0.3">
      <c r="B463" s="1">
        <f>BDD!C466</f>
        <v>0</v>
      </c>
      <c r="C463" s="1">
        <f>BDD!B466</f>
        <v>0</v>
      </c>
      <c r="D463" s="1">
        <f>BDD!A466</f>
        <v>0</v>
      </c>
      <c r="E463" s="1">
        <f>BDD!D466</f>
        <v>0</v>
      </c>
      <c r="F463" s="1">
        <f>BDD!F466</f>
        <v>0</v>
      </c>
      <c r="G463" s="25">
        <f>'ButsMPG + Var'!$I$39*IF(C463="A",COUNTIF(BDD!H466:AR466,10)*'ButsMPG + Var'!$K$12+COUNTIF(BDD!H466:AR466,9)*'ButsMPG + Var'!$K$11+COUNTIF(BDD!H466:AR466,8)*'ButsMPG + Var'!$K$10+COUNTIF(BDD!H466:AR466,7)*'ButsMPG + Var'!$K$9+COUNTIF(BDD!H466:AR466,6)*'ButsMPG + Var'!$K$8+COUNTIF(BDD!H466:AR466,5)*'ButsMPG + Var'!$K$7+COUNTIF(BDD!H466:AR466,4)*'ButsMPG + Var'!$K$6+COUNTIF(BDD!H466:AR466,3)*'ButsMPG + Var'!$K$5+COUNTIF(BDD!H466:AR466,2)*'ButsMPG + Var'!$K$4+COUNTIF(BDD!H466:AR466,1)*'ButsMPG + Var'!$K$3,IF(C463="M",COUNTIF(BDD!H466:AR466,10)*'ButsMPG + Var'!$K$22+COUNTIF(BDD!H466:AR466,9)*'ButsMPG + Var'!$K$21+COUNTIF(BDD!H466:AR466,8)*'ButsMPG + Var'!$K$20+COUNTIF(BDD!H466:AR466,7)*'ButsMPG + Var'!$K$19+COUNTIF(BDD!H466:AR466,6)*'ButsMPG + Var'!$K$18+COUNTIF(BDD!H466:AR466,5)*'ButsMPG + Var'!$K$17+COUNTIF(BDD!H466:AR466,4)*'ButsMPG + Var'!$K$16+COUNTIF(BDD!H466:AR466,3)*'ButsMPG + Var'!$K$15+COUNTIF(BDD!H466:AR466,2)*'ButsMPG + Var'!$K$14+COUNTIF(BDD!H466:AR466,1)*'ButsMPG + Var'!$K$13,IF(C463="D",COUNTIF(BDD!H466:AR466,10)*'ButsMPG + Var'!$K$32+COUNTIF(BDD!H466:AR466,9)*'ButsMPG + Var'!$K$31+COUNTIF(BDD!H466:AR466,8)*'ButsMPG + Var'!$K$30+COUNTIF(BDD!H466:AR466,7)*'ButsMPG + Var'!$K$29+COUNTIF(BDD!H466:AR466,6)*'ButsMPG + Var'!$K$28+COUNTIF(BDD!H466:AR466,5)*'ButsMPG + Var'!$K$27+COUNTIF(BDD!H466:AR466,4)*'ButsMPG + Var'!$K$26+COUNTIF(BDD!H466:AR466,3)*'ButsMPG + Var'!$K$25+COUNTIF(BDD!H466:AR466,2)*'ButsMPG + Var'!$K$24+COUNTIF(BDD!H466:AR466,1)*'ButsMPG + Var'!$K$23,0)))</f>
        <v>0</v>
      </c>
      <c r="H463" s="25">
        <f t="shared" si="8"/>
        <v>0</v>
      </c>
      <c r="I463" s="25">
        <f>BDD!G466</f>
        <v>0</v>
      </c>
      <c r="J463" s="25">
        <f>SUMPRODUCT(BDD!H466:AS466,'ButsMPG + Var'!$B$46:$AM$46)</f>
        <v>0</v>
      </c>
      <c r="K463" s="25" t="e">
        <f>10*('ButsMPG + Var'!$H$37*J463/MAX(J:J)+'ButsMPG + Var'!$G$37*H463/MAX(H:H))</f>
        <v>#DIV/0!</v>
      </c>
      <c r="L463" s="1">
        <f>IF(ISNA(VLOOKUP(B463,PrixMini!$B$3:$E$573,4,FALSE)),1,VLOOKUP(B463,PrixMini!$B$3:$E$573,4,FALSE))</f>
        <v>1</v>
      </c>
      <c r="M463" s="25" t="e">
        <f>IF(ROUND(CalculCotation!$D$3*EXP(CalculCotation!$C$3*K463)-CalculCotation!$D$3+1,0)&gt;L463,ROUND(CalculCotation!$D$3*EXP(CalculCotation!$C$3*K463)-CalculCotation!$D$3+1,0),L463)</f>
        <v>#DIV/0!</v>
      </c>
    </row>
    <row r="464" spans="2:13" x14ac:dyDescent="0.3">
      <c r="B464" s="1">
        <f>BDD!C467</f>
        <v>0</v>
      </c>
      <c r="C464" s="1">
        <f>BDD!B467</f>
        <v>0</v>
      </c>
      <c r="D464" s="1">
        <f>BDD!A467</f>
        <v>0</v>
      </c>
      <c r="E464" s="1">
        <f>BDD!D467</f>
        <v>0</v>
      </c>
      <c r="F464" s="1">
        <f>BDD!F467</f>
        <v>0</v>
      </c>
      <c r="G464" s="25">
        <f>'ButsMPG + Var'!$I$39*IF(C464="A",COUNTIF(BDD!H467:AR467,10)*'ButsMPG + Var'!$K$12+COUNTIF(BDD!H467:AR467,9)*'ButsMPG + Var'!$K$11+COUNTIF(BDD!H467:AR467,8)*'ButsMPG + Var'!$K$10+COUNTIF(BDD!H467:AR467,7)*'ButsMPG + Var'!$K$9+COUNTIF(BDD!H467:AR467,6)*'ButsMPG + Var'!$K$8+COUNTIF(BDD!H467:AR467,5)*'ButsMPG + Var'!$K$7+COUNTIF(BDD!H467:AR467,4)*'ButsMPG + Var'!$K$6+COUNTIF(BDD!H467:AR467,3)*'ButsMPG + Var'!$K$5+COUNTIF(BDD!H467:AR467,2)*'ButsMPG + Var'!$K$4+COUNTIF(BDD!H467:AR467,1)*'ButsMPG + Var'!$K$3,IF(C464="M",COUNTIF(BDD!H467:AR467,10)*'ButsMPG + Var'!$K$22+COUNTIF(BDD!H467:AR467,9)*'ButsMPG + Var'!$K$21+COUNTIF(BDD!H467:AR467,8)*'ButsMPG + Var'!$K$20+COUNTIF(BDD!H467:AR467,7)*'ButsMPG + Var'!$K$19+COUNTIF(BDD!H467:AR467,6)*'ButsMPG + Var'!$K$18+COUNTIF(BDD!H467:AR467,5)*'ButsMPG + Var'!$K$17+COUNTIF(BDD!H467:AR467,4)*'ButsMPG + Var'!$K$16+COUNTIF(BDD!H467:AR467,3)*'ButsMPG + Var'!$K$15+COUNTIF(BDD!H467:AR467,2)*'ButsMPG + Var'!$K$14+COUNTIF(BDD!H467:AR467,1)*'ButsMPG + Var'!$K$13,IF(C464="D",COUNTIF(BDD!H467:AR467,10)*'ButsMPG + Var'!$K$32+COUNTIF(BDD!H467:AR467,9)*'ButsMPG + Var'!$K$31+COUNTIF(BDD!H467:AR467,8)*'ButsMPG + Var'!$K$30+COUNTIF(BDD!H467:AR467,7)*'ButsMPG + Var'!$K$29+COUNTIF(BDD!H467:AR467,6)*'ButsMPG + Var'!$K$28+COUNTIF(BDD!H467:AR467,5)*'ButsMPG + Var'!$K$27+COUNTIF(BDD!H467:AR467,4)*'ButsMPG + Var'!$K$26+COUNTIF(BDD!H467:AR467,3)*'ButsMPG + Var'!$K$25+COUNTIF(BDD!H467:AR467,2)*'ButsMPG + Var'!$K$24+COUNTIF(BDD!H467:AR467,1)*'ButsMPG + Var'!$K$23,0)))</f>
        <v>0</v>
      </c>
      <c r="H464" s="25">
        <f t="shared" si="8"/>
        <v>0</v>
      </c>
      <c r="I464" s="25">
        <f>BDD!G467</f>
        <v>0</v>
      </c>
      <c r="J464" s="25">
        <f>SUMPRODUCT(BDD!H467:AS467,'ButsMPG + Var'!$B$46:$AM$46)</f>
        <v>0</v>
      </c>
      <c r="K464" s="25" t="e">
        <f>10*('ButsMPG + Var'!$H$37*J464/MAX(J:J)+'ButsMPG + Var'!$G$37*H464/MAX(H:H))</f>
        <v>#DIV/0!</v>
      </c>
      <c r="L464" s="1">
        <f>IF(ISNA(VLOOKUP(B464,PrixMini!$B$3:$E$573,4,FALSE)),1,VLOOKUP(B464,PrixMini!$B$3:$E$573,4,FALSE))</f>
        <v>1</v>
      </c>
      <c r="M464" s="25" t="e">
        <f>IF(ROUND(CalculCotation!$D$3*EXP(CalculCotation!$C$3*K464)-CalculCotation!$D$3+1,0)&gt;L464,ROUND(CalculCotation!$D$3*EXP(CalculCotation!$C$3*K464)-CalculCotation!$D$3+1,0),L464)</f>
        <v>#DIV/0!</v>
      </c>
    </row>
    <row r="465" spans="2:13" x14ac:dyDescent="0.3">
      <c r="B465" s="1">
        <f>BDD!C468</f>
        <v>0</v>
      </c>
      <c r="C465" s="1">
        <f>BDD!B468</f>
        <v>0</v>
      </c>
      <c r="D465" s="1">
        <f>BDD!A468</f>
        <v>0</v>
      </c>
      <c r="E465" s="1">
        <f>BDD!D468</f>
        <v>0</v>
      </c>
      <c r="F465" s="1">
        <f>BDD!F468</f>
        <v>0</v>
      </c>
      <c r="G465" s="25">
        <f>'ButsMPG + Var'!$I$39*IF(C465="A",COUNTIF(BDD!H468:AR468,10)*'ButsMPG + Var'!$K$12+COUNTIF(BDD!H468:AR468,9)*'ButsMPG + Var'!$K$11+COUNTIF(BDD!H468:AR468,8)*'ButsMPG + Var'!$K$10+COUNTIF(BDD!H468:AR468,7)*'ButsMPG + Var'!$K$9+COUNTIF(BDD!H468:AR468,6)*'ButsMPG + Var'!$K$8+COUNTIF(BDD!H468:AR468,5)*'ButsMPG + Var'!$K$7+COUNTIF(BDD!H468:AR468,4)*'ButsMPG + Var'!$K$6+COUNTIF(BDD!H468:AR468,3)*'ButsMPG + Var'!$K$5+COUNTIF(BDD!H468:AR468,2)*'ButsMPG + Var'!$K$4+COUNTIF(BDD!H468:AR468,1)*'ButsMPG + Var'!$K$3,IF(C465="M",COUNTIF(BDD!H468:AR468,10)*'ButsMPG + Var'!$K$22+COUNTIF(BDD!H468:AR468,9)*'ButsMPG + Var'!$K$21+COUNTIF(BDD!H468:AR468,8)*'ButsMPG + Var'!$K$20+COUNTIF(BDD!H468:AR468,7)*'ButsMPG + Var'!$K$19+COUNTIF(BDD!H468:AR468,6)*'ButsMPG + Var'!$K$18+COUNTIF(BDD!H468:AR468,5)*'ButsMPG + Var'!$K$17+COUNTIF(BDD!H468:AR468,4)*'ButsMPG + Var'!$K$16+COUNTIF(BDD!H468:AR468,3)*'ButsMPG + Var'!$K$15+COUNTIF(BDD!H468:AR468,2)*'ButsMPG + Var'!$K$14+COUNTIF(BDD!H468:AR468,1)*'ButsMPG + Var'!$K$13,IF(C465="D",COUNTIF(BDD!H468:AR468,10)*'ButsMPG + Var'!$K$32+COUNTIF(BDD!H468:AR468,9)*'ButsMPG + Var'!$K$31+COUNTIF(BDD!H468:AR468,8)*'ButsMPG + Var'!$K$30+COUNTIF(BDD!H468:AR468,7)*'ButsMPG + Var'!$K$29+COUNTIF(BDD!H468:AR468,6)*'ButsMPG + Var'!$K$28+COUNTIF(BDD!H468:AR468,5)*'ButsMPG + Var'!$K$27+COUNTIF(BDD!H468:AR468,4)*'ButsMPG + Var'!$K$26+COUNTIF(BDD!H468:AR468,3)*'ButsMPG + Var'!$K$25+COUNTIF(BDD!H468:AR468,2)*'ButsMPG + Var'!$K$24+COUNTIF(BDD!H468:AR468,1)*'ButsMPG + Var'!$K$23,0)))</f>
        <v>0</v>
      </c>
      <c r="H465" s="25">
        <f t="shared" si="8"/>
        <v>0</v>
      </c>
      <c r="I465" s="25">
        <f>BDD!G468</f>
        <v>0</v>
      </c>
      <c r="J465" s="25">
        <f>SUMPRODUCT(BDD!H468:AS468,'ButsMPG + Var'!$B$46:$AM$46)</f>
        <v>0</v>
      </c>
      <c r="K465" s="25" t="e">
        <f>10*('ButsMPG + Var'!$H$37*J465/MAX(J:J)+'ButsMPG + Var'!$G$37*H465/MAX(H:H))</f>
        <v>#DIV/0!</v>
      </c>
      <c r="L465" s="1">
        <f>IF(ISNA(VLOOKUP(B465,PrixMini!$B$3:$E$573,4,FALSE)),1,VLOOKUP(B465,PrixMini!$B$3:$E$573,4,FALSE))</f>
        <v>1</v>
      </c>
      <c r="M465" s="25" t="e">
        <f>IF(ROUND(CalculCotation!$D$3*EXP(CalculCotation!$C$3*K465)-CalculCotation!$D$3+1,0)&gt;L465,ROUND(CalculCotation!$D$3*EXP(CalculCotation!$C$3*K465)-CalculCotation!$D$3+1,0),L465)</f>
        <v>#DIV/0!</v>
      </c>
    </row>
    <row r="466" spans="2:13" x14ac:dyDescent="0.3">
      <c r="B466" s="1">
        <f>BDD!C469</f>
        <v>0</v>
      </c>
      <c r="C466" s="1">
        <f>BDD!B469</f>
        <v>0</v>
      </c>
      <c r="D466" s="1">
        <f>BDD!A469</f>
        <v>0</v>
      </c>
      <c r="E466" s="1">
        <f>BDD!D469</f>
        <v>0</v>
      </c>
      <c r="F466" s="1">
        <f>BDD!F469</f>
        <v>0</v>
      </c>
      <c r="G466" s="25">
        <f>'ButsMPG + Var'!$I$39*IF(C466="A",COUNTIF(BDD!H469:AR469,10)*'ButsMPG + Var'!$K$12+COUNTIF(BDD!H469:AR469,9)*'ButsMPG + Var'!$K$11+COUNTIF(BDD!H469:AR469,8)*'ButsMPG + Var'!$K$10+COUNTIF(BDD!H469:AR469,7)*'ButsMPG + Var'!$K$9+COUNTIF(BDD!H469:AR469,6)*'ButsMPG + Var'!$K$8+COUNTIF(BDD!H469:AR469,5)*'ButsMPG + Var'!$K$7+COUNTIF(BDD!H469:AR469,4)*'ButsMPG + Var'!$K$6+COUNTIF(BDD!H469:AR469,3)*'ButsMPG + Var'!$K$5+COUNTIF(BDD!H469:AR469,2)*'ButsMPG + Var'!$K$4+COUNTIF(BDD!H469:AR469,1)*'ButsMPG + Var'!$K$3,IF(C466="M",COUNTIF(BDD!H469:AR469,10)*'ButsMPG + Var'!$K$22+COUNTIF(BDD!H469:AR469,9)*'ButsMPG + Var'!$K$21+COUNTIF(BDD!H469:AR469,8)*'ButsMPG + Var'!$K$20+COUNTIF(BDD!H469:AR469,7)*'ButsMPG + Var'!$K$19+COUNTIF(BDD!H469:AR469,6)*'ButsMPG + Var'!$K$18+COUNTIF(BDD!H469:AR469,5)*'ButsMPG + Var'!$K$17+COUNTIF(BDD!H469:AR469,4)*'ButsMPG + Var'!$K$16+COUNTIF(BDD!H469:AR469,3)*'ButsMPG + Var'!$K$15+COUNTIF(BDD!H469:AR469,2)*'ButsMPG + Var'!$K$14+COUNTIF(BDD!H469:AR469,1)*'ButsMPG + Var'!$K$13,IF(C466="D",COUNTIF(BDD!H469:AR469,10)*'ButsMPG + Var'!$K$32+COUNTIF(BDD!H469:AR469,9)*'ButsMPG + Var'!$K$31+COUNTIF(BDD!H469:AR469,8)*'ButsMPG + Var'!$K$30+COUNTIF(BDD!H469:AR469,7)*'ButsMPG + Var'!$K$29+COUNTIF(BDD!H469:AR469,6)*'ButsMPG + Var'!$K$28+COUNTIF(BDD!H469:AR469,5)*'ButsMPG + Var'!$K$27+COUNTIF(BDD!H469:AR469,4)*'ButsMPG + Var'!$K$26+COUNTIF(BDD!H469:AR469,3)*'ButsMPG + Var'!$K$25+COUNTIF(BDD!H469:AR469,2)*'ButsMPG + Var'!$K$24+COUNTIF(BDD!H469:AR469,1)*'ButsMPG + Var'!$K$23,0)))</f>
        <v>0</v>
      </c>
      <c r="H466" s="25">
        <f t="shared" si="8"/>
        <v>0</v>
      </c>
      <c r="I466" s="25">
        <f>BDD!G469</f>
        <v>0</v>
      </c>
      <c r="J466" s="25">
        <f>SUMPRODUCT(BDD!H469:AS469,'ButsMPG + Var'!$B$46:$AM$46)</f>
        <v>0</v>
      </c>
      <c r="K466" s="25" t="e">
        <f>10*('ButsMPG + Var'!$H$37*J466/MAX(J:J)+'ButsMPG + Var'!$G$37*H466/MAX(H:H))</f>
        <v>#DIV/0!</v>
      </c>
      <c r="L466" s="1">
        <f>IF(ISNA(VLOOKUP(B466,PrixMini!$B$3:$E$573,4,FALSE)),1,VLOOKUP(B466,PrixMini!$B$3:$E$573,4,FALSE))</f>
        <v>1</v>
      </c>
      <c r="M466" s="25" t="e">
        <f>IF(ROUND(CalculCotation!$D$3*EXP(CalculCotation!$C$3*K466)-CalculCotation!$D$3+1,0)&gt;L466,ROUND(CalculCotation!$D$3*EXP(CalculCotation!$C$3*K466)-CalculCotation!$D$3+1,0),L466)</f>
        <v>#DIV/0!</v>
      </c>
    </row>
    <row r="467" spans="2:13" x14ac:dyDescent="0.3">
      <c r="B467" s="1">
        <f>BDD!C470</f>
        <v>0</v>
      </c>
      <c r="C467" s="1">
        <f>BDD!B470</f>
        <v>0</v>
      </c>
      <c r="D467" s="1">
        <f>BDD!A470</f>
        <v>0</v>
      </c>
      <c r="E467" s="1">
        <f>BDD!D470</f>
        <v>0</v>
      </c>
      <c r="F467" s="1">
        <f>BDD!F470</f>
        <v>0</v>
      </c>
      <c r="G467" s="25">
        <f>'ButsMPG + Var'!$I$39*IF(C467="A",COUNTIF(BDD!H470:AR470,10)*'ButsMPG + Var'!$K$12+COUNTIF(BDD!H470:AR470,9)*'ButsMPG + Var'!$K$11+COUNTIF(BDD!H470:AR470,8)*'ButsMPG + Var'!$K$10+COUNTIF(BDD!H470:AR470,7)*'ButsMPG + Var'!$K$9+COUNTIF(BDD!H470:AR470,6)*'ButsMPG + Var'!$K$8+COUNTIF(BDD!H470:AR470,5)*'ButsMPG + Var'!$K$7+COUNTIF(BDD!H470:AR470,4)*'ButsMPG + Var'!$K$6+COUNTIF(BDD!H470:AR470,3)*'ButsMPG + Var'!$K$5+COUNTIF(BDD!H470:AR470,2)*'ButsMPG + Var'!$K$4+COUNTIF(BDD!H470:AR470,1)*'ButsMPG + Var'!$K$3,IF(C467="M",COUNTIF(BDD!H470:AR470,10)*'ButsMPG + Var'!$K$22+COUNTIF(BDD!H470:AR470,9)*'ButsMPG + Var'!$K$21+COUNTIF(BDD!H470:AR470,8)*'ButsMPG + Var'!$K$20+COUNTIF(BDD!H470:AR470,7)*'ButsMPG + Var'!$K$19+COUNTIF(BDD!H470:AR470,6)*'ButsMPG + Var'!$K$18+COUNTIF(BDD!H470:AR470,5)*'ButsMPG + Var'!$K$17+COUNTIF(BDD!H470:AR470,4)*'ButsMPG + Var'!$K$16+COUNTIF(BDD!H470:AR470,3)*'ButsMPG + Var'!$K$15+COUNTIF(BDD!H470:AR470,2)*'ButsMPG + Var'!$K$14+COUNTIF(BDD!H470:AR470,1)*'ButsMPG + Var'!$K$13,IF(C467="D",COUNTIF(BDD!H470:AR470,10)*'ButsMPG + Var'!$K$32+COUNTIF(BDD!H470:AR470,9)*'ButsMPG + Var'!$K$31+COUNTIF(BDD!H470:AR470,8)*'ButsMPG + Var'!$K$30+COUNTIF(BDD!H470:AR470,7)*'ButsMPG + Var'!$K$29+COUNTIF(BDD!H470:AR470,6)*'ButsMPG + Var'!$K$28+COUNTIF(BDD!H470:AR470,5)*'ButsMPG + Var'!$K$27+COUNTIF(BDD!H470:AR470,4)*'ButsMPG + Var'!$K$26+COUNTIF(BDD!H470:AR470,3)*'ButsMPG + Var'!$K$25+COUNTIF(BDD!H470:AR470,2)*'ButsMPG + Var'!$K$24+COUNTIF(BDD!H470:AR470,1)*'ButsMPG + Var'!$K$23,0)))</f>
        <v>0</v>
      </c>
      <c r="H467" s="25">
        <f t="shared" si="8"/>
        <v>0</v>
      </c>
      <c r="I467" s="25">
        <f>BDD!G470</f>
        <v>0</v>
      </c>
      <c r="J467" s="25">
        <f>SUMPRODUCT(BDD!H470:AS470,'ButsMPG + Var'!$B$46:$AM$46)</f>
        <v>0</v>
      </c>
      <c r="K467" s="25" t="e">
        <f>10*('ButsMPG + Var'!$H$37*J467/MAX(J:J)+'ButsMPG + Var'!$G$37*H467/MAX(H:H))</f>
        <v>#DIV/0!</v>
      </c>
      <c r="L467" s="1">
        <f>IF(ISNA(VLOOKUP(B467,PrixMini!$B$3:$E$573,4,FALSE)),1,VLOOKUP(B467,PrixMini!$B$3:$E$573,4,FALSE))</f>
        <v>1</v>
      </c>
      <c r="M467" s="25" t="e">
        <f>IF(ROUND(CalculCotation!$D$3*EXP(CalculCotation!$C$3*K467)-CalculCotation!$D$3+1,0)&gt;L467,ROUND(CalculCotation!$D$3*EXP(CalculCotation!$C$3*K467)-CalculCotation!$D$3+1,0),L467)</f>
        <v>#DIV/0!</v>
      </c>
    </row>
    <row r="468" spans="2:13" x14ac:dyDescent="0.3">
      <c r="B468" s="1">
        <f>BDD!C471</f>
        <v>0</v>
      </c>
      <c r="C468" s="1">
        <f>BDD!B471</f>
        <v>0</v>
      </c>
      <c r="D468" s="1">
        <f>BDD!A471</f>
        <v>0</v>
      </c>
      <c r="E468" s="1">
        <f>BDD!D471</f>
        <v>0</v>
      </c>
      <c r="F468" s="1">
        <f>BDD!F471</f>
        <v>0</v>
      </c>
      <c r="G468" s="25">
        <f>'ButsMPG + Var'!$I$39*IF(C468="A",COUNTIF(BDD!H471:AR471,10)*'ButsMPG + Var'!$K$12+COUNTIF(BDD!H471:AR471,9)*'ButsMPG + Var'!$K$11+COUNTIF(BDD!H471:AR471,8)*'ButsMPG + Var'!$K$10+COUNTIF(BDD!H471:AR471,7)*'ButsMPG + Var'!$K$9+COUNTIF(BDD!H471:AR471,6)*'ButsMPG + Var'!$K$8+COUNTIF(BDD!H471:AR471,5)*'ButsMPG + Var'!$K$7+COUNTIF(BDD!H471:AR471,4)*'ButsMPG + Var'!$K$6+COUNTIF(BDD!H471:AR471,3)*'ButsMPG + Var'!$K$5+COUNTIF(BDD!H471:AR471,2)*'ButsMPG + Var'!$K$4+COUNTIF(BDD!H471:AR471,1)*'ButsMPG + Var'!$K$3,IF(C468="M",COUNTIF(BDD!H471:AR471,10)*'ButsMPG + Var'!$K$22+COUNTIF(BDD!H471:AR471,9)*'ButsMPG + Var'!$K$21+COUNTIF(BDD!H471:AR471,8)*'ButsMPG + Var'!$K$20+COUNTIF(BDD!H471:AR471,7)*'ButsMPG + Var'!$K$19+COUNTIF(BDD!H471:AR471,6)*'ButsMPG + Var'!$K$18+COUNTIF(BDD!H471:AR471,5)*'ButsMPG + Var'!$K$17+COUNTIF(BDD!H471:AR471,4)*'ButsMPG + Var'!$K$16+COUNTIF(BDD!H471:AR471,3)*'ButsMPG + Var'!$K$15+COUNTIF(BDD!H471:AR471,2)*'ButsMPG + Var'!$K$14+COUNTIF(BDD!H471:AR471,1)*'ButsMPG + Var'!$K$13,IF(C468="D",COUNTIF(BDD!H471:AR471,10)*'ButsMPG + Var'!$K$32+COUNTIF(BDD!H471:AR471,9)*'ButsMPG + Var'!$K$31+COUNTIF(BDD!H471:AR471,8)*'ButsMPG + Var'!$K$30+COUNTIF(BDD!H471:AR471,7)*'ButsMPG + Var'!$K$29+COUNTIF(BDD!H471:AR471,6)*'ButsMPG + Var'!$K$28+COUNTIF(BDD!H471:AR471,5)*'ButsMPG + Var'!$K$27+COUNTIF(BDD!H471:AR471,4)*'ButsMPG + Var'!$K$26+COUNTIF(BDD!H471:AR471,3)*'ButsMPG + Var'!$K$25+COUNTIF(BDD!H471:AR471,2)*'ButsMPG + Var'!$K$24+COUNTIF(BDD!H471:AR471,1)*'ButsMPG + Var'!$K$23,0)))</f>
        <v>0</v>
      </c>
      <c r="H468" s="25">
        <f t="shared" si="8"/>
        <v>0</v>
      </c>
      <c r="I468" s="25">
        <f>BDD!G471</f>
        <v>0</v>
      </c>
      <c r="J468" s="25">
        <f>SUMPRODUCT(BDD!H471:AS471,'ButsMPG + Var'!$B$46:$AM$46)</f>
        <v>0</v>
      </c>
      <c r="K468" s="25" t="e">
        <f>10*('ButsMPG + Var'!$H$37*J468/MAX(J:J)+'ButsMPG + Var'!$G$37*H468/MAX(H:H))</f>
        <v>#DIV/0!</v>
      </c>
      <c r="L468" s="1">
        <f>IF(ISNA(VLOOKUP(B468,PrixMini!$B$3:$E$573,4,FALSE)),1,VLOOKUP(B468,PrixMini!$B$3:$E$573,4,FALSE))</f>
        <v>1</v>
      </c>
      <c r="M468" s="25" t="e">
        <f>IF(ROUND(CalculCotation!$D$3*EXP(CalculCotation!$C$3*K468)-CalculCotation!$D$3+1,0)&gt;L468,ROUND(CalculCotation!$D$3*EXP(CalculCotation!$C$3*K468)-CalculCotation!$D$3+1,0),L468)</f>
        <v>#DIV/0!</v>
      </c>
    </row>
    <row r="469" spans="2:13" x14ac:dyDescent="0.3">
      <c r="B469" s="1">
        <f>BDD!C472</f>
        <v>0</v>
      </c>
      <c r="C469" s="1">
        <f>BDD!B472</f>
        <v>0</v>
      </c>
      <c r="D469" s="1">
        <f>BDD!A472</f>
        <v>0</v>
      </c>
      <c r="E469" s="1">
        <f>BDD!D472</f>
        <v>0</v>
      </c>
      <c r="F469" s="1">
        <f>BDD!F472</f>
        <v>0</v>
      </c>
      <c r="G469" s="25">
        <f>'ButsMPG + Var'!$I$39*IF(C469="A",COUNTIF(BDD!H472:AR472,10)*'ButsMPG + Var'!$K$12+COUNTIF(BDD!H472:AR472,9)*'ButsMPG + Var'!$K$11+COUNTIF(BDD!H472:AR472,8)*'ButsMPG + Var'!$K$10+COUNTIF(BDD!H472:AR472,7)*'ButsMPG + Var'!$K$9+COUNTIF(BDD!H472:AR472,6)*'ButsMPG + Var'!$K$8+COUNTIF(BDD!H472:AR472,5)*'ButsMPG + Var'!$K$7+COUNTIF(BDD!H472:AR472,4)*'ButsMPG + Var'!$K$6+COUNTIF(BDD!H472:AR472,3)*'ButsMPG + Var'!$K$5+COUNTIF(BDD!H472:AR472,2)*'ButsMPG + Var'!$K$4+COUNTIF(BDD!H472:AR472,1)*'ButsMPG + Var'!$K$3,IF(C469="M",COUNTIF(BDD!H472:AR472,10)*'ButsMPG + Var'!$K$22+COUNTIF(BDD!H472:AR472,9)*'ButsMPG + Var'!$K$21+COUNTIF(BDD!H472:AR472,8)*'ButsMPG + Var'!$K$20+COUNTIF(BDD!H472:AR472,7)*'ButsMPG + Var'!$K$19+COUNTIF(BDD!H472:AR472,6)*'ButsMPG + Var'!$K$18+COUNTIF(BDD!H472:AR472,5)*'ButsMPG + Var'!$K$17+COUNTIF(BDD!H472:AR472,4)*'ButsMPG + Var'!$K$16+COUNTIF(BDD!H472:AR472,3)*'ButsMPG + Var'!$K$15+COUNTIF(BDD!H472:AR472,2)*'ButsMPG + Var'!$K$14+COUNTIF(BDD!H472:AR472,1)*'ButsMPG + Var'!$K$13,IF(C469="D",COUNTIF(BDD!H472:AR472,10)*'ButsMPG + Var'!$K$32+COUNTIF(BDD!H472:AR472,9)*'ButsMPG + Var'!$K$31+COUNTIF(BDD!H472:AR472,8)*'ButsMPG + Var'!$K$30+COUNTIF(BDD!H472:AR472,7)*'ButsMPG + Var'!$K$29+COUNTIF(BDD!H472:AR472,6)*'ButsMPG + Var'!$K$28+COUNTIF(BDD!H472:AR472,5)*'ButsMPG + Var'!$K$27+COUNTIF(BDD!H472:AR472,4)*'ButsMPG + Var'!$K$26+COUNTIF(BDD!H472:AR472,3)*'ButsMPG + Var'!$K$25+COUNTIF(BDD!H472:AR472,2)*'ButsMPG + Var'!$K$24+COUNTIF(BDD!H472:AR472,1)*'ButsMPG + Var'!$K$23,0)))</f>
        <v>0</v>
      </c>
      <c r="H469" s="25">
        <f t="shared" si="8"/>
        <v>0</v>
      </c>
      <c r="I469" s="25">
        <f>BDD!G472</f>
        <v>0</v>
      </c>
      <c r="J469" s="25">
        <f>SUMPRODUCT(BDD!H472:AS472,'ButsMPG + Var'!$B$46:$AM$46)</f>
        <v>0</v>
      </c>
      <c r="K469" s="25" t="e">
        <f>10*('ButsMPG + Var'!$H$37*J469/MAX(J:J)+'ButsMPG + Var'!$G$37*H469/MAX(H:H))</f>
        <v>#DIV/0!</v>
      </c>
      <c r="L469" s="1">
        <f>IF(ISNA(VLOOKUP(B469,PrixMini!$B$3:$E$573,4,FALSE)),1,VLOOKUP(B469,PrixMini!$B$3:$E$573,4,FALSE))</f>
        <v>1</v>
      </c>
      <c r="M469" s="25" t="e">
        <f>IF(ROUND(CalculCotation!$D$3*EXP(CalculCotation!$C$3*K469)-CalculCotation!$D$3+1,0)&gt;L469,ROUND(CalculCotation!$D$3*EXP(CalculCotation!$C$3*K469)-CalculCotation!$D$3+1,0),L469)</f>
        <v>#DIV/0!</v>
      </c>
    </row>
    <row r="470" spans="2:13" x14ac:dyDescent="0.3">
      <c r="B470" s="1">
        <f>BDD!C473</f>
        <v>0</v>
      </c>
      <c r="C470" s="1">
        <f>BDD!B473</f>
        <v>0</v>
      </c>
      <c r="D470" s="1">
        <f>BDD!A473</f>
        <v>0</v>
      </c>
      <c r="E470" s="1">
        <f>BDD!D473</f>
        <v>0</v>
      </c>
      <c r="F470" s="1">
        <f>BDD!F473</f>
        <v>0</v>
      </c>
      <c r="G470" s="25">
        <f>'ButsMPG + Var'!$I$39*IF(C470="A",COUNTIF(BDD!H473:AR473,10)*'ButsMPG + Var'!$K$12+COUNTIF(BDD!H473:AR473,9)*'ButsMPG + Var'!$K$11+COUNTIF(BDD!H473:AR473,8)*'ButsMPG + Var'!$K$10+COUNTIF(BDD!H473:AR473,7)*'ButsMPG + Var'!$K$9+COUNTIF(BDD!H473:AR473,6)*'ButsMPG + Var'!$K$8+COUNTIF(BDD!H473:AR473,5)*'ButsMPG + Var'!$K$7+COUNTIF(BDD!H473:AR473,4)*'ButsMPG + Var'!$K$6+COUNTIF(BDD!H473:AR473,3)*'ButsMPG + Var'!$K$5+COUNTIF(BDD!H473:AR473,2)*'ButsMPG + Var'!$K$4+COUNTIF(BDD!H473:AR473,1)*'ButsMPG + Var'!$K$3,IF(C470="M",COUNTIF(BDD!H473:AR473,10)*'ButsMPG + Var'!$K$22+COUNTIF(BDD!H473:AR473,9)*'ButsMPG + Var'!$K$21+COUNTIF(BDD!H473:AR473,8)*'ButsMPG + Var'!$K$20+COUNTIF(BDD!H473:AR473,7)*'ButsMPG + Var'!$K$19+COUNTIF(BDD!H473:AR473,6)*'ButsMPG + Var'!$K$18+COUNTIF(BDD!H473:AR473,5)*'ButsMPG + Var'!$K$17+COUNTIF(BDD!H473:AR473,4)*'ButsMPG + Var'!$K$16+COUNTIF(BDD!H473:AR473,3)*'ButsMPG + Var'!$K$15+COUNTIF(BDD!H473:AR473,2)*'ButsMPG + Var'!$K$14+COUNTIF(BDD!H473:AR473,1)*'ButsMPG + Var'!$K$13,IF(C470="D",COUNTIF(BDD!H473:AR473,10)*'ButsMPG + Var'!$K$32+COUNTIF(BDD!H473:AR473,9)*'ButsMPG + Var'!$K$31+COUNTIF(BDD!H473:AR473,8)*'ButsMPG + Var'!$K$30+COUNTIF(BDD!H473:AR473,7)*'ButsMPG + Var'!$K$29+COUNTIF(BDD!H473:AR473,6)*'ButsMPG + Var'!$K$28+COUNTIF(BDD!H473:AR473,5)*'ButsMPG + Var'!$K$27+COUNTIF(BDD!H473:AR473,4)*'ButsMPG + Var'!$K$26+COUNTIF(BDD!H473:AR473,3)*'ButsMPG + Var'!$K$25+COUNTIF(BDD!H473:AR473,2)*'ButsMPG + Var'!$K$24+COUNTIF(BDD!H473:AR473,1)*'ButsMPG + Var'!$K$23,0)))</f>
        <v>0</v>
      </c>
      <c r="H470" s="25">
        <f t="shared" si="8"/>
        <v>0</v>
      </c>
      <c r="I470" s="25">
        <f>BDD!G473</f>
        <v>0</v>
      </c>
      <c r="J470" s="25">
        <f>SUMPRODUCT(BDD!H473:AS473,'ButsMPG + Var'!$B$46:$AM$46)</f>
        <v>0</v>
      </c>
      <c r="K470" s="25" t="e">
        <f>10*('ButsMPG + Var'!$H$37*J470/MAX(J:J)+'ButsMPG + Var'!$G$37*H470/MAX(H:H))</f>
        <v>#DIV/0!</v>
      </c>
      <c r="L470" s="1">
        <f>IF(ISNA(VLOOKUP(B470,PrixMini!$B$3:$E$573,4,FALSE)),1,VLOOKUP(B470,PrixMini!$B$3:$E$573,4,FALSE))</f>
        <v>1</v>
      </c>
      <c r="M470" s="25" t="e">
        <f>IF(ROUND(CalculCotation!$D$3*EXP(CalculCotation!$C$3*K470)-CalculCotation!$D$3+1,0)&gt;L470,ROUND(CalculCotation!$D$3*EXP(CalculCotation!$C$3*K470)-CalculCotation!$D$3+1,0),L470)</f>
        <v>#DIV/0!</v>
      </c>
    </row>
    <row r="471" spans="2:13" x14ac:dyDescent="0.3">
      <c r="B471" s="1">
        <f>BDD!C474</f>
        <v>0</v>
      </c>
      <c r="C471" s="1">
        <f>BDD!B474</f>
        <v>0</v>
      </c>
      <c r="D471" s="1">
        <f>BDD!A474</f>
        <v>0</v>
      </c>
      <c r="E471" s="1">
        <f>BDD!D474</f>
        <v>0</v>
      </c>
      <c r="F471" s="1">
        <f>BDD!F474</f>
        <v>0</v>
      </c>
      <c r="G471" s="25">
        <f>'ButsMPG + Var'!$I$39*IF(C471="A",COUNTIF(BDD!H474:AR474,10)*'ButsMPG + Var'!$K$12+COUNTIF(BDD!H474:AR474,9)*'ButsMPG + Var'!$K$11+COUNTIF(BDD!H474:AR474,8)*'ButsMPG + Var'!$K$10+COUNTIF(BDD!H474:AR474,7)*'ButsMPG + Var'!$K$9+COUNTIF(BDD!H474:AR474,6)*'ButsMPG + Var'!$K$8+COUNTIF(BDD!H474:AR474,5)*'ButsMPG + Var'!$K$7+COUNTIF(BDD!H474:AR474,4)*'ButsMPG + Var'!$K$6+COUNTIF(BDD!H474:AR474,3)*'ButsMPG + Var'!$K$5+COUNTIF(BDD!H474:AR474,2)*'ButsMPG + Var'!$K$4+COUNTIF(BDD!H474:AR474,1)*'ButsMPG + Var'!$K$3,IF(C471="M",COUNTIF(BDD!H474:AR474,10)*'ButsMPG + Var'!$K$22+COUNTIF(BDD!H474:AR474,9)*'ButsMPG + Var'!$K$21+COUNTIF(BDD!H474:AR474,8)*'ButsMPG + Var'!$K$20+COUNTIF(BDD!H474:AR474,7)*'ButsMPG + Var'!$K$19+COUNTIF(BDD!H474:AR474,6)*'ButsMPG + Var'!$K$18+COUNTIF(BDD!H474:AR474,5)*'ButsMPG + Var'!$K$17+COUNTIF(BDD!H474:AR474,4)*'ButsMPG + Var'!$K$16+COUNTIF(BDD!H474:AR474,3)*'ButsMPG + Var'!$K$15+COUNTIF(BDD!H474:AR474,2)*'ButsMPG + Var'!$K$14+COUNTIF(BDD!H474:AR474,1)*'ButsMPG + Var'!$K$13,IF(C471="D",COUNTIF(BDD!H474:AR474,10)*'ButsMPG + Var'!$K$32+COUNTIF(BDD!H474:AR474,9)*'ButsMPG + Var'!$K$31+COUNTIF(BDD!H474:AR474,8)*'ButsMPG + Var'!$K$30+COUNTIF(BDD!H474:AR474,7)*'ButsMPG + Var'!$K$29+COUNTIF(BDD!H474:AR474,6)*'ButsMPG + Var'!$K$28+COUNTIF(BDD!H474:AR474,5)*'ButsMPG + Var'!$K$27+COUNTIF(BDD!H474:AR474,4)*'ButsMPG + Var'!$K$26+COUNTIF(BDD!H474:AR474,3)*'ButsMPG + Var'!$K$25+COUNTIF(BDD!H474:AR474,2)*'ButsMPG + Var'!$K$24+COUNTIF(BDD!H474:AR474,1)*'ButsMPG + Var'!$K$23,0)))</f>
        <v>0</v>
      </c>
      <c r="H471" s="25">
        <f t="shared" si="8"/>
        <v>0</v>
      </c>
      <c r="I471" s="25">
        <f>BDD!G474</f>
        <v>0</v>
      </c>
      <c r="J471" s="25">
        <f>SUMPRODUCT(BDD!H474:AS474,'ButsMPG + Var'!$B$46:$AM$46)</f>
        <v>0</v>
      </c>
      <c r="K471" s="25" t="e">
        <f>10*('ButsMPG + Var'!$H$37*J471/MAX(J:J)+'ButsMPG + Var'!$G$37*H471/MAX(H:H))</f>
        <v>#DIV/0!</v>
      </c>
      <c r="L471" s="1">
        <f>IF(ISNA(VLOOKUP(B471,PrixMini!$B$3:$E$573,4,FALSE)),1,VLOOKUP(B471,PrixMini!$B$3:$E$573,4,FALSE))</f>
        <v>1</v>
      </c>
      <c r="M471" s="25" t="e">
        <f>IF(ROUND(CalculCotation!$D$3*EXP(CalculCotation!$C$3*K471)-CalculCotation!$D$3+1,0)&gt;L471,ROUND(CalculCotation!$D$3*EXP(CalculCotation!$C$3*K471)-CalculCotation!$D$3+1,0),L471)</f>
        <v>#DIV/0!</v>
      </c>
    </row>
    <row r="472" spans="2:13" x14ac:dyDescent="0.3">
      <c r="B472" s="1">
        <f>BDD!C475</f>
        <v>0</v>
      </c>
      <c r="C472" s="1">
        <f>BDD!B475</f>
        <v>0</v>
      </c>
      <c r="D472" s="1">
        <f>BDD!A475</f>
        <v>0</v>
      </c>
      <c r="E472" s="1">
        <f>BDD!D475</f>
        <v>0</v>
      </c>
      <c r="F472" s="1">
        <f>BDD!F475</f>
        <v>0</v>
      </c>
      <c r="G472" s="25">
        <f>'ButsMPG + Var'!$I$39*IF(C472="A",COUNTIF(BDD!H475:AR475,10)*'ButsMPG + Var'!$K$12+COUNTIF(BDD!H475:AR475,9)*'ButsMPG + Var'!$K$11+COUNTIF(BDD!H475:AR475,8)*'ButsMPG + Var'!$K$10+COUNTIF(BDD!H475:AR475,7)*'ButsMPG + Var'!$K$9+COUNTIF(BDD!H475:AR475,6)*'ButsMPG + Var'!$K$8+COUNTIF(BDD!H475:AR475,5)*'ButsMPG + Var'!$K$7+COUNTIF(BDD!H475:AR475,4)*'ButsMPG + Var'!$K$6+COUNTIF(BDD!H475:AR475,3)*'ButsMPG + Var'!$K$5+COUNTIF(BDD!H475:AR475,2)*'ButsMPG + Var'!$K$4+COUNTIF(BDD!H475:AR475,1)*'ButsMPG + Var'!$K$3,IF(C472="M",COUNTIF(BDD!H475:AR475,10)*'ButsMPG + Var'!$K$22+COUNTIF(BDD!H475:AR475,9)*'ButsMPG + Var'!$K$21+COUNTIF(BDD!H475:AR475,8)*'ButsMPG + Var'!$K$20+COUNTIF(BDD!H475:AR475,7)*'ButsMPG + Var'!$K$19+COUNTIF(BDD!H475:AR475,6)*'ButsMPG + Var'!$K$18+COUNTIF(BDD!H475:AR475,5)*'ButsMPG + Var'!$K$17+COUNTIF(BDD!H475:AR475,4)*'ButsMPG + Var'!$K$16+COUNTIF(BDD!H475:AR475,3)*'ButsMPG + Var'!$K$15+COUNTIF(BDD!H475:AR475,2)*'ButsMPG + Var'!$K$14+COUNTIF(BDD!H475:AR475,1)*'ButsMPG + Var'!$K$13,IF(C472="D",COUNTIF(BDD!H475:AR475,10)*'ButsMPG + Var'!$K$32+COUNTIF(BDD!H475:AR475,9)*'ButsMPG + Var'!$K$31+COUNTIF(BDD!H475:AR475,8)*'ButsMPG + Var'!$K$30+COUNTIF(BDD!H475:AR475,7)*'ButsMPG + Var'!$K$29+COUNTIF(BDD!H475:AR475,6)*'ButsMPG + Var'!$K$28+COUNTIF(BDD!H475:AR475,5)*'ButsMPG + Var'!$K$27+COUNTIF(BDD!H475:AR475,4)*'ButsMPG + Var'!$K$26+COUNTIF(BDD!H475:AR475,3)*'ButsMPG + Var'!$K$25+COUNTIF(BDD!H475:AR475,2)*'ButsMPG + Var'!$K$24+COUNTIF(BDD!H475:AR475,1)*'ButsMPG + Var'!$K$23,0)))</f>
        <v>0</v>
      </c>
      <c r="H472" s="25">
        <f t="shared" si="8"/>
        <v>0</v>
      </c>
      <c r="I472" s="25">
        <f>BDD!G475</f>
        <v>0</v>
      </c>
      <c r="J472" s="25">
        <f>SUMPRODUCT(BDD!H475:AS475,'ButsMPG + Var'!$B$46:$AM$46)</f>
        <v>0</v>
      </c>
      <c r="K472" s="25" t="e">
        <f>10*('ButsMPG + Var'!$H$37*J472/MAX(J:J)+'ButsMPG + Var'!$G$37*H472/MAX(H:H))</f>
        <v>#DIV/0!</v>
      </c>
      <c r="L472" s="1">
        <f>IF(ISNA(VLOOKUP(B472,PrixMini!$B$3:$E$573,4,FALSE)),1,VLOOKUP(B472,PrixMini!$B$3:$E$573,4,FALSE))</f>
        <v>1</v>
      </c>
      <c r="M472" s="25" t="e">
        <f>IF(ROUND(CalculCotation!$D$3*EXP(CalculCotation!$C$3*K472)-CalculCotation!$D$3+1,0)&gt;L472,ROUND(CalculCotation!$D$3*EXP(CalculCotation!$C$3*K472)-CalculCotation!$D$3+1,0),L472)</f>
        <v>#DIV/0!</v>
      </c>
    </row>
    <row r="473" spans="2:13" x14ac:dyDescent="0.3">
      <c r="B473" s="1">
        <f>BDD!C476</f>
        <v>0</v>
      </c>
      <c r="C473" s="1">
        <f>BDD!B476</f>
        <v>0</v>
      </c>
      <c r="D473" s="1">
        <f>BDD!A476</f>
        <v>0</v>
      </c>
      <c r="E473" s="1">
        <f>BDD!D476</f>
        <v>0</v>
      </c>
      <c r="F473" s="1">
        <f>BDD!F476</f>
        <v>0</v>
      </c>
      <c r="G473" s="25">
        <f>'ButsMPG + Var'!$I$39*IF(C473="A",COUNTIF(BDD!H476:AR476,10)*'ButsMPG + Var'!$K$12+COUNTIF(BDD!H476:AR476,9)*'ButsMPG + Var'!$K$11+COUNTIF(BDD!H476:AR476,8)*'ButsMPG + Var'!$K$10+COUNTIF(BDD!H476:AR476,7)*'ButsMPG + Var'!$K$9+COUNTIF(BDD!H476:AR476,6)*'ButsMPG + Var'!$K$8+COUNTIF(BDD!H476:AR476,5)*'ButsMPG + Var'!$K$7+COUNTIF(BDD!H476:AR476,4)*'ButsMPG + Var'!$K$6+COUNTIF(BDD!H476:AR476,3)*'ButsMPG + Var'!$K$5+COUNTIF(BDD!H476:AR476,2)*'ButsMPG + Var'!$K$4+COUNTIF(BDD!H476:AR476,1)*'ButsMPG + Var'!$K$3,IF(C473="M",COUNTIF(BDD!H476:AR476,10)*'ButsMPG + Var'!$K$22+COUNTIF(BDD!H476:AR476,9)*'ButsMPG + Var'!$K$21+COUNTIF(BDD!H476:AR476,8)*'ButsMPG + Var'!$K$20+COUNTIF(BDD!H476:AR476,7)*'ButsMPG + Var'!$K$19+COUNTIF(BDD!H476:AR476,6)*'ButsMPG + Var'!$K$18+COUNTIF(BDD!H476:AR476,5)*'ButsMPG + Var'!$K$17+COUNTIF(BDD!H476:AR476,4)*'ButsMPG + Var'!$K$16+COUNTIF(BDD!H476:AR476,3)*'ButsMPG + Var'!$K$15+COUNTIF(BDD!H476:AR476,2)*'ButsMPG + Var'!$K$14+COUNTIF(BDD!H476:AR476,1)*'ButsMPG + Var'!$K$13,IF(C473="D",COUNTIF(BDD!H476:AR476,10)*'ButsMPG + Var'!$K$32+COUNTIF(BDD!H476:AR476,9)*'ButsMPG + Var'!$K$31+COUNTIF(BDD!H476:AR476,8)*'ButsMPG + Var'!$K$30+COUNTIF(BDD!H476:AR476,7)*'ButsMPG + Var'!$K$29+COUNTIF(BDD!H476:AR476,6)*'ButsMPG + Var'!$K$28+COUNTIF(BDD!H476:AR476,5)*'ButsMPG + Var'!$K$27+COUNTIF(BDD!H476:AR476,4)*'ButsMPG + Var'!$K$26+COUNTIF(BDD!H476:AR476,3)*'ButsMPG + Var'!$K$25+COUNTIF(BDD!H476:AR476,2)*'ButsMPG + Var'!$K$24+COUNTIF(BDD!H476:AR476,1)*'ButsMPG + Var'!$K$23,0)))</f>
        <v>0</v>
      </c>
      <c r="H473" s="25">
        <f t="shared" si="8"/>
        <v>0</v>
      </c>
      <c r="I473" s="25">
        <f>BDD!G476</f>
        <v>0</v>
      </c>
      <c r="J473" s="25">
        <f>SUMPRODUCT(BDD!H476:AS476,'ButsMPG + Var'!$B$46:$AM$46)</f>
        <v>0</v>
      </c>
      <c r="K473" s="25" t="e">
        <f>10*('ButsMPG + Var'!$H$37*J473/MAX(J:J)+'ButsMPG + Var'!$G$37*H473/MAX(H:H))</f>
        <v>#DIV/0!</v>
      </c>
      <c r="L473" s="1">
        <f>IF(ISNA(VLOOKUP(B473,PrixMini!$B$3:$E$573,4,FALSE)),1,VLOOKUP(B473,PrixMini!$B$3:$E$573,4,FALSE))</f>
        <v>1</v>
      </c>
      <c r="M473" s="25" t="e">
        <f>IF(ROUND(CalculCotation!$D$3*EXP(CalculCotation!$C$3*K473)-CalculCotation!$D$3+1,0)&gt;L473,ROUND(CalculCotation!$D$3*EXP(CalculCotation!$C$3*K473)-CalculCotation!$D$3+1,0),L473)</f>
        <v>#DIV/0!</v>
      </c>
    </row>
    <row r="474" spans="2:13" x14ac:dyDescent="0.3">
      <c r="B474" s="1">
        <f>BDD!C477</f>
        <v>0</v>
      </c>
      <c r="C474" s="1">
        <f>BDD!B477</f>
        <v>0</v>
      </c>
      <c r="D474" s="1">
        <f>BDD!A477</f>
        <v>0</v>
      </c>
      <c r="E474" s="1">
        <f>BDD!D477</f>
        <v>0</v>
      </c>
      <c r="F474" s="1">
        <f>BDD!F477</f>
        <v>0</v>
      </c>
      <c r="G474" s="25">
        <f>'ButsMPG + Var'!$I$39*IF(C474="A",COUNTIF(BDD!H477:AR477,10)*'ButsMPG + Var'!$K$12+COUNTIF(BDD!H477:AR477,9)*'ButsMPG + Var'!$K$11+COUNTIF(BDD!H477:AR477,8)*'ButsMPG + Var'!$K$10+COUNTIF(BDD!H477:AR477,7)*'ButsMPG + Var'!$K$9+COUNTIF(BDD!H477:AR477,6)*'ButsMPG + Var'!$K$8+COUNTIF(BDD!H477:AR477,5)*'ButsMPG + Var'!$K$7+COUNTIF(BDD!H477:AR477,4)*'ButsMPG + Var'!$K$6+COUNTIF(BDD!H477:AR477,3)*'ButsMPG + Var'!$K$5+COUNTIF(BDD!H477:AR477,2)*'ButsMPG + Var'!$K$4+COUNTIF(BDD!H477:AR477,1)*'ButsMPG + Var'!$K$3,IF(C474="M",COUNTIF(BDD!H477:AR477,10)*'ButsMPG + Var'!$K$22+COUNTIF(BDD!H477:AR477,9)*'ButsMPG + Var'!$K$21+COUNTIF(BDD!H477:AR477,8)*'ButsMPG + Var'!$K$20+COUNTIF(BDD!H477:AR477,7)*'ButsMPG + Var'!$K$19+COUNTIF(BDD!H477:AR477,6)*'ButsMPG + Var'!$K$18+COUNTIF(BDD!H477:AR477,5)*'ButsMPG + Var'!$K$17+COUNTIF(BDD!H477:AR477,4)*'ButsMPG + Var'!$K$16+COUNTIF(BDD!H477:AR477,3)*'ButsMPG + Var'!$K$15+COUNTIF(BDD!H477:AR477,2)*'ButsMPG + Var'!$K$14+COUNTIF(BDD!H477:AR477,1)*'ButsMPG + Var'!$K$13,IF(C474="D",COUNTIF(BDD!H477:AR477,10)*'ButsMPG + Var'!$K$32+COUNTIF(BDD!H477:AR477,9)*'ButsMPG + Var'!$K$31+COUNTIF(BDD!H477:AR477,8)*'ButsMPG + Var'!$K$30+COUNTIF(BDD!H477:AR477,7)*'ButsMPG + Var'!$K$29+COUNTIF(BDD!H477:AR477,6)*'ButsMPG + Var'!$K$28+COUNTIF(BDD!H477:AR477,5)*'ButsMPG + Var'!$K$27+COUNTIF(BDD!H477:AR477,4)*'ButsMPG + Var'!$K$26+COUNTIF(BDD!H477:AR477,3)*'ButsMPG + Var'!$K$25+COUNTIF(BDD!H477:AR477,2)*'ButsMPG + Var'!$K$24+COUNTIF(BDD!H477:AR477,1)*'ButsMPG + Var'!$K$23,0)))</f>
        <v>0</v>
      </c>
      <c r="H474" s="25">
        <f t="shared" si="8"/>
        <v>0</v>
      </c>
      <c r="I474" s="25">
        <f>BDD!G477</f>
        <v>0</v>
      </c>
      <c r="J474" s="25">
        <f>SUMPRODUCT(BDD!H477:AS477,'ButsMPG + Var'!$B$46:$AM$46)</f>
        <v>0</v>
      </c>
      <c r="K474" s="25" t="e">
        <f>10*('ButsMPG + Var'!$H$37*J474/MAX(J:J)+'ButsMPG + Var'!$G$37*H474/MAX(H:H))</f>
        <v>#DIV/0!</v>
      </c>
      <c r="L474" s="1">
        <f>IF(ISNA(VLOOKUP(B474,PrixMini!$B$3:$E$573,4,FALSE)),1,VLOOKUP(B474,PrixMini!$B$3:$E$573,4,FALSE))</f>
        <v>1</v>
      </c>
      <c r="M474" s="25" t="e">
        <f>IF(ROUND(CalculCotation!$D$3*EXP(CalculCotation!$C$3*K474)-CalculCotation!$D$3+1,0)&gt;L474,ROUND(CalculCotation!$D$3*EXP(CalculCotation!$C$3*K474)-CalculCotation!$D$3+1,0),L474)</f>
        <v>#DIV/0!</v>
      </c>
    </row>
    <row r="475" spans="2:13" x14ac:dyDescent="0.3">
      <c r="B475" s="1">
        <f>BDD!C478</f>
        <v>0</v>
      </c>
      <c r="C475" s="1">
        <f>BDD!B478</f>
        <v>0</v>
      </c>
      <c r="D475" s="1">
        <f>BDD!A478</f>
        <v>0</v>
      </c>
      <c r="E475" s="1">
        <f>BDD!D478</f>
        <v>0</v>
      </c>
      <c r="F475" s="1">
        <f>BDD!F478</f>
        <v>0</v>
      </c>
      <c r="G475" s="25">
        <f>'ButsMPG + Var'!$I$39*IF(C475="A",COUNTIF(BDD!H478:AR478,10)*'ButsMPG + Var'!$K$12+COUNTIF(BDD!H478:AR478,9)*'ButsMPG + Var'!$K$11+COUNTIF(BDD!H478:AR478,8)*'ButsMPG + Var'!$K$10+COUNTIF(BDD!H478:AR478,7)*'ButsMPG + Var'!$K$9+COUNTIF(BDD!H478:AR478,6)*'ButsMPG + Var'!$K$8+COUNTIF(BDD!H478:AR478,5)*'ButsMPG + Var'!$K$7+COUNTIF(BDD!H478:AR478,4)*'ButsMPG + Var'!$K$6+COUNTIF(BDD!H478:AR478,3)*'ButsMPG + Var'!$K$5+COUNTIF(BDD!H478:AR478,2)*'ButsMPG + Var'!$K$4+COUNTIF(BDD!H478:AR478,1)*'ButsMPG + Var'!$K$3,IF(C475="M",COUNTIF(BDD!H478:AR478,10)*'ButsMPG + Var'!$K$22+COUNTIF(BDD!H478:AR478,9)*'ButsMPG + Var'!$K$21+COUNTIF(BDD!H478:AR478,8)*'ButsMPG + Var'!$K$20+COUNTIF(BDD!H478:AR478,7)*'ButsMPG + Var'!$K$19+COUNTIF(BDD!H478:AR478,6)*'ButsMPG + Var'!$K$18+COUNTIF(BDD!H478:AR478,5)*'ButsMPG + Var'!$K$17+COUNTIF(BDD!H478:AR478,4)*'ButsMPG + Var'!$K$16+COUNTIF(BDD!H478:AR478,3)*'ButsMPG + Var'!$K$15+COUNTIF(BDD!H478:AR478,2)*'ButsMPG + Var'!$K$14+COUNTIF(BDD!H478:AR478,1)*'ButsMPG + Var'!$K$13,IF(C475="D",COUNTIF(BDD!H478:AR478,10)*'ButsMPG + Var'!$K$32+COUNTIF(BDD!H478:AR478,9)*'ButsMPG + Var'!$K$31+COUNTIF(BDD!H478:AR478,8)*'ButsMPG + Var'!$K$30+COUNTIF(BDD!H478:AR478,7)*'ButsMPG + Var'!$K$29+COUNTIF(BDD!H478:AR478,6)*'ButsMPG + Var'!$K$28+COUNTIF(BDD!H478:AR478,5)*'ButsMPG + Var'!$K$27+COUNTIF(BDD!H478:AR478,4)*'ButsMPG + Var'!$K$26+COUNTIF(BDD!H478:AR478,3)*'ButsMPG + Var'!$K$25+COUNTIF(BDD!H478:AR478,2)*'ButsMPG + Var'!$K$24+COUNTIF(BDD!H478:AR478,1)*'ButsMPG + Var'!$K$23,0)))</f>
        <v>0</v>
      </c>
      <c r="H475" s="25">
        <f t="shared" si="8"/>
        <v>0</v>
      </c>
      <c r="I475" s="25">
        <f>BDD!G478</f>
        <v>0</v>
      </c>
      <c r="J475" s="25">
        <f>SUMPRODUCT(BDD!H478:AS478,'ButsMPG + Var'!$B$46:$AM$46)</f>
        <v>0</v>
      </c>
      <c r="K475" s="25" t="e">
        <f>10*('ButsMPG + Var'!$H$37*J475/MAX(J:J)+'ButsMPG + Var'!$G$37*H475/MAX(H:H))</f>
        <v>#DIV/0!</v>
      </c>
      <c r="L475" s="1">
        <f>IF(ISNA(VLOOKUP(B475,PrixMini!$B$3:$E$573,4,FALSE)),1,VLOOKUP(B475,PrixMini!$B$3:$E$573,4,FALSE))</f>
        <v>1</v>
      </c>
      <c r="M475" s="25" t="e">
        <f>IF(ROUND(CalculCotation!$D$3*EXP(CalculCotation!$C$3*K475)-CalculCotation!$D$3+1,0)&gt;L475,ROUND(CalculCotation!$D$3*EXP(CalculCotation!$C$3*K475)-CalculCotation!$D$3+1,0),L475)</f>
        <v>#DIV/0!</v>
      </c>
    </row>
    <row r="476" spans="2:13" x14ac:dyDescent="0.3">
      <c r="B476" s="1">
        <f>BDD!C479</f>
        <v>0</v>
      </c>
      <c r="C476" s="1">
        <f>BDD!B479</f>
        <v>0</v>
      </c>
      <c r="D476" s="1">
        <f>BDD!A479</f>
        <v>0</v>
      </c>
      <c r="E476" s="1">
        <f>BDD!D479</f>
        <v>0</v>
      </c>
      <c r="F476" s="1">
        <f>BDD!F479</f>
        <v>0</v>
      </c>
      <c r="G476" s="25">
        <f>'ButsMPG + Var'!$I$39*IF(C476="A",COUNTIF(BDD!H479:AR479,10)*'ButsMPG + Var'!$K$12+COUNTIF(BDD!H479:AR479,9)*'ButsMPG + Var'!$K$11+COUNTIF(BDD!H479:AR479,8)*'ButsMPG + Var'!$K$10+COUNTIF(BDD!H479:AR479,7)*'ButsMPG + Var'!$K$9+COUNTIF(BDD!H479:AR479,6)*'ButsMPG + Var'!$K$8+COUNTIF(BDD!H479:AR479,5)*'ButsMPG + Var'!$K$7+COUNTIF(BDD!H479:AR479,4)*'ButsMPG + Var'!$K$6+COUNTIF(BDD!H479:AR479,3)*'ButsMPG + Var'!$K$5+COUNTIF(BDD!H479:AR479,2)*'ButsMPG + Var'!$K$4+COUNTIF(BDD!H479:AR479,1)*'ButsMPG + Var'!$K$3,IF(C476="M",COUNTIF(BDD!H479:AR479,10)*'ButsMPG + Var'!$K$22+COUNTIF(BDD!H479:AR479,9)*'ButsMPG + Var'!$K$21+COUNTIF(BDD!H479:AR479,8)*'ButsMPG + Var'!$K$20+COUNTIF(BDD!H479:AR479,7)*'ButsMPG + Var'!$K$19+COUNTIF(BDD!H479:AR479,6)*'ButsMPG + Var'!$K$18+COUNTIF(BDD!H479:AR479,5)*'ButsMPG + Var'!$K$17+COUNTIF(BDD!H479:AR479,4)*'ButsMPG + Var'!$K$16+COUNTIF(BDD!H479:AR479,3)*'ButsMPG + Var'!$K$15+COUNTIF(BDD!H479:AR479,2)*'ButsMPG + Var'!$K$14+COUNTIF(BDD!H479:AR479,1)*'ButsMPG + Var'!$K$13,IF(C476="D",COUNTIF(BDD!H479:AR479,10)*'ButsMPG + Var'!$K$32+COUNTIF(BDD!H479:AR479,9)*'ButsMPG + Var'!$K$31+COUNTIF(BDD!H479:AR479,8)*'ButsMPG + Var'!$K$30+COUNTIF(BDD!H479:AR479,7)*'ButsMPG + Var'!$K$29+COUNTIF(BDD!H479:AR479,6)*'ButsMPG + Var'!$K$28+COUNTIF(BDD!H479:AR479,5)*'ButsMPG + Var'!$K$27+COUNTIF(BDD!H479:AR479,4)*'ButsMPG + Var'!$K$26+COUNTIF(BDD!H479:AR479,3)*'ButsMPG + Var'!$K$25+COUNTIF(BDD!H479:AR479,2)*'ButsMPG + Var'!$K$24+COUNTIF(BDD!H479:AR479,1)*'ButsMPG + Var'!$K$23,0)))</f>
        <v>0</v>
      </c>
      <c r="H476" s="25">
        <f t="shared" si="8"/>
        <v>0</v>
      </c>
      <c r="I476" s="25">
        <f>BDD!G479</f>
        <v>0</v>
      </c>
      <c r="J476" s="25">
        <f>SUMPRODUCT(BDD!H479:AS479,'ButsMPG + Var'!$B$46:$AM$46)</f>
        <v>0</v>
      </c>
      <c r="K476" s="25" t="e">
        <f>10*('ButsMPG + Var'!$H$37*J476/MAX(J:J)+'ButsMPG + Var'!$G$37*H476/MAX(H:H))</f>
        <v>#DIV/0!</v>
      </c>
      <c r="L476" s="1">
        <f>IF(ISNA(VLOOKUP(B476,PrixMini!$B$3:$E$573,4,FALSE)),1,VLOOKUP(B476,PrixMini!$B$3:$E$573,4,FALSE))</f>
        <v>1</v>
      </c>
      <c r="M476" s="25" t="e">
        <f>IF(ROUND(CalculCotation!$D$3*EXP(CalculCotation!$C$3*K476)-CalculCotation!$D$3+1,0)&gt;L476,ROUND(CalculCotation!$D$3*EXP(CalculCotation!$C$3*K476)-CalculCotation!$D$3+1,0),L476)</f>
        <v>#DIV/0!</v>
      </c>
    </row>
    <row r="477" spans="2:13" x14ac:dyDescent="0.3">
      <c r="B477" s="1">
        <f>BDD!C480</f>
        <v>0</v>
      </c>
      <c r="C477" s="1">
        <f>BDD!B480</f>
        <v>0</v>
      </c>
      <c r="D477" s="1">
        <f>BDD!A480</f>
        <v>0</v>
      </c>
      <c r="E477" s="1">
        <f>BDD!D480</f>
        <v>0</v>
      </c>
      <c r="F477" s="1">
        <f>BDD!F480</f>
        <v>0</v>
      </c>
      <c r="G477" s="25">
        <f>'ButsMPG + Var'!$I$39*IF(C477="A",COUNTIF(BDD!H480:AR480,10)*'ButsMPG + Var'!$K$12+COUNTIF(BDD!H480:AR480,9)*'ButsMPG + Var'!$K$11+COUNTIF(BDD!H480:AR480,8)*'ButsMPG + Var'!$K$10+COUNTIF(BDD!H480:AR480,7)*'ButsMPG + Var'!$K$9+COUNTIF(BDD!H480:AR480,6)*'ButsMPG + Var'!$K$8+COUNTIF(BDD!H480:AR480,5)*'ButsMPG + Var'!$K$7+COUNTIF(BDD!H480:AR480,4)*'ButsMPG + Var'!$K$6+COUNTIF(BDD!H480:AR480,3)*'ButsMPG + Var'!$K$5+COUNTIF(BDD!H480:AR480,2)*'ButsMPG + Var'!$K$4+COUNTIF(BDD!H480:AR480,1)*'ButsMPG + Var'!$K$3,IF(C477="M",COUNTIF(BDD!H480:AR480,10)*'ButsMPG + Var'!$K$22+COUNTIF(BDD!H480:AR480,9)*'ButsMPG + Var'!$K$21+COUNTIF(BDD!H480:AR480,8)*'ButsMPG + Var'!$K$20+COUNTIF(BDD!H480:AR480,7)*'ButsMPG + Var'!$K$19+COUNTIF(BDD!H480:AR480,6)*'ButsMPG + Var'!$K$18+COUNTIF(BDD!H480:AR480,5)*'ButsMPG + Var'!$K$17+COUNTIF(BDD!H480:AR480,4)*'ButsMPG + Var'!$K$16+COUNTIF(BDD!H480:AR480,3)*'ButsMPG + Var'!$K$15+COUNTIF(BDD!H480:AR480,2)*'ButsMPG + Var'!$K$14+COUNTIF(BDD!H480:AR480,1)*'ButsMPG + Var'!$K$13,IF(C477="D",COUNTIF(BDD!H480:AR480,10)*'ButsMPG + Var'!$K$32+COUNTIF(BDD!H480:AR480,9)*'ButsMPG + Var'!$K$31+COUNTIF(BDD!H480:AR480,8)*'ButsMPG + Var'!$K$30+COUNTIF(BDD!H480:AR480,7)*'ButsMPG + Var'!$K$29+COUNTIF(BDD!H480:AR480,6)*'ButsMPG + Var'!$K$28+COUNTIF(BDD!H480:AR480,5)*'ButsMPG + Var'!$K$27+COUNTIF(BDD!H480:AR480,4)*'ButsMPG + Var'!$K$26+COUNTIF(BDD!H480:AR480,3)*'ButsMPG + Var'!$K$25+COUNTIF(BDD!H480:AR480,2)*'ButsMPG + Var'!$K$24+COUNTIF(BDD!H480:AR480,1)*'ButsMPG + Var'!$K$23,0)))</f>
        <v>0</v>
      </c>
      <c r="H477" s="25">
        <f t="shared" si="8"/>
        <v>0</v>
      </c>
      <c r="I477" s="25">
        <f>BDD!G480</f>
        <v>0</v>
      </c>
      <c r="J477" s="25">
        <f>SUMPRODUCT(BDD!H480:AS480,'ButsMPG + Var'!$B$46:$AM$46)</f>
        <v>0</v>
      </c>
      <c r="K477" s="25" t="e">
        <f>10*('ButsMPG + Var'!$H$37*J477/MAX(J:J)+'ButsMPG + Var'!$G$37*H477/MAX(H:H))</f>
        <v>#DIV/0!</v>
      </c>
      <c r="L477" s="1">
        <f>IF(ISNA(VLOOKUP(B477,PrixMini!$B$3:$E$573,4,FALSE)),1,VLOOKUP(B477,PrixMini!$B$3:$E$573,4,FALSE))</f>
        <v>1</v>
      </c>
      <c r="M477" s="25" t="e">
        <f>IF(ROUND(CalculCotation!$D$3*EXP(CalculCotation!$C$3*K477)-CalculCotation!$D$3+1,0)&gt;L477,ROUND(CalculCotation!$D$3*EXP(CalculCotation!$C$3*K477)-CalculCotation!$D$3+1,0),L477)</f>
        <v>#DIV/0!</v>
      </c>
    </row>
    <row r="478" spans="2:13" x14ac:dyDescent="0.3">
      <c r="B478" s="1">
        <f>BDD!C481</f>
        <v>0</v>
      </c>
      <c r="C478" s="1">
        <f>BDD!B481</f>
        <v>0</v>
      </c>
      <c r="D478" s="1">
        <f>BDD!A481</f>
        <v>0</v>
      </c>
      <c r="E478" s="1">
        <f>BDD!D481</f>
        <v>0</v>
      </c>
      <c r="F478" s="1">
        <f>BDD!F481</f>
        <v>0</v>
      </c>
      <c r="G478" s="25">
        <f>'ButsMPG + Var'!$I$39*IF(C478="A",COUNTIF(BDD!H481:AR481,10)*'ButsMPG + Var'!$K$12+COUNTIF(BDD!H481:AR481,9)*'ButsMPG + Var'!$K$11+COUNTIF(BDD!H481:AR481,8)*'ButsMPG + Var'!$K$10+COUNTIF(BDD!H481:AR481,7)*'ButsMPG + Var'!$K$9+COUNTIF(BDD!H481:AR481,6)*'ButsMPG + Var'!$K$8+COUNTIF(BDD!H481:AR481,5)*'ButsMPG + Var'!$K$7+COUNTIF(BDD!H481:AR481,4)*'ButsMPG + Var'!$K$6+COUNTIF(BDD!H481:AR481,3)*'ButsMPG + Var'!$K$5+COUNTIF(BDD!H481:AR481,2)*'ButsMPG + Var'!$K$4+COUNTIF(BDD!H481:AR481,1)*'ButsMPG + Var'!$K$3,IF(C478="M",COUNTIF(BDD!H481:AR481,10)*'ButsMPG + Var'!$K$22+COUNTIF(BDD!H481:AR481,9)*'ButsMPG + Var'!$K$21+COUNTIF(BDD!H481:AR481,8)*'ButsMPG + Var'!$K$20+COUNTIF(BDD!H481:AR481,7)*'ButsMPG + Var'!$K$19+COUNTIF(BDD!H481:AR481,6)*'ButsMPG + Var'!$K$18+COUNTIF(BDD!H481:AR481,5)*'ButsMPG + Var'!$K$17+COUNTIF(BDD!H481:AR481,4)*'ButsMPG + Var'!$K$16+COUNTIF(BDD!H481:AR481,3)*'ButsMPG + Var'!$K$15+COUNTIF(BDD!H481:AR481,2)*'ButsMPG + Var'!$K$14+COUNTIF(BDD!H481:AR481,1)*'ButsMPG + Var'!$K$13,IF(C478="D",COUNTIF(BDD!H481:AR481,10)*'ButsMPG + Var'!$K$32+COUNTIF(BDD!H481:AR481,9)*'ButsMPG + Var'!$K$31+COUNTIF(BDD!H481:AR481,8)*'ButsMPG + Var'!$K$30+COUNTIF(BDD!H481:AR481,7)*'ButsMPG + Var'!$K$29+COUNTIF(BDD!H481:AR481,6)*'ButsMPG + Var'!$K$28+COUNTIF(BDD!H481:AR481,5)*'ButsMPG + Var'!$K$27+COUNTIF(BDD!H481:AR481,4)*'ButsMPG + Var'!$K$26+COUNTIF(BDD!H481:AR481,3)*'ButsMPG + Var'!$K$25+COUNTIF(BDD!H481:AR481,2)*'ButsMPG + Var'!$K$24+COUNTIF(BDD!H481:AR481,1)*'ButsMPG + Var'!$K$23,0)))</f>
        <v>0</v>
      </c>
      <c r="H478" s="25">
        <f t="shared" si="8"/>
        <v>0</v>
      </c>
      <c r="I478" s="25">
        <f>BDD!G481</f>
        <v>0</v>
      </c>
      <c r="J478" s="25">
        <f>SUMPRODUCT(BDD!H481:AS481,'ButsMPG + Var'!$B$46:$AM$46)</f>
        <v>0</v>
      </c>
      <c r="K478" s="25" t="e">
        <f>10*('ButsMPG + Var'!$H$37*J478/MAX(J:J)+'ButsMPG + Var'!$G$37*H478/MAX(H:H))</f>
        <v>#DIV/0!</v>
      </c>
      <c r="L478" s="1">
        <f>IF(ISNA(VLOOKUP(B478,PrixMini!$B$3:$E$573,4,FALSE)),1,VLOOKUP(B478,PrixMini!$B$3:$E$573,4,FALSE))</f>
        <v>1</v>
      </c>
      <c r="M478" s="25" t="e">
        <f>IF(ROUND(CalculCotation!$D$3*EXP(CalculCotation!$C$3*K478)-CalculCotation!$D$3+1,0)&gt;L478,ROUND(CalculCotation!$D$3*EXP(CalculCotation!$C$3*K478)-CalculCotation!$D$3+1,0),L478)</f>
        <v>#DIV/0!</v>
      </c>
    </row>
    <row r="479" spans="2:13" x14ac:dyDescent="0.3">
      <c r="B479" s="1">
        <f>BDD!C482</f>
        <v>0</v>
      </c>
      <c r="C479" s="1">
        <f>BDD!B482</f>
        <v>0</v>
      </c>
      <c r="D479" s="1">
        <f>BDD!A482</f>
        <v>0</v>
      </c>
      <c r="E479" s="1">
        <f>BDD!D482</f>
        <v>0</v>
      </c>
      <c r="F479" s="1">
        <f>BDD!F482</f>
        <v>0</v>
      </c>
      <c r="G479" s="25">
        <f>'ButsMPG + Var'!$I$39*IF(C479="A",COUNTIF(BDD!H482:AR482,10)*'ButsMPG + Var'!$K$12+COUNTIF(BDD!H482:AR482,9)*'ButsMPG + Var'!$K$11+COUNTIF(BDD!H482:AR482,8)*'ButsMPG + Var'!$K$10+COUNTIF(BDD!H482:AR482,7)*'ButsMPG + Var'!$K$9+COUNTIF(BDD!H482:AR482,6)*'ButsMPG + Var'!$K$8+COUNTIF(BDD!H482:AR482,5)*'ButsMPG + Var'!$K$7+COUNTIF(BDD!H482:AR482,4)*'ButsMPG + Var'!$K$6+COUNTIF(BDD!H482:AR482,3)*'ButsMPG + Var'!$K$5+COUNTIF(BDD!H482:AR482,2)*'ButsMPG + Var'!$K$4+COUNTIF(BDD!H482:AR482,1)*'ButsMPG + Var'!$K$3,IF(C479="M",COUNTIF(BDD!H482:AR482,10)*'ButsMPG + Var'!$K$22+COUNTIF(BDD!H482:AR482,9)*'ButsMPG + Var'!$K$21+COUNTIF(BDD!H482:AR482,8)*'ButsMPG + Var'!$K$20+COUNTIF(BDD!H482:AR482,7)*'ButsMPG + Var'!$K$19+COUNTIF(BDD!H482:AR482,6)*'ButsMPG + Var'!$K$18+COUNTIF(BDD!H482:AR482,5)*'ButsMPG + Var'!$K$17+COUNTIF(BDD!H482:AR482,4)*'ButsMPG + Var'!$K$16+COUNTIF(BDD!H482:AR482,3)*'ButsMPG + Var'!$K$15+COUNTIF(BDD!H482:AR482,2)*'ButsMPG + Var'!$K$14+COUNTIF(BDD!H482:AR482,1)*'ButsMPG + Var'!$K$13,IF(C479="D",COUNTIF(BDD!H482:AR482,10)*'ButsMPG + Var'!$K$32+COUNTIF(BDD!H482:AR482,9)*'ButsMPG + Var'!$K$31+COUNTIF(BDD!H482:AR482,8)*'ButsMPG + Var'!$K$30+COUNTIF(BDD!H482:AR482,7)*'ButsMPG + Var'!$K$29+COUNTIF(BDD!H482:AR482,6)*'ButsMPG + Var'!$K$28+COUNTIF(BDD!H482:AR482,5)*'ButsMPG + Var'!$K$27+COUNTIF(BDD!H482:AR482,4)*'ButsMPG + Var'!$K$26+COUNTIF(BDD!H482:AR482,3)*'ButsMPG + Var'!$K$25+COUNTIF(BDD!H482:AR482,2)*'ButsMPG + Var'!$K$24+COUNTIF(BDD!H482:AR482,1)*'ButsMPG + Var'!$K$23,0)))</f>
        <v>0</v>
      </c>
      <c r="H479" s="25">
        <f t="shared" si="8"/>
        <v>0</v>
      </c>
      <c r="I479" s="25">
        <f>BDD!G482</f>
        <v>0</v>
      </c>
      <c r="J479" s="25">
        <f>SUMPRODUCT(BDD!H482:AS482,'ButsMPG + Var'!$B$46:$AM$46)</f>
        <v>0</v>
      </c>
      <c r="K479" s="25" t="e">
        <f>10*('ButsMPG + Var'!$H$37*J479/MAX(J:J)+'ButsMPG + Var'!$G$37*H479/MAX(H:H))</f>
        <v>#DIV/0!</v>
      </c>
      <c r="L479" s="1">
        <f>IF(ISNA(VLOOKUP(B479,PrixMini!$B$3:$E$573,4,FALSE)),1,VLOOKUP(B479,PrixMini!$B$3:$E$573,4,FALSE))</f>
        <v>1</v>
      </c>
      <c r="M479" s="25" t="e">
        <f>IF(ROUND(CalculCotation!$D$3*EXP(CalculCotation!$C$3*K479)-CalculCotation!$D$3+1,0)&gt;L479,ROUND(CalculCotation!$D$3*EXP(CalculCotation!$C$3*K479)-CalculCotation!$D$3+1,0),L479)</f>
        <v>#DIV/0!</v>
      </c>
    </row>
    <row r="480" spans="2:13" x14ac:dyDescent="0.3">
      <c r="B480" s="1">
        <f>BDD!C483</f>
        <v>0</v>
      </c>
      <c r="C480" s="1">
        <f>BDD!B483</f>
        <v>0</v>
      </c>
      <c r="D480" s="1">
        <f>BDD!A483</f>
        <v>0</v>
      </c>
      <c r="E480" s="1">
        <f>BDD!D483</f>
        <v>0</v>
      </c>
      <c r="F480" s="1">
        <f>BDD!F483</f>
        <v>0</v>
      </c>
      <c r="G480" s="25">
        <f>'ButsMPG + Var'!$I$39*IF(C480="A",COUNTIF(BDD!H483:AR483,10)*'ButsMPG + Var'!$K$12+COUNTIF(BDD!H483:AR483,9)*'ButsMPG + Var'!$K$11+COUNTIF(BDD!H483:AR483,8)*'ButsMPG + Var'!$K$10+COUNTIF(BDD!H483:AR483,7)*'ButsMPG + Var'!$K$9+COUNTIF(BDD!H483:AR483,6)*'ButsMPG + Var'!$K$8+COUNTIF(BDD!H483:AR483,5)*'ButsMPG + Var'!$K$7+COUNTIF(BDD!H483:AR483,4)*'ButsMPG + Var'!$K$6+COUNTIF(BDD!H483:AR483,3)*'ButsMPG + Var'!$K$5+COUNTIF(BDD!H483:AR483,2)*'ButsMPG + Var'!$K$4+COUNTIF(BDD!H483:AR483,1)*'ButsMPG + Var'!$K$3,IF(C480="M",COUNTIF(BDD!H483:AR483,10)*'ButsMPG + Var'!$K$22+COUNTIF(BDD!H483:AR483,9)*'ButsMPG + Var'!$K$21+COUNTIF(BDD!H483:AR483,8)*'ButsMPG + Var'!$K$20+COUNTIF(BDD!H483:AR483,7)*'ButsMPG + Var'!$K$19+COUNTIF(BDD!H483:AR483,6)*'ButsMPG + Var'!$K$18+COUNTIF(BDD!H483:AR483,5)*'ButsMPG + Var'!$K$17+COUNTIF(BDD!H483:AR483,4)*'ButsMPG + Var'!$K$16+COUNTIF(BDD!H483:AR483,3)*'ButsMPG + Var'!$K$15+COUNTIF(BDD!H483:AR483,2)*'ButsMPG + Var'!$K$14+COUNTIF(BDD!H483:AR483,1)*'ButsMPG + Var'!$K$13,IF(C480="D",COUNTIF(BDD!H483:AR483,10)*'ButsMPG + Var'!$K$32+COUNTIF(BDD!H483:AR483,9)*'ButsMPG + Var'!$K$31+COUNTIF(BDD!H483:AR483,8)*'ButsMPG + Var'!$K$30+COUNTIF(BDD!H483:AR483,7)*'ButsMPG + Var'!$K$29+COUNTIF(BDD!H483:AR483,6)*'ButsMPG + Var'!$K$28+COUNTIF(BDD!H483:AR483,5)*'ButsMPG + Var'!$K$27+COUNTIF(BDD!H483:AR483,4)*'ButsMPG + Var'!$K$26+COUNTIF(BDD!H483:AR483,3)*'ButsMPG + Var'!$K$25+COUNTIF(BDD!H483:AR483,2)*'ButsMPG + Var'!$K$24+COUNTIF(BDD!H483:AR483,1)*'ButsMPG + Var'!$K$23,0)))</f>
        <v>0</v>
      </c>
      <c r="H480" s="25">
        <f t="shared" si="8"/>
        <v>0</v>
      </c>
      <c r="I480" s="25">
        <f>BDD!G483</f>
        <v>0</v>
      </c>
      <c r="J480" s="25">
        <f>SUMPRODUCT(BDD!H483:AS483,'ButsMPG + Var'!$B$46:$AM$46)</f>
        <v>0</v>
      </c>
      <c r="K480" s="25" t="e">
        <f>10*('ButsMPG + Var'!$H$37*J480/MAX(J:J)+'ButsMPG + Var'!$G$37*H480/MAX(H:H))</f>
        <v>#DIV/0!</v>
      </c>
      <c r="L480" s="1">
        <f>IF(ISNA(VLOOKUP(B480,PrixMini!$B$3:$E$573,4,FALSE)),1,VLOOKUP(B480,PrixMini!$B$3:$E$573,4,FALSE))</f>
        <v>1</v>
      </c>
      <c r="M480" s="25" t="e">
        <f>IF(ROUND(CalculCotation!$D$3*EXP(CalculCotation!$C$3*K480)-CalculCotation!$D$3+1,0)&gt;L480,ROUND(CalculCotation!$D$3*EXP(CalculCotation!$C$3*K480)-CalculCotation!$D$3+1,0),L480)</f>
        <v>#DIV/0!</v>
      </c>
    </row>
    <row r="481" spans="2:13" x14ac:dyDescent="0.3">
      <c r="B481" s="1">
        <f>BDD!C484</f>
        <v>0</v>
      </c>
      <c r="C481" s="1">
        <f>BDD!B484</f>
        <v>0</v>
      </c>
      <c r="D481" s="1">
        <f>BDD!A484</f>
        <v>0</v>
      </c>
      <c r="E481" s="1">
        <f>BDD!D484</f>
        <v>0</v>
      </c>
      <c r="F481" s="1">
        <f>BDD!F484</f>
        <v>0</v>
      </c>
      <c r="G481" s="25">
        <f>'ButsMPG + Var'!$I$39*IF(C481="A",COUNTIF(BDD!H484:AR484,10)*'ButsMPG + Var'!$K$12+COUNTIF(BDD!H484:AR484,9)*'ButsMPG + Var'!$K$11+COUNTIF(BDD!H484:AR484,8)*'ButsMPG + Var'!$K$10+COUNTIF(BDD!H484:AR484,7)*'ButsMPG + Var'!$K$9+COUNTIF(BDD!H484:AR484,6)*'ButsMPG + Var'!$K$8+COUNTIF(BDD!H484:AR484,5)*'ButsMPG + Var'!$K$7+COUNTIF(BDD!H484:AR484,4)*'ButsMPG + Var'!$K$6+COUNTIF(BDD!H484:AR484,3)*'ButsMPG + Var'!$K$5+COUNTIF(BDD!H484:AR484,2)*'ButsMPG + Var'!$K$4+COUNTIF(BDD!H484:AR484,1)*'ButsMPG + Var'!$K$3,IF(C481="M",COUNTIF(BDD!H484:AR484,10)*'ButsMPG + Var'!$K$22+COUNTIF(BDD!H484:AR484,9)*'ButsMPG + Var'!$K$21+COUNTIF(BDD!H484:AR484,8)*'ButsMPG + Var'!$K$20+COUNTIF(BDD!H484:AR484,7)*'ButsMPG + Var'!$K$19+COUNTIF(BDD!H484:AR484,6)*'ButsMPG + Var'!$K$18+COUNTIF(BDD!H484:AR484,5)*'ButsMPG + Var'!$K$17+COUNTIF(BDD!H484:AR484,4)*'ButsMPG + Var'!$K$16+COUNTIF(BDD!H484:AR484,3)*'ButsMPG + Var'!$K$15+COUNTIF(BDD!H484:AR484,2)*'ButsMPG + Var'!$K$14+COUNTIF(BDD!H484:AR484,1)*'ButsMPG + Var'!$K$13,IF(C481="D",COUNTIF(BDD!H484:AR484,10)*'ButsMPG + Var'!$K$32+COUNTIF(BDD!H484:AR484,9)*'ButsMPG + Var'!$K$31+COUNTIF(BDD!H484:AR484,8)*'ButsMPG + Var'!$K$30+COUNTIF(BDD!H484:AR484,7)*'ButsMPG + Var'!$K$29+COUNTIF(BDD!H484:AR484,6)*'ButsMPG + Var'!$K$28+COUNTIF(BDD!H484:AR484,5)*'ButsMPG + Var'!$K$27+COUNTIF(BDD!H484:AR484,4)*'ButsMPG + Var'!$K$26+COUNTIF(BDD!H484:AR484,3)*'ButsMPG + Var'!$K$25+COUNTIF(BDD!H484:AR484,2)*'ButsMPG + Var'!$K$24+COUNTIF(BDD!H484:AR484,1)*'ButsMPG + Var'!$K$23,0)))</f>
        <v>0</v>
      </c>
      <c r="H481" s="25">
        <f t="shared" si="8"/>
        <v>0</v>
      </c>
      <c r="I481" s="25">
        <f>BDD!G484</f>
        <v>0</v>
      </c>
      <c r="J481" s="25">
        <f>SUMPRODUCT(BDD!H484:AS484,'ButsMPG + Var'!$B$46:$AM$46)</f>
        <v>0</v>
      </c>
      <c r="K481" s="25" t="e">
        <f>10*('ButsMPG + Var'!$H$37*J481/MAX(J:J)+'ButsMPG + Var'!$G$37*H481/MAX(H:H))</f>
        <v>#DIV/0!</v>
      </c>
      <c r="L481" s="1">
        <f>IF(ISNA(VLOOKUP(B481,PrixMini!$B$3:$E$573,4,FALSE)),1,VLOOKUP(B481,PrixMini!$B$3:$E$573,4,FALSE))</f>
        <v>1</v>
      </c>
      <c r="M481" s="25" t="e">
        <f>IF(ROUND(CalculCotation!$D$3*EXP(CalculCotation!$C$3*K481)-CalculCotation!$D$3+1,0)&gt;L481,ROUND(CalculCotation!$D$3*EXP(CalculCotation!$C$3*K481)-CalculCotation!$D$3+1,0),L481)</f>
        <v>#DIV/0!</v>
      </c>
    </row>
    <row r="482" spans="2:13" x14ac:dyDescent="0.3">
      <c r="B482" s="1">
        <f>BDD!C485</f>
        <v>0</v>
      </c>
      <c r="C482" s="1">
        <f>BDD!B485</f>
        <v>0</v>
      </c>
      <c r="D482" s="1">
        <f>BDD!A485</f>
        <v>0</v>
      </c>
      <c r="E482" s="1">
        <f>BDD!D485</f>
        <v>0</v>
      </c>
      <c r="F482" s="1">
        <f>BDD!F485</f>
        <v>0</v>
      </c>
      <c r="G482" s="25">
        <f>'ButsMPG + Var'!$I$39*IF(C482="A",COUNTIF(BDD!H485:AR485,10)*'ButsMPG + Var'!$K$12+COUNTIF(BDD!H485:AR485,9)*'ButsMPG + Var'!$K$11+COUNTIF(BDD!H485:AR485,8)*'ButsMPG + Var'!$K$10+COUNTIF(BDD!H485:AR485,7)*'ButsMPG + Var'!$K$9+COUNTIF(BDD!H485:AR485,6)*'ButsMPG + Var'!$K$8+COUNTIF(BDD!H485:AR485,5)*'ButsMPG + Var'!$K$7+COUNTIF(BDD!H485:AR485,4)*'ButsMPG + Var'!$K$6+COUNTIF(BDD!H485:AR485,3)*'ButsMPG + Var'!$K$5+COUNTIF(BDD!H485:AR485,2)*'ButsMPG + Var'!$K$4+COUNTIF(BDD!H485:AR485,1)*'ButsMPG + Var'!$K$3,IF(C482="M",COUNTIF(BDD!H485:AR485,10)*'ButsMPG + Var'!$K$22+COUNTIF(BDD!H485:AR485,9)*'ButsMPG + Var'!$K$21+COUNTIF(BDD!H485:AR485,8)*'ButsMPG + Var'!$K$20+COUNTIF(BDD!H485:AR485,7)*'ButsMPG + Var'!$K$19+COUNTIF(BDD!H485:AR485,6)*'ButsMPG + Var'!$K$18+COUNTIF(BDD!H485:AR485,5)*'ButsMPG + Var'!$K$17+COUNTIF(BDD!H485:AR485,4)*'ButsMPG + Var'!$K$16+COUNTIF(BDD!H485:AR485,3)*'ButsMPG + Var'!$K$15+COUNTIF(BDD!H485:AR485,2)*'ButsMPG + Var'!$K$14+COUNTIF(BDD!H485:AR485,1)*'ButsMPG + Var'!$K$13,IF(C482="D",COUNTIF(BDD!H485:AR485,10)*'ButsMPG + Var'!$K$32+COUNTIF(BDD!H485:AR485,9)*'ButsMPG + Var'!$K$31+COUNTIF(BDD!H485:AR485,8)*'ButsMPG + Var'!$K$30+COUNTIF(BDD!H485:AR485,7)*'ButsMPG + Var'!$K$29+COUNTIF(BDD!H485:AR485,6)*'ButsMPG + Var'!$K$28+COUNTIF(BDD!H485:AR485,5)*'ButsMPG + Var'!$K$27+COUNTIF(BDD!H485:AR485,4)*'ButsMPG + Var'!$K$26+COUNTIF(BDD!H485:AR485,3)*'ButsMPG + Var'!$K$25+COUNTIF(BDD!H485:AR485,2)*'ButsMPG + Var'!$K$24+COUNTIF(BDD!H485:AR485,1)*'ButsMPG + Var'!$K$23,0)))</f>
        <v>0</v>
      </c>
      <c r="H482" s="25">
        <f t="shared" si="8"/>
        <v>0</v>
      </c>
      <c r="I482" s="25">
        <f>BDD!G485</f>
        <v>0</v>
      </c>
      <c r="J482" s="25">
        <f>SUMPRODUCT(BDD!H485:AS485,'ButsMPG + Var'!$B$46:$AM$46)</f>
        <v>0</v>
      </c>
      <c r="K482" s="25" t="e">
        <f>10*('ButsMPG + Var'!$H$37*J482/MAX(J:J)+'ButsMPG + Var'!$G$37*H482/MAX(H:H))</f>
        <v>#DIV/0!</v>
      </c>
      <c r="L482" s="1">
        <f>IF(ISNA(VLOOKUP(B482,PrixMini!$B$3:$E$573,4,FALSE)),1,VLOOKUP(B482,PrixMini!$B$3:$E$573,4,FALSE))</f>
        <v>1</v>
      </c>
      <c r="M482" s="25" t="e">
        <f>IF(ROUND(CalculCotation!$D$3*EXP(CalculCotation!$C$3*K482)-CalculCotation!$D$3+1,0)&gt;L482,ROUND(CalculCotation!$D$3*EXP(CalculCotation!$C$3*K482)-CalculCotation!$D$3+1,0),L482)</f>
        <v>#DIV/0!</v>
      </c>
    </row>
    <row r="483" spans="2:13" x14ac:dyDescent="0.3">
      <c r="B483" s="1">
        <f>BDD!C486</f>
        <v>0</v>
      </c>
      <c r="C483" s="1">
        <f>BDD!B486</f>
        <v>0</v>
      </c>
      <c r="D483" s="1">
        <f>BDD!A486</f>
        <v>0</v>
      </c>
      <c r="E483" s="1">
        <f>BDD!D486</f>
        <v>0</v>
      </c>
      <c r="F483" s="1">
        <f>BDD!F486</f>
        <v>0</v>
      </c>
      <c r="G483" s="25">
        <f>'ButsMPG + Var'!$I$39*IF(C483="A",COUNTIF(BDD!H486:AR486,10)*'ButsMPG + Var'!$K$12+COUNTIF(BDD!H486:AR486,9)*'ButsMPG + Var'!$K$11+COUNTIF(BDD!H486:AR486,8)*'ButsMPG + Var'!$K$10+COUNTIF(BDD!H486:AR486,7)*'ButsMPG + Var'!$K$9+COUNTIF(BDD!H486:AR486,6)*'ButsMPG + Var'!$K$8+COUNTIF(BDD!H486:AR486,5)*'ButsMPG + Var'!$K$7+COUNTIF(BDD!H486:AR486,4)*'ButsMPG + Var'!$K$6+COUNTIF(BDD!H486:AR486,3)*'ButsMPG + Var'!$K$5+COUNTIF(BDD!H486:AR486,2)*'ButsMPG + Var'!$K$4+COUNTIF(BDD!H486:AR486,1)*'ButsMPG + Var'!$K$3,IF(C483="M",COUNTIF(BDD!H486:AR486,10)*'ButsMPG + Var'!$K$22+COUNTIF(BDD!H486:AR486,9)*'ButsMPG + Var'!$K$21+COUNTIF(BDD!H486:AR486,8)*'ButsMPG + Var'!$K$20+COUNTIF(BDD!H486:AR486,7)*'ButsMPG + Var'!$K$19+COUNTIF(BDD!H486:AR486,6)*'ButsMPG + Var'!$K$18+COUNTIF(BDD!H486:AR486,5)*'ButsMPG + Var'!$K$17+COUNTIF(BDD!H486:AR486,4)*'ButsMPG + Var'!$K$16+COUNTIF(BDD!H486:AR486,3)*'ButsMPG + Var'!$K$15+COUNTIF(BDD!H486:AR486,2)*'ButsMPG + Var'!$K$14+COUNTIF(BDD!H486:AR486,1)*'ButsMPG + Var'!$K$13,IF(C483="D",COUNTIF(BDD!H486:AR486,10)*'ButsMPG + Var'!$K$32+COUNTIF(BDD!H486:AR486,9)*'ButsMPG + Var'!$K$31+COUNTIF(BDD!H486:AR486,8)*'ButsMPG + Var'!$K$30+COUNTIF(BDD!H486:AR486,7)*'ButsMPG + Var'!$K$29+COUNTIF(BDD!H486:AR486,6)*'ButsMPG + Var'!$K$28+COUNTIF(BDD!H486:AR486,5)*'ButsMPG + Var'!$K$27+COUNTIF(BDD!H486:AR486,4)*'ButsMPG + Var'!$K$26+COUNTIF(BDD!H486:AR486,3)*'ButsMPG + Var'!$K$25+COUNTIF(BDD!H486:AR486,2)*'ButsMPG + Var'!$K$24+COUNTIF(BDD!H486:AR486,1)*'ButsMPG + Var'!$K$23,0)))</f>
        <v>0</v>
      </c>
      <c r="H483" s="25">
        <f t="shared" si="8"/>
        <v>0</v>
      </c>
      <c r="I483" s="25">
        <f>BDD!G486</f>
        <v>0</v>
      </c>
      <c r="J483" s="25">
        <f>SUMPRODUCT(BDD!H486:AS486,'ButsMPG + Var'!$B$46:$AM$46)</f>
        <v>0</v>
      </c>
      <c r="K483" s="25" t="e">
        <f>10*('ButsMPG + Var'!$H$37*J483/MAX(J:J)+'ButsMPG + Var'!$G$37*H483/MAX(H:H))</f>
        <v>#DIV/0!</v>
      </c>
      <c r="L483" s="1">
        <f>IF(ISNA(VLOOKUP(B483,PrixMini!$B$3:$E$573,4,FALSE)),1,VLOOKUP(B483,PrixMini!$B$3:$E$573,4,FALSE))</f>
        <v>1</v>
      </c>
      <c r="M483" s="25" t="e">
        <f>IF(ROUND(CalculCotation!$D$3*EXP(CalculCotation!$C$3*K483)-CalculCotation!$D$3+1,0)&gt;L483,ROUND(CalculCotation!$D$3*EXP(CalculCotation!$C$3*K483)-CalculCotation!$D$3+1,0),L483)</f>
        <v>#DIV/0!</v>
      </c>
    </row>
    <row r="484" spans="2:13" x14ac:dyDescent="0.3">
      <c r="B484" s="1">
        <f>BDD!C487</f>
        <v>0</v>
      </c>
      <c r="C484" s="1">
        <f>BDD!B487</f>
        <v>0</v>
      </c>
      <c r="D484" s="1">
        <f>BDD!A487</f>
        <v>0</v>
      </c>
      <c r="E484" s="1">
        <f>BDD!D487</f>
        <v>0</v>
      </c>
      <c r="F484" s="1">
        <f>BDD!F487</f>
        <v>0</v>
      </c>
      <c r="G484" s="25">
        <f>'ButsMPG + Var'!$I$39*IF(C484="A",COUNTIF(BDD!H487:AR487,10)*'ButsMPG + Var'!$K$12+COUNTIF(BDD!H487:AR487,9)*'ButsMPG + Var'!$K$11+COUNTIF(BDD!H487:AR487,8)*'ButsMPG + Var'!$K$10+COUNTIF(BDD!H487:AR487,7)*'ButsMPG + Var'!$K$9+COUNTIF(BDD!H487:AR487,6)*'ButsMPG + Var'!$K$8+COUNTIF(BDD!H487:AR487,5)*'ButsMPG + Var'!$K$7+COUNTIF(BDD!H487:AR487,4)*'ButsMPG + Var'!$K$6+COUNTIF(BDD!H487:AR487,3)*'ButsMPG + Var'!$K$5+COUNTIF(BDD!H487:AR487,2)*'ButsMPG + Var'!$K$4+COUNTIF(BDD!H487:AR487,1)*'ButsMPG + Var'!$K$3,IF(C484="M",COUNTIF(BDD!H487:AR487,10)*'ButsMPG + Var'!$K$22+COUNTIF(BDD!H487:AR487,9)*'ButsMPG + Var'!$K$21+COUNTIF(BDD!H487:AR487,8)*'ButsMPG + Var'!$K$20+COUNTIF(BDD!H487:AR487,7)*'ButsMPG + Var'!$K$19+COUNTIF(BDD!H487:AR487,6)*'ButsMPG + Var'!$K$18+COUNTIF(BDD!H487:AR487,5)*'ButsMPG + Var'!$K$17+COUNTIF(BDD!H487:AR487,4)*'ButsMPG + Var'!$K$16+COUNTIF(BDD!H487:AR487,3)*'ButsMPG + Var'!$K$15+COUNTIF(BDD!H487:AR487,2)*'ButsMPG + Var'!$K$14+COUNTIF(BDD!H487:AR487,1)*'ButsMPG + Var'!$K$13,IF(C484="D",COUNTIF(BDD!H487:AR487,10)*'ButsMPG + Var'!$K$32+COUNTIF(BDD!H487:AR487,9)*'ButsMPG + Var'!$K$31+COUNTIF(BDD!H487:AR487,8)*'ButsMPG + Var'!$K$30+COUNTIF(BDD!H487:AR487,7)*'ButsMPG + Var'!$K$29+COUNTIF(BDD!H487:AR487,6)*'ButsMPG + Var'!$K$28+COUNTIF(BDD!H487:AR487,5)*'ButsMPG + Var'!$K$27+COUNTIF(BDD!H487:AR487,4)*'ButsMPG + Var'!$K$26+COUNTIF(BDD!H487:AR487,3)*'ButsMPG + Var'!$K$25+COUNTIF(BDD!H487:AR487,2)*'ButsMPG + Var'!$K$24+COUNTIF(BDD!H487:AR487,1)*'ButsMPG + Var'!$K$23,0)))</f>
        <v>0</v>
      </c>
      <c r="H484" s="25">
        <f t="shared" si="8"/>
        <v>0</v>
      </c>
      <c r="I484" s="25">
        <f>BDD!G487</f>
        <v>0</v>
      </c>
      <c r="J484" s="25">
        <f>SUMPRODUCT(BDD!H487:AS487,'ButsMPG + Var'!$B$46:$AM$46)</f>
        <v>0</v>
      </c>
      <c r="K484" s="25" t="e">
        <f>10*('ButsMPG + Var'!$H$37*J484/MAX(J:J)+'ButsMPG + Var'!$G$37*H484/MAX(H:H))</f>
        <v>#DIV/0!</v>
      </c>
      <c r="L484" s="1">
        <f>IF(ISNA(VLOOKUP(B484,PrixMini!$B$3:$E$573,4,FALSE)),1,VLOOKUP(B484,PrixMini!$B$3:$E$573,4,FALSE))</f>
        <v>1</v>
      </c>
      <c r="M484" s="25" t="e">
        <f>IF(ROUND(CalculCotation!$D$3*EXP(CalculCotation!$C$3*K484)-CalculCotation!$D$3+1,0)&gt;L484,ROUND(CalculCotation!$D$3*EXP(CalculCotation!$C$3*K484)-CalculCotation!$D$3+1,0),L484)</f>
        <v>#DIV/0!</v>
      </c>
    </row>
    <row r="485" spans="2:13" x14ac:dyDescent="0.3">
      <c r="B485" s="1">
        <f>BDD!C488</f>
        <v>0</v>
      </c>
      <c r="C485" s="1">
        <f>BDD!B488</f>
        <v>0</v>
      </c>
      <c r="D485" s="1">
        <f>BDD!A488</f>
        <v>0</v>
      </c>
      <c r="E485" s="1">
        <f>BDD!D488</f>
        <v>0</v>
      </c>
      <c r="F485" s="1">
        <f>BDD!F488</f>
        <v>0</v>
      </c>
      <c r="G485" s="25">
        <f>'ButsMPG + Var'!$I$39*IF(C485="A",COUNTIF(BDD!H488:AR488,10)*'ButsMPG + Var'!$K$12+COUNTIF(BDD!H488:AR488,9)*'ButsMPG + Var'!$K$11+COUNTIF(BDD!H488:AR488,8)*'ButsMPG + Var'!$K$10+COUNTIF(BDD!H488:AR488,7)*'ButsMPG + Var'!$K$9+COUNTIF(BDD!H488:AR488,6)*'ButsMPG + Var'!$K$8+COUNTIF(BDD!H488:AR488,5)*'ButsMPG + Var'!$K$7+COUNTIF(BDD!H488:AR488,4)*'ButsMPG + Var'!$K$6+COUNTIF(BDD!H488:AR488,3)*'ButsMPG + Var'!$K$5+COUNTIF(BDD!H488:AR488,2)*'ButsMPG + Var'!$K$4+COUNTIF(BDD!H488:AR488,1)*'ButsMPG + Var'!$K$3,IF(C485="M",COUNTIF(BDD!H488:AR488,10)*'ButsMPG + Var'!$K$22+COUNTIF(BDD!H488:AR488,9)*'ButsMPG + Var'!$K$21+COUNTIF(BDD!H488:AR488,8)*'ButsMPG + Var'!$K$20+COUNTIF(BDD!H488:AR488,7)*'ButsMPG + Var'!$K$19+COUNTIF(BDD!H488:AR488,6)*'ButsMPG + Var'!$K$18+COUNTIF(BDD!H488:AR488,5)*'ButsMPG + Var'!$K$17+COUNTIF(BDD!H488:AR488,4)*'ButsMPG + Var'!$K$16+COUNTIF(BDD!H488:AR488,3)*'ButsMPG + Var'!$K$15+COUNTIF(BDD!H488:AR488,2)*'ButsMPG + Var'!$K$14+COUNTIF(BDD!H488:AR488,1)*'ButsMPG + Var'!$K$13,IF(C485="D",COUNTIF(BDD!H488:AR488,10)*'ButsMPG + Var'!$K$32+COUNTIF(BDD!H488:AR488,9)*'ButsMPG + Var'!$K$31+COUNTIF(BDD!H488:AR488,8)*'ButsMPG + Var'!$K$30+COUNTIF(BDD!H488:AR488,7)*'ButsMPG + Var'!$K$29+COUNTIF(BDD!H488:AR488,6)*'ButsMPG + Var'!$K$28+COUNTIF(BDD!H488:AR488,5)*'ButsMPG + Var'!$K$27+COUNTIF(BDD!H488:AR488,4)*'ButsMPG + Var'!$K$26+COUNTIF(BDD!H488:AR488,3)*'ButsMPG + Var'!$K$25+COUNTIF(BDD!H488:AR488,2)*'ButsMPG + Var'!$K$24+COUNTIF(BDD!H488:AR488,1)*'ButsMPG + Var'!$K$23,0)))</f>
        <v>0</v>
      </c>
      <c r="H485" s="25">
        <f t="shared" si="8"/>
        <v>0</v>
      </c>
      <c r="I485" s="25">
        <f>BDD!G488</f>
        <v>0</v>
      </c>
      <c r="J485" s="25">
        <f>SUMPRODUCT(BDD!H488:AS488,'ButsMPG + Var'!$B$46:$AM$46)</f>
        <v>0</v>
      </c>
      <c r="K485" s="25" t="e">
        <f>10*('ButsMPG + Var'!$H$37*J485/MAX(J:J)+'ButsMPG + Var'!$G$37*H485/MAX(H:H))</f>
        <v>#DIV/0!</v>
      </c>
      <c r="L485" s="1">
        <f>IF(ISNA(VLOOKUP(B485,PrixMini!$B$3:$E$573,4,FALSE)),1,VLOOKUP(B485,PrixMini!$B$3:$E$573,4,FALSE))</f>
        <v>1</v>
      </c>
      <c r="M485" s="25" t="e">
        <f>IF(ROUND(CalculCotation!$D$3*EXP(CalculCotation!$C$3*K485)-CalculCotation!$D$3+1,0)&gt;L485,ROUND(CalculCotation!$D$3*EXP(CalculCotation!$C$3*K485)-CalculCotation!$D$3+1,0),L485)</f>
        <v>#DIV/0!</v>
      </c>
    </row>
    <row r="486" spans="2:13" x14ac:dyDescent="0.3">
      <c r="B486" s="1">
        <f>BDD!C489</f>
        <v>0</v>
      </c>
      <c r="C486" s="1">
        <f>BDD!B489</f>
        <v>0</v>
      </c>
      <c r="D486" s="1">
        <f>BDD!A489</f>
        <v>0</v>
      </c>
      <c r="E486" s="1">
        <f>BDD!D489</f>
        <v>0</v>
      </c>
      <c r="F486" s="1">
        <f>BDD!F489</f>
        <v>0</v>
      </c>
      <c r="G486" s="25">
        <f>'ButsMPG + Var'!$I$39*IF(C486="A",COUNTIF(BDD!H489:AR489,10)*'ButsMPG + Var'!$K$12+COUNTIF(BDD!H489:AR489,9)*'ButsMPG + Var'!$K$11+COUNTIF(BDD!H489:AR489,8)*'ButsMPG + Var'!$K$10+COUNTIF(BDD!H489:AR489,7)*'ButsMPG + Var'!$K$9+COUNTIF(BDD!H489:AR489,6)*'ButsMPG + Var'!$K$8+COUNTIF(BDD!H489:AR489,5)*'ButsMPG + Var'!$K$7+COUNTIF(BDD!H489:AR489,4)*'ButsMPG + Var'!$K$6+COUNTIF(BDD!H489:AR489,3)*'ButsMPG + Var'!$K$5+COUNTIF(BDD!H489:AR489,2)*'ButsMPG + Var'!$K$4+COUNTIF(BDD!H489:AR489,1)*'ButsMPG + Var'!$K$3,IF(C486="M",COUNTIF(BDD!H489:AR489,10)*'ButsMPG + Var'!$K$22+COUNTIF(BDD!H489:AR489,9)*'ButsMPG + Var'!$K$21+COUNTIF(BDD!H489:AR489,8)*'ButsMPG + Var'!$K$20+COUNTIF(BDD!H489:AR489,7)*'ButsMPG + Var'!$K$19+COUNTIF(BDD!H489:AR489,6)*'ButsMPG + Var'!$K$18+COUNTIF(BDD!H489:AR489,5)*'ButsMPG + Var'!$K$17+COUNTIF(BDD!H489:AR489,4)*'ButsMPG + Var'!$K$16+COUNTIF(BDD!H489:AR489,3)*'ButsMPG + Var'!$K$15+COUNTIF(BDD!H489:AR489,2)*'ButsMPG + Var'!$K$14+COUNTIF(BDD!H489:AR489,1)*'ButsMPG + Var'!$K$13,IF(C486="D",COUNTIF(BDD!H489:AR489,10)*'ButsMPG + Var'!$K$32+COUNTIF(BDD!H489:AR489,9)*'ButsMPG + Var'!$K$31+COUNTIF(BDD!H489:AR489,8)*'ButsMPG + Var'!$K$30+COUNTIF(BDD!H489:AR489,7)*'ButsMPG + Var'!$K$29+COUNTIF(BDD!H489:AR489,6)*'ButsMPG + Var'!$K$28+COUNTIF(BDD!H489:AR489,5)*'ButsMPG + Var'!$K$27+COUNTIF(BDD!H489:AR489,4)*'ButsMPG + Var'!$K$26+COUNTIF(BDD!H489:AR489,3)*'ButsMPG + Var'!$K$25+COUNTIF(BDD!H489:AR489,2)*'ButsMPG + Var'!$K$24+COUNTIF(BDD!H489:AR489,1)*'ButsMPG + Var'!$K$23,0)))</f>
        <v>0</v>
      </c>
      <c r="H486" s="25">
        <f t="shared" si="8"/>
        <v>0</v>
      </c>
      <c r="I486" s="25">
        <f>BDD!G489</f>
        <v>0</v>
      </c>
      <c r="J486" s="25">
        <f>SUMPRODUCT(BDD!H489:AS489,'ButsMPG + Var'!$B$46:$AM$46)</f>
        <v>0</v>
      </c>
      <c r="K486" s="25" t="e">
        <f>10*('ButsMPG + Var'!$H$37*J486/MAX(J:J)+'ButsMPG + Var'!$G$37*H486/MAX(H:H))</f>
        <v>#DIV/0!</v>
      </c>
      <c r="L486" s="1">
        <f>IF(ISNA(VLOOKUP(B486,PrixMini!$B$3:$E$573,4,FALSE)),1,VLOOKUP(B486,PrixMini!$B$3:$E$573,4,FALSE))</f>
        <v>1</v>
      </c>
      <c r="M486" s="25" t="e">
        <f>IF(ROUND(CalculCotation!$D$3*EXP(CalculCotation!$C$3*K486)-CalculCotation!$D$3+1,0)&gt;L486,ROUND(CalculCotation!$D$3*EXP(CalculCotation!$C$3*K486)-CalculCotation!$D$3+1,0),L486)</f>
        <v>#DIV/0!</v>
      </c>
    </row>
    <row r="487" spans="2:13" x14ac:dyDescent="0.3">
      <c r="B487" s="1">
        <f>BDD!C490</f>
        <v>0</v>
      </c>
      <c r="C487" s="1">
        <f>BDD!B490</f>
        <v>0</v>
      </c>
      <c r="D487" s="1">
        <f>BDD!A490</f>
        <v>0</v>
      </c>
      <c r="E487" s="1">
        <f>BDD!D490</f>
        <v>0</v>
      </c>
      <c r="F487" s="1">
        <f>BDD!F490</f>
        <v>0</v>
      </c>
      <c r="G487" s="25">
        <f>'ButsMPG + Var'!$I$39*IF(C487="A",COUNTIF(BDD!H490:AR490,10)*'ButsMPG + Var'!$K$12+COUNTIF(BDD!H490:AR490,9)*'ButsMPG + Var'!$K$11+COUNTIF(BDD!H490:AR490,8)*'ButsMPG + Var'!$K$10+COUNTIF(BDD!H490:AR490,7)*'ButsMPG + Var'!$K$9+COUNTIF(BDD!H490:AR490,6)*'ButsMPG + Var'!$K$8+COUNTIF(BDD!H490:AR490,5)*'ButsMPG + Var'!$K$7+COUNTIF(BDD!H490:AR490,4)*'ButsMPG + Var'!$K$6+COUNTIF(BDD!H490:AR490,3)*'ButsMPG + Var'!$K$5+COUNTIF(BDD!H490:AR490,2)*'ButsMPG + Var'!$K$4+COUNTIF(BDD!H490:AR490,1)*'ButsMPG + Var'!$K$3,IF(C487="M",COUNTIF(BDD!H490:AR490,10)*'ButsMPG + Var'!$K$22+COUNTIF(BDD!H490:AR490,9)*'ButsMPG + Var'!$K$21+COUNTIF(BDD!H490:AR490,8)*'ButsMPG + Var'!$K$20+COUNTIF(BDD!H490:AR490,7)*'ButsMPG + Var'!$K$19+COUNTIF(BDD!H490:AR490,6)*'ButsMPG + Var'!$K$18+COUNTIF(BDD!H490:AR490,5)*'ButsMPG + Var'!$K$17+COUNTIF(BDD!H490:AR490,4)*'ButsMPG + Var'!$K$16+COUNTIF(BDD!H490:AR490,3)*'ButsMPG + Var'!$K$15+COUNTIF(BDD!H490:AR490,2)*'ButsMPG + Var'!$K$14+COUNTIF(BDD!H490:AR490,1)*'ButsMPG + Var'!$K$13,IF(C487="D",COUNTIF(BDD!H490:AR490,10)*'ButsMPG + Var'!$K$32+COUNTIF(BDD!H490:AR490,9)*'ButsMPG + Var'!$K$31+COUNTIF(BDD!H490:AR490,8)*'ButsMPG + Var'!$K$30+COUNTIF(BDD!H490:AR490,7)*'ButsMPG + Var'!$K$29+COUNTIF(BDD!H490:AR490,6)*'ButsMPG + Var'!$K$28+COUNTIF(BDD!H490:AR490,5)*'ButsMPG + Var'!$K$27+COUNTIF(BDD!H490:AR490,4)*'ButsMPG + Var'!$K$26+COUNTIF(BDD!H490:AR490,3)*'ButsMPG + Var'!$K$25+COUNTIF(BDD!H490:AR490,2)*'ButsMPG + Var'!$K$24+COUNTIF(BDD!H490:AR490,1)*'ButsMPG + Var'!$K$23,0)))</f>
        <v>0</v>
      </c>
      <c r="H487" s="25">
        <f t="shared" si="8"/>
        <v>0</v>
      </c>
      <c r="I487" s="25">
        <f>BDD!G490</f>
        <v>0</v>
      </c>
      <c r="J487" s="25">
        <f>SUMPRODUCT(BDD!H490:AS490,'ButsMPG + Var'!$B$46:$AM$46)</f>
        <v>0</v>
      </c>
      <c r="K487" s="25" t="e">
        <f>10*('ButsMPG + Var'!$H$37*J487/MAX(J:J)+'ButsMPG + Var'!$G$37*H487/MAX(H:H))</f>
        <v>#DIV/0!</v>
      </c>
      <c r="L487" s="1">
        <f>IF(ISNA(VLOOKUP(B487,PrixMini!$B$3:$E$573,4,FALSE)),1,VLOOKUP(B487,PrixMini!$B$3:$E$573,4,FALSE))</f>
        <v>1</v>
      </c>
      <c r="M487" s="25" t="e">
        <f>IF(ROUND(CalculCotation!$D$3*EXP(CalculCotation!$C$3*K487)-CalculCotation!$D$3+1,0)&gt;L487,ROUND(CalculCotation!$D$3*EXP(CalculCotation!$C$3*K487)-CalculCotation!$D$3+1,0),L487)</f>
        <v>#DIV/0!</v>
      </c>
    </row>
    <row r="488" spans="2:13" x14ac:dyDescent="0.3">
      <c r="B488" s="1">
        <f>BDD!C491</f>
        <v>0</v>
      </c>
      <c r="C488" s="1">
        <f>BDD!B491</f>
        <v>0</v>
      </c>
      <c r="D488" s="1">
        <f>BDD!A491</f>
        <v>0</v>
      </c>
      <c r="E488" s="1">
        <f>BDD!D491</f>
        <v>0</v>
      </c>
      <c r="F488" s="1">
        <f>BDD!F491</f>
        <v>0</v>
      </c>
      <c r="G488" s="25">
        <f>'ButsMPG + Var'!$I$39*IF(C488="A",COUNTIF(BDD!H491:AR491,10)*'ButsMPG + Var'!$K$12+COUNTIF(BDD!H491:AR491,9)*'ButsMPG + Var'!$K$11+COUNTIF(BDD!H491:AR491,8)*'ButsMPG + Var'!$K$10+COUNTIF(BDD!H491:AR491,7)*'ButsMPG + Var'!$K$9+COUNTIF(BDD!H491:AR491,6)*'ButsMPG + Var'!$K$8+COUNTIF(BDD!H491:AR491,5)*'ButsMPG + Var'!$K$7+COUNTIF(BDD!H491:AR491,4)*'ButsMPG + Var'!$K$6+COUNTIF(BDD!H491:AR491,3)*'ButsMPG + Var'!$K$5+COUNTIF(BDD!H491:AR491,2)*'ButsMPG + Var'!$K$4+COUNTIF(BDD!H491:AR491,1)*'ButsMPG + Var'!$K$3,IF(C488="M",COUNTIF(BDD!H491:AR491,10)*'ButsMPG + Var'!$K$22+COUNTIF(BDD!H491:AR491,9)*'ButsMPG + Var'!$K$21+COUNTIF(BDD!H491:AR491,8)*'ButsMPG + Var'!$K$20+COUNTIF(BDD!H491:AR491,7)*'ButsMPG + Var'!$K$19+COUNTIF(BDD!H491:AR491,6)*'ButsMPG + Var'!$K$18+COUNTIF(BDD!H491:AR491,5)*'ButsMPG + Var'!$K$17+COUNTIF(BDD!H491:AR491,4)*'ButsMPG + Var'!$K$16+COUNTIF(BDD!H491:AR491,3)*'ButsMPG + Var'!$K$15+COUNTIF(BDD!H491:AR491,2)*'ButsMPG + Var'!$K$14+COUNTIF(BDD!H491:AR491,1)*'ButsMPG + Var'!$K$13,IF(C488="D",COUNTIF(BDD!H491:AR491,10)*'ButsMPG + Var'!$K$32+COUNTIF(BDD!H491:AR491,9)*'ButsMPG + Var'!$K$31+COUNTIF(BDD!H491:AR491,8)*'ButsMPG + Var'!$K$30+COUNTIF(BDD!H491:AR491,7)*'ButsMPG + Var'!$K$29+COUNTIF(BDD!H491:AR491,6)*'ButsMPG + Var'!$K$28+COUNTIF(BDD!H491:AR491,5)*'ButsMPG + Var'!$K$27+COUNTIF(BDD!H491:AR491,4)*'ButsMPG + Var'!$K$26+COUNTIF(BDD!H491:AR491,3)*'ButsMPG + Var'!$K$25+COUNTIF(BDD!H491:AR491,2)*'ButsMPG + Var'!$K$24+COUNTIF(BDD!H491:AR491,1)*'ButsMPG + Var'!$K$23,0)))</f>
        <v>0</v>
      </c>
      <c r="H488" s="25">
        <f t="shared" si="8"/>
        <v>0</v>
      </c>
      <c r="I488" s="25">
        <f>BDD!G491</f>
        <v>0</v>
      </c>
      <c r="J488" s="25">
        <f>SUMPRODUCT(BDD!H491:AS491,'ButsMPG + Var'!$B$46:$AM$46)</f>
        <v>0</v>
      </c>
      <c r="K488" s="25" t="e">
        <f>10*('ButsMPG + Var'!$H$37*J488/MAX(J:J)+'ButsMPG + Var'!$G$37*H488/MAX(H:H))</f>
        <v>#DIV/0!</v>
      </c>
      <c r="L488" s="1">
        <f>IF(ISNA(VLOOKUP(B488,PrixMini!$B$3:$E$573,4,FALSE)),1,VLOOKUP(B488,PrixMini!$B$3:$E$573,4,FALSE))</f>
        <v>1</v>
      </c>
      <c r="M488" s="25" t="e">
        <f>IF(ROUND(CalculCotation!$D$3*EXP(CalculCotation!$C$3*K488)-CalculCotation!$D$3+1,0)&gt;L488,ROUND(CalculCotation!$D$3*EXP(CalculCotation!$C$3*K488)-CalculCotation!$D$3+1,0),L488)</f>
        <v>#DIV/0!</v>
      </c>
    </row>
    <row r="489" spans="2:13" x14ac:dyDescent="0.3">
      <c r="B489" s="1">
        <f>BDD!C492</f>
        <v>0</v>
      </c>
      <c r="C489" s="1">
        <f>BDD!B492</f>
        <v>0</v>
      </c>
      <c r="D489" s="1">
        <f>BDD!A492</f>
        <v>0</v>
      </c>
      <c r="E489" s="1">
        <f>BDD!D492</f>
        <v>0</v>
      </c>
      <c r="F489" s="1">
        <f>BDD!F492</f>
        <v>0</v>
      </c>
      <c r="G489" s="25">
        <f>'ButsMPG + Var'!$I$39*IF(C489="A",COUNTIF(BDD!H492:AR492,10)*'ButsMPG + Var'!$K$12+COUNTIF(BDD!H492:AR492,9)*'ButsMPG + Var'!$K$11+COUNTIF(BDD!H492:AR492,8)*'ButsMPG + Var'!$K$10+COUNTIF(BDD!H492:AR492,7)*'ButsMPG + Var'!$K$9+COUNTIF(BDD!H492:AR492,6)*'ButsMPG + Var'!$K$8+COUNTIF(BDD!H492:AR492,5)*'ButsMPG + Var'!$K$7+COUNTIF(BDD!H492:AR492,4)*'ButsMPG + Var'!$K$6+COUNTIF(BDD!H492:AR492,3)*'ButsMPG + Var'!$K$5+COUNTIF(BDD!H492:AR492,2)*'ButsMPG + Var'!$K$4+COUNTIF(BDD!H492:AR492,1)*'ButsMPG + Var'!$K$3,IF(C489="M",COUNTIF(BDD!H492:AR492,10)*'ButsMPG + Var'!$K$22+COUNTIF(BDD!H492:AR492,9)*'ButsMPG + Var'!$K$21+COUNTIF(BDD!H492:AR492,8)*'ButsMPG + Var'!$K$20+COUNTIF(BDD!H492:AR492,7)*'ButsMPG + Var'!$K$19+COUNTIF(BDD!H492:AR492,6)*'ButsMPG + Var'!$K$18+COUNTIF(BDD!H492:AR492,5)*'ButsMPG + Var'!$K$17+COUNTIF(BDD!H492:AR492,4)*'ButsMPG + Var'!$K$16+COUNTIF(BDD!H492:AR492,3)*'ButsMPG + Var'!$K$15+COUNTIF(BDD!H492:AR492,2)*'ButsMPG + Var'!$K$14+COUNTIF(BDD!H492:AR492,1)*'ButsMPG + Var'!$K$13,IF(C489="D",COUNTIF(BDD!H492:AR492,10)*'ButsMPG + Var'!$K$32+COUNTIF(BDD!H492:AR492,9)*'ButsMPG + Var'!$K$31+COUNTIF(BDD!H492:AR492,8)*'ButsMPG + Var'!$K$30+COUNTIF(BDD!H492:AR492,7)*'ButsMPG + Var'!$K$29+COUNTIF(BDD!H492:AR492,6)*'ButsMPG + Var'!$K$28+COUNTIF(BDD!H492:AR492,5)*'ButsMPG + Var'!$K$27+COUNTIF(BDD!H492:AR492,4)*'ButsMPG + Var'!$K$26+COUNTIF(BDD!H492:AR492,3)*'ButsMPG + Var'!$K$25+COUNTIF(BDD!H492:AR492,2)*'ButsMPG + Var'!$K$24+COUNTIF(BDD!H492:AR492,1)*'ButsMPG + Var'!$K$23,0)))</f>
        <v>0</v>
      </c>
      <c r="H489" s="25">
        <f t="shared" si="8"/>
        <v>0</v>
      </c>
      <c r="I489" s="25">
        <f>BDD!G492</f>
        <v>0</v>
      </c>
      <c r="J489" s="25">
        <f>SUMPRODUCT(BDD!H492:AS492,'ButsMPG + Var'!$B$46:$AM$46)</f>
        <v>0</v>
      </c>
      <c r="K489" s="25" t="e">
        <f>10*('ButsMPG + Var'!$H$37*J489/MAX(J:J)+'ButsMPG + Var'!$G$37*H489/MAX(H:H))</f>
        <v>#DIV/0!</v>
      </c>
      <c r="L489" s="1">
        <f>IF(ISNA(VLOOKUP(B489,PrixMini!$B$3:$E$573,4,FALSE)),1,VLOOKUP(B489,PrixMini!$B$3:$E$573,4,FALSE))</f>
        <v>1</v>
      </c>
      <c r="M489" s="25" t="e">
        <f>IF(ROUND(CalculCotation!$D$3*EXP(CalculCotation!$C$3*K489)-CalculCotation!$D$3+1,0)&gt;L489,ROUND(CalculCotation!$D$3*EXP(CalculCotation!$C$3*K489)-CalculCotation!$D$3+1,0),L489)</f>
        <v>#DIV/0!</v>
      </c>
    </row>
    <row r="490" spans="2:13" x14ac:dyDescent="0.3">
      <c r="B490" s="1">
        <f>BDD!C493</f>
        <v>0</v>
      </c>
      <c r="C490" s="1">
        <f>BDD!B493</f>
        <v>0</v>
      </c>
      <c r="D490" s="1">
        <f>BDD!A493</f>
        <v>0</v>
      </c>
      <c r="E490" s="1">
        <f>BDD!D493</f>
        <v>0</v>
      </c>
      <c r="F490" s="1">
        <f>BDD!F493</f>
        <v>0</v>
      </c>
      <c r="G490" s="25">
        <f>'ButsMPG + Var'!$I$39*IF(C490="A",COUNTIF(BDD!H493:AR493,10)*'ButsMPG + Var'!$K$12+COUNTIF(BDD!H493:AR493,9)*'ButsMPG + Var'!$K$11+COUNTIF(BDD!H493:AR493,8)*'ButsMPG + Var'!$K$10+COUNTIF(BDD!H493:AR493,7)*'ButsMPG + Var'!$K$9+COUNTIF(BDD!H493:AR493,6)*'ButsMPG + Var'!$K$8+COUNTIF(BDD!H493:AR493,5)*'ButsMPG + Var'!$K$7+COUNTIF(BDD!H493:AR493,4)*'ButsMPG + Var'!$K$6+COUNTIF(BDD!H493:AR493,3)*'ButsMPG + Var'!$K$5+COUNTIF(BDD!H493:AR493,2)*'ButsMPG + Var'!$K$4+COUNTIF(BDD!H493:AR493,1)*'ButsMPG + Var'!$K$3,IF(C490="M",COUNTIF(BDD!H493:AR493,10)*'ButsMPG + Var'!$K$22+COUNTIF(BDD!H493:AR493,9)*'ButsMPG + Var'!$K$21+COUNTIF(BDD!H493:AR493,8)*'ButsMPG + Var'!$K$20+COUNTIF(BDD!H493:AR493,7)*'ButsMPG + Var'!$K$19+COUNTIF(BDD!H493:AR493,6)*'ButsMPG + Var'!$K$18+COUNTIF(BDD!H493:AR493,5)*'ButsMPG + Var'!$K$17+COUNTIF(BDD!H493:AR493,4)*'ButsMPG + Var'!$K$16+COUNTIF(BDD!H493:AR493,3)*'ButsMPG + Var'!$K$15+COUNTIF(BDD!H493:AR493,2)*'ButsMPG + Var'!$K$14+COUNTIF(BDD!H493:AR493,1)*'ButsMPG + Var'!$K$13,IF(C490="D",COUNTIF(BDD!H493:AR493,10)*'ButsMPG + Var'!$K$32+COUNTIF(BDD!H493:AR493,9)*'ButsMPG + Var'!$K$31+COUNTIF(BDD!H493:AR493,8)*'ButsMPG + Var'!$K$30+COUNTIF(BDD!H493:AR493,7)*'ButsMPG + Var'!$K$29+COUNTIF(BDD!H493:AR493,6)*'ButsMPG + Var'!$K$28+COUNTIF(BDD!H493:AR493,5)*'ButsMPG + Var'!$K$27+COUNTIF(BDD!H493:AR493,4)*'ButsMPG + Var'!$K$26+COUNTIF(BDD!H493:AR493,3)*'ButsMPG + Var'!$K$25+COUNTIF(BDD!H493:AR493,2)*'ButsMPG + Var'!$K$24+COUNTIF(BDD!H493:AR493,1)*'ButsMPG + Var'!$K$23,0)))</f>
        <v>0</v>
      </c>
      <c r="H490" s="25">
        <f t="shared" si="8"/>
        <v>0</v>
      </c>
      <c r="I490" s="25">
        <f>BDD!G493</f>
        <v>0</v>
      </c>
      <c r="J490" s="25">
        <f>SUMPRODUCT(BDD!H493:AS493,'ButsMPG + Var'!$B$46:$AM$46)</f>
        <v>0</v>
      </c>
      <c r="K490" s="25" t="e">
        <f>10*('ButsMPG + Var'!$H$37*J490/MAX(J:J)+'ButsMPG + Var'!$G$37*H490/MAX(H:H))</f>
        <v>#DIV/0!</v>
      </c>
      <c r="L490" s="1">
        <f>IF(ISNA(VLOOKUP(B490,PrixMini!$B$3:$E$573,4,FALSE)),1,VLOOKUP(B490,PrixMini!$B$3:$E$573,4,FALSE))</f>
        <v>1</v>
      </c>
      <c r="M490" s="25" t="e">
        <f>IF(ROUND(CalculCotation!$D$3*EXP(CalculCotation!$C$3*K490)-CalculCotation!$D$3+1,0)&gt;L490,ROUND(CalculCotation!$D$3*EXP(CalculCotation!$C$3*K490)-CalculCotation!$D$3+1,0),L490)</f>
        <v>#DIV/0!</v>
      </c>
    </row>
    <row r="491" spans="2:13" x14ac:dyDescent="0.3">
      <c r="B491" s="1">
        <f>BDD!C494</f>
        <v>0</v>
      </c>
      <c r="C491" s="1">
        <f>BDD!B494</f>
        <v>0</v>
      </c>
      <c r="D491" s="1">
        <f>BDD!A494</f>
        <v>0</v>
      </c>
      <c r="E491" s="1">
        <f>BDD!D494</f>
        <v>0</v>
      </c>
      <c r="F491" s="1">
        <f>BDD!F494</f>
        <v>0</v>
      </c>
      <c r="G491" s="25">
        <f>'ButsMPG + Var'!$I$39*IF(C491="A",COUNTIF(BDD!H494:AR494,10)*'ButsMPG + Var'!$K$12+COUNTIF(BDD!H494:AR494,9)*'ButsMPG + Var'!$K$11+COUNTIF(BDD!H494:AR494,8)*'ButsMPG + Var'!$K$10+COUNTIF(BDD!H494:AR494,7)*'ButsMPG + Var'!$K$9+COUNTIF(BDD!H494:AR494,6)*'ButsMPG + Var'!$K$8+COUNTIF(BDD!H494:AR494,5)*'ButsMPG + Var'!$K$7+COUNTIF(BDD!H494:AR494,4)*'ButsMPG + Var'!$K$6+COUNTIF(BDD!H494:AR494,3)*'ButsMPG + Var'!$K$5+COUNTIF(BDD!H494:AR494,2)*'ButsMPG + Var'!$K$4+COUNTIF(BDD!H494:AR494,1)*'ButsMPG + Var'!$K$3,IF(C491="M",COUNTIF(BDD!H494:AR494,10)*'ButsMPG + Var'!$K$22+COUNTIF(BDD!H494:AR494,9)*'ButsMPG + Var'!$K$21+COUNTIF(BDD!H494:AR494,8)*'ButsMPG + Var'!$K$20+COUNTIF(BDD!H494:AR494,7)*'ButsMPG + Var'!$K$19+COUNTIF(BDD!H494:AR494,6)*'ButsMPG + Var'!$K$18+COUNTIF(BDD!H494:AR494,5)*'ButsMPG + Var'!$K$17+COUNTIF(BDD!H494:AR494,4)*'ButsMPG + Var'!$K$16+COUNTIF(BDD!H494:AR494,3)*'ButsMPG + Var'!$K$15+COUNTIF(BDD!H494:AR494,2)*'ButsMPG + Var'!$K$14+COUNTIF(BDD!H494:AR494,1)*'ButsMPG + Var'!$K$13,IF(C491="D",COUNTIF(BDD!H494:AR494,10)*'ButsMPG + Var'!$K$32+COUNTIF(BDD!H494:AR494,9)*'ButsMPG + Var'!$K$31+COUNTIF(BDD!H494:AR494,8)*'ButsMPG + Var'!$K$30+COUNTIF(BDD!H494:AR494,7)*'ButsMPG + Var'!$K$29+COUNTIF(BDD!H494:AR494,6)*'ButsMPG + Var'!$K$28+COUNTIF(BDD!H494:AR494,5)*'ButsMPG + Var'!$K$27+COUNTIF(BDD!H494:AR494,4)*'ButsMPG + Var'!$K$26+COUNTIF(BDD!H494:AR494,3)*'ButsMPG + Var'!$K$25+COUNTIF(BDD!H494:AR494,2)*'ButsMPG + Var'!$K$24+COUNTIF(BDD!H494:AR494,1)*'ButsMPG + Var'!$K$23,0)))</f>
        <v>0</v>
      </c>
      <c r="H491" s="25">
        <f t="shared" si="8"/>
        <v>0</v>
      </c>
      <c r="I491" s="25">
        <f>BDD!G494</f>
        <v>0</v>
      </c>
      <c r="J491" s="25">
        <f>SUMPRODUCT(BDD!H494:AS494,'ButsMPG + Var'!$B$46:$AM$46)</f>
        <v>0</v>
      </c>
      <c r="K491" s="25" t="e">
        <f>10*('ButsMPG + Var'!$H$37*J491/MAX(J:J)+'ButsMPG + Var'!$G$37*H491/MAX(H:H))</f>
        <v>#DIV/0!</v>
      </c>
      <c r="L491" s="1">
        <f>IF(ISNA(VLOOKUP(B491,PrixMini!$B$3:$E$573,4,FALSE)),1,VLOOKUP(B491,PrixMini!$B$3:$E$573,4,FALSE))</f>
        <v>1</v>
      </c>
      <c r="M491" s="25" t="e">
        <f>IF(ROUND(CalculCotation!$D$3*EXP(CalculCotation!$C$3*K491)-CalculCotation!$D$3+1,0)&gt;L491,ROUND(CalculCotation!$D$3*EXP(CalculCotation!$C$3*K491)-CalculCotation!$D$3+1,0),L491)</f>
        <v>#DIV/0!</v>
      </c>
    </row>
    <row r="492" spans="2:13" x14ac:dyDescent="0.3">
      <c r="B492" s="1">
        <f>BDD!C495</f>
        <v>0</v>
      </c>
      <c r="C492" s="1">
        <f>BDD!B495</f>
        <v>0</v>
      </c>
      <c r="D492" s="1">
        <f>BDD!A495</f>
        <v>0</v>
      </c>
      <c r="E492" s="1">
        <f>BDD!D495</f>
        <v>0</v>
      </c>
      <c r="F492" s="1">
        <f>BDD!F495</f>
        <v>0</v>
      </c>
      <c r="G492" s="25">
        <f>'ButsMPG + Var'!$I$39*IF(C492="A",COUNTIF(BDD!H495:AR495,10)*'ButsMPG + Var'!$K$12+COUNTIF(BDD!H495:AR495,9)*'ButsMPG + Var'!$K$11+COUNTIF(BDD!H495:AR495,8)*'ButsMPG + Var'!$K$10+COUNTIF(BDD!H495:AR495,7)*'ButsMPG + Var'!$K$9+COUNTIF(BDD!H495:AR495,6)*'ButsMPG + Var'!$K$8+COUNTIF(BDD!H495:AR495,5)*'ButsMPG + Var'!$K$7+COUNTIF(BDD!H495:AR495,4)*'ButsMPG + Var'!$K$6+COUNTIF(BDD!H495:AR495,3)*'ButsMPG + Var'!$K$5+COUNTIF(BDD!H495:AR495,2)*'ButsMPG + Var'!$K$4+COUNTIF(BDD!H495:AR495,1)*'ButsMPG + Var'!$K$3,IF(C492="M",COUNTIF(BDD!H495:AR495,10)*'ButsMPG + Var'!$K$22+COUNTIF(BDD!H495:AR495,9)*'ButsMPG + Var'!$K$21+COUNTIF(BDD!H495:AR495,8)*'ButsMPG + Var'!$K$20+COUNTIF(BDD!H495:AR495,7)*'ButsMPG + Var'!$K$19+COUNTIF(BDD!H495:AR495,6)*'ButsMPG + Var'!$K$18+COUNTIF(BDD!H495:AR495,5)*'ButsMPG + Var'!$K$17+COUNTIF(BDD!H495:AR495,4)*'ButsMPG + Var'!$K$16+COUNTIF(BDD!H495:AR495,3)*'ButsMPG + Var'!$K$15+COUNTIF(BDD!H495:AR495,2)*'ButsMPG + Var'!$K$14+COUNTIF(BDD!H495:AR495,1)*'ButsMPG + Var'!$K$13,IF(C492="D",COUNTIF(BDD!H495:AR495,10)*'ButsMPG + Var'!$K$32+COUNTIF(BDD!H495:AR495,9)*'ButsMPG + Var'!$K$31+COUNTIF(BDD!H495:AR495,8)*'ButsMPG + Var'!$K$30+COUNTIF(BDD!H495:AR495,7)*'ButsMPG + Var'!$K$29+COUNTIF(BDD!H495:AR495,6)*'ButsMPG + Var'!$K$28+COUNTIF(BDD!H495:AR495,5)*'ButsMPG + Var'!$K$27+COUNTIF(BDD!H495:AR495,4)*'ButsMPG + Var'!$K$26+COUNTIF(BDD!H495:AR495,3)*'ButsMPG + Var'!$K$25+COUNTIF(BDD!H495:AR495,2)*'ButsMPG + Var'!$K$24+COUNTIF(BDD!H495:AR495,1)*'ButsMPG + Var'!$K$23,0)))</f>
        <v>0</v>
      </c>
      <c r="H492" s="25">
        <f t="shared" si="8"/>
        <v>0</v>
      </c>
      <c r="I492" s="25">
        <f>BDD!G495</f>
        <v>0</v>
      </c>
      <c r="J492" s="25">
        <f>SUMPRODUCT(BDD!H495:AS495,'ButsMPG + Var'!$B$46:$AM$46)</f>
        <v>0</v>
      </c>
      <c r="K492" s="25" t="e">
        <f>10*('ButsMPG + Var'!$H$37*J492/MAX(J:J)+'ButsMPG + Var'!$G$37*H492/MAX(H:H))</f>
        <v>#DIV/0!</v>
      </c>
      <c r="L492" s="1">
        <f>IF(ISNA(VLOOKUP(B492,PrixMini!$B$3:$E$573,4,FALSE)),1,VLOOKUP(B492,PrixMini!$B$3:$E$573,4,FALSE))</f>
        <v>1</v>
      </c>
      <c r="M492" s="25" t="e">
        <f>IF(ROUND(CalculCotation!$D$3*EXP(CalculCotation!$C$3*K492)-CalculCotation!$D$3+1,0)&gt;L492,ROUND(CalculCotation!$D$3*EXP(CalculCotation!$C$3*K492)-CalculCotation!$D$3+1,0),L492)</f>
        <v>#DIV/0!</v>
      </c>
    </row>
    <row r="493" spans="2:13" x14ac:dyDescent="0.3">
      <c r="B493" s="1">
        <f>BDD!C496</f>
        <v>0</v>
      </c>
      <c r="C493" s="1">
        <f>BDD!B496</f>
        <v>0</v>
      </c>
      <c r="D493" s="1">
        <f>BDD!A496</f>
        <v>0</v>
      </c>
      <c r="E493" s="1">
        <f>BDD!D496</f>
        <v>0</v>
      </c>
      <c r="F493" s="1">
        <f>BDD!F496</f>
        <v>0</v>
      </c>
      <c r="G493" s="25">
        <f>'ButsMPG + Var'!$I$39*IF(C493="A",COUNTIF(BDD!H496:AR496,10)*'ButsMPG + Var'!$K$12+COUNTIF(BDD!H496:AR496,9)*'ButsMPG + Var'!$K$11+COUNTIF(BDD!H496:AR496,8)*'ButsMPG + Var'!$K$10+COUNTIF(BDD!H496:AR496,7)*'ButsMPG + Var'!$K$9+COUNTIF(BDD!H496:AR496,6)*'ButsMPG + Var'!$K$8+COUNTIF(BDD!H496:AR496,5)*'ButsMPG + Var'!$K$7+COUNTIF(BDD!H496:AR496,4)*'ButsMPG + Var'!$K$6+COUNTIF(BDD!H496:AR496,3)*'ButsMPG + Var'!$K$5+COUNTIF(BDD!H496:AR496,2)*'ButsMPG + Var'!$K$4+COUNTIF(BDD!H496:AR496,1)*'ButsMPG + Var'!$K$3,IF(C493="M",COUNTIF(BDD!H496:AR496,10)*'ButsMPG + Var'!$K$22+COUNTIF(BDD!H496:AR496,9)*'ButsMPG + Var'!$K$21+COUNTIF(BDD!H496:AR496,8)*'ButsMPG + Var'!$K$20+COUNTIF(BDD!H496:AR496,7)*'ButsMPG + Var'!$K$19+COUNTIF(BDD!H496:AR496,6)*'ButsMPG + Var'!$K$18+COUNTIF(BDD!H496:AR496,5)*'ButsMPG + Var'!$K$17+COUNTIF(BDD!H496:AR496,4)*'ButsMPG + Var'!$K$16+COUNTIF(BDD!H496:AR496,3)*'ButsMPG + Var'!$K$15+COUNTIF(BDD!H496:AR496,2)*'ButsMPG + Var'!$K$14+COUNTIF(BDD!H496:AR496,1)*'ButsMPG + Var'!$K$13,IF(C493="D",COUNTIF(BDD!H496:AR496,10)*'ButsMPG + Var'!$K$32+COUNTIF(BDD!H496:AR496,9)*'ButsMPG + Var'!$K$31+COUNTIF(BDD!H496:AR496,8)*'ButsMPG + Var'!$K$30+COUNTIF(BDD!H496:AR496,7)*'ButsMPG + Var'!$K$29+COUNTIF(BDD!H496:AR496,6)*'ButsMPG + Var'!$K$28+COUNTIF(BDD!H496:AR496,5)*'ButsMPG + Var'!$K$27+COUNTIF(BDD!H496:AR496,4)*'ButsMPG + Var'!$K$26+COUNTIF(BDD!H496:AR496,3)*'ButsMPG + Var'!$K$25+COUNTIF(BDD!H496:AR496,2)*'ButsMPG + Var'!$K$24+COUNTIF(BDD!H496:AR496,1)*'ButsMPG + Var'!$K$23,0)))</f>
        <v>0</v>
      </c>
      <c r="H493" s="25">
        <f t="shared" si="8"/>
        <v>0</v>
      </c>
      <c r="I493" s="25">
        <f>BDD!G496</f>
        <v>0</v>
      </c>
      <c r="J493" s="25">
        <f>SUMPRODUCT(BDD!H496:AS496,'ButsMPG + Var'!$B$46:$AM$46)</f>
        <v>0</v>
      </c>
      <c r="K493" s="25" t="e">
        <f>10*('ButsMPG + Var'!$H$37*J493/MAX(J:J)+'ButsMPG + Var'!$G$37*H493/MAX(H:H))</f>
        <v>#DIV/0!</v>
      </c>
      <c r="L493" s="1">
        <f>IF(ISNA(VLOOKUP(B493,PrixMini!$B$3:$E$573,4,FALSE)),1,VLOOKUP(B493,PrixMini!$B$3:$E$573,4,FALSE))</f>
        <v>1</v>
      </c>
      <c r="M493" s="25" t="e">
        <f>IF(ROUND(CalculCotation!$D$3*EXP(CalculCotation!$C$3*K493)-CalculCotation!$D$3+1,0)&gt;L493,ROUND(CalculCotation!$D$3*EXP(CalculCotation!$C$3*K493)-CalculCotation!$D$3+1,0),L493)</f>
        <v>#DIV/0!</v>
      </c>
    </row>
    <row r="494" spans="2:13" x14ac:dyDescent="0.3">
      <c r="B494" s="1">
        <f>BDD!C497</f>
        <v>0</v>
      </c>
      <c r="C494" s="1">
        <f>BDD!B497</f>
        <v>0</v>
      </c>
      <c r="D494" s="1">
        <f>BDD!A497</f>
        <v>0</v>
      </c>
      <c r="E494" s="1">
        <f>BDD!D497</f>
        <v>0</v>
      </c>
      <c r="F494" s="1">
        <f>BDD!F497</f>
        <v>0</v>
      </c>
      <c r="G494" s="25">
        <f>'ButsMPG + Var'!$I$39*IF(C494="A",COUNTIF(BDD!H497:AR497,10)*'ButsMPG + Var'!$K$12+COUNTIF(BDD!H497:AR497,9)*'ButsMPG + Var'!$K$11+COUNTIF(BDD!H497:AR497,8)*'ButsMPG + Var'!$K$10+COUNTIF(BDD!H497:AR497,7)*'ButsMPG + Var'!$K$9+COUNTIF(BDD!H497:AR497,6)*'ButsMPG + Var'!$K$8+COUNTIF(BDD!H497:AR497,5)*'ButsMPG + Var'!$K$7+COUNTIF(BDD!H497:AR497,4)*'ButsMPG + Var'!$K$6+COUNTIF(BDD!H497:AR497,3)*'ButsMPG + Var'!$K$5+COUNTIF(BDD!H497:AR497,2)*'ButsMPG + Var'!$K$4+COUNTIF(BDD!H497:AR497,1)*'ButsMPG + Var'!$K$3,IF(C494="M",COUNTIF(BDD!H497:AR497,10)*'ButsMPG + Var'!$K$22+COUNTIF(BDD!H497:AR497,9)*'ButsMPG + Var'!$K$21+COUNTIF(BDD!H497:AR497,8)*'ButsMPG + Var'!$K$20+COUNTIF(BDD!H497:AR497,7)*'ButsMPG + Var'!$K$19+COUNTIF(BDD!H497:AR497,6)*'ButsMPG + Var'!$K$18+COUNTIF(BDD!H497:AR497,5)*'ButsMPG + Var'!$K$17+COUNTIF(BDD!H497:AR497,4)*'ButsMPG + Var'!$K$16+COUNTIF(BDD!H497:AR497,3)*'ButsMPG + Var'!$K$15+COUNTIF(BDD!H497:AR497,2)*'ButsMPG + Var'!$K$14+COUNTIF(BDD!H497:AR497,1)*'ButsMPG + Var'!$K$13,IF(C494="D",COUNTIF(BDD!H497:AR497,10)*'ButsMPG + Var'!$K$32+COUNTIF(BDD!H497:AR497,9)*'ButsMPG + Var'!$K$31+COUNTIF(BDD!H497:AR497,8)*'ButsMPG + Var'!$K$30+COUNTIF(BDD!H497:AR497,7)*'ButsMPG + Var'!$K$29+COUNTIF(BDD!H497:AR497,6)*'ButsMPG + Var'!$K$28+COUNTIF(BDD!H497:AR497,5)*'ButsMPG + Var'!$K$27+COUNTIF(BDD!H497:AR497,4)*'ButsMPG + Var'!$K$26+COUNTIF(BDD!H497:AR497,3)*'ButsMPG + Var'!$K$25+COUNTIF(BDD!H497:AR497,2)*'ButsMPG + Var'!$K$24+COUNTIF(BDD!H497:AR497,1)*'ButsMPG + Var'!$K$23,0)))</f>
        <v>0</v>
      </c>
      <c r="H494" s="25">
        <f t="shared" si="8"/>
        <v>0</v>
      </c>
      <c r="I494" s="25">
        <f>BDD!G497</f>
        <v>0</v>
      </c>
      <c r="J494" s="25">
        <f>SUMPRODUCT(BDD!H497:AS497,'ButsMPG + Var'!$B$46:$AM$46)</f>
        <v>0</v>
      </c>
      <c r="K494" s="25" t="e">
        <f>10*('ButsMPG + Var'!$H$37*J494/MAX(J:J)+'ButsMPG + Var'!$G$37*H494/MAX(H:H))</f>
        <v>#DIV/0!</v>
      </c>
      <c r="L494" s="1">
        <f>IF(ISNA(VLOOKUP(B494,PrixMini!$B$3:$E$573,4,FALSE)),1,VLOOKUP(B494,PrixMini!$B$3:$E$573,4,FALSE))</f>
        <v>1</v>
      </c>
      <c r="M494" s="25" t="e">
        <f>IF(ROUND(CalculCotation!$D$3*EXP(CalculCotation!$C$3*K494)-CalculCotation!$D$3+1,0)&gt;L494,ROUND(CalculCotation!$D$3*EXP(CalculCotation!$C$3*K494)-CalculCotation!$D$3+1,0),L494)</f>
        <v>#DIV/0!</v>
      </c>
    </row>
    <row r="495" spans="2:13" x14ac:dyDescent="0.3">
      <c r="B495" s="1">
        <f>BDD!C498</f>
        <v>0</v>
      </c>
      <c r="C495" s="1">
        <f>BDD!B498</f>
        <v>0</v>
      </c>
      <c r="D495" s="1">
        <f>BDD!A498</f>
        <v>0</v>
      </c>
      <c r="E495" s="1">
        <f>BDD!D498</f>
        <v>0</v>
      </c>
      <c r="F495" s="1">
        <f>BDD!F498</f>
        <v>0</v>
      </c>
      <c r="G495" s="25">
        <f>'ButsMPG + Var'!$I$39*IF(C495="A",COUNTIF(BDD!H498:AR498,10)*'ButsMPG + Var'!$K$12+COUNTIF(BDD!H498:AR498,9)*'ButsMPG + Var'!$K$11+COUNTIF(BDD!H498:AR498,8)*'ButsMPG + Var'!$K$10+COUNTIF(BDD!H498:AR498,7)*'ButsMPG + Var'!$K$9+COUNTIF(BDD!H498:AR498,6)*'ButsMPG + Var'!$K$8+COUNTIF(BDD!H498:AR498,5)*'ButsMPG + Var'!$K$7+COUNTIF(BDD!H498:AR498,4)*'ButsMPG + Var'!$K$6+COUNTIF(BDD!H498:AR498,3)*'ButsMPG + Var'!$K$5+COUNTIF(BDD!H498:AR498,2)*'ButsMPG + Var'!$K$4+COUNTIF(BDD!H498:AR498,1)*'ButsMPG + Var'!$K$3,IF(C495="M",COUNTIF(BDD!H498:AR498,10)*'ButsMPG + Var'!$K$22+COUNTIF(BDD!H498:AR498,9)*'ButsMPG + Var'!$K$21+COUNTIF(BDD!H498:AR498,8)*'ButsMPG + Var'!$K$20+COUNTIF(BDD!H498:AR498,7)*'ButsMPG + Var'!$K$19+COUNTIF(BDD!H498:AR498,6)*'ButsMPG + Var'!$K$18+COUNTIF(BDD!H498:AR498,5)*'ButsMPG + Var'!$K$17+COUNTIF(BDD!H498:AR498,4)*'ButsMPG + Var'!$K$16+COUNTIF(BDD!H498:AR498,3)*'ButsMPG + Var'!$K$15+COUNTIF(BDD!H498:AR498,2)*'ButsMPG + Var'!$K$14+COUNTIF(BDD!H498:AR498,1)*'ButsMPG + Var'!$K$13,IF(C495="D",COUNTIF(BDD!H498:AR498,10)*'ButsMPG + Var'!$K$32+COUNTIF(BDD!H498:AR498,9)*'ButsMPG + Var'!$K$31+COUNTIF(BDD!H498:AR498,8)*'ButsMPG + Var'!$K$30+COUNTIF(BDD!H498:AR498,7)*'ButsMPG + Var'!$K$29+COUNTIF(BDD!H498:AR498,6)*'ButsMPG + Var'!$K$28+COUNTIF(BDD!H498:AR498,5)*'ButsMPG + Var'!$K$27+COUNTIF(BDD!H498:AR498,4)*'ButsMPG + Var'!$K$26+COUNTIF(BDD!H498:AR498,3)*'ButsMPG + Var'!$K$25+COUNTIF(BDD!H498:AR498,2)*'ButsMPG + Var'!$K$24+COUNTIF(BDD!H498:AR498,1)*'ButsMPG + Var'!$K$23,0)))</f>
        <v>0</v>
      </c>
      <c r="H495" s="25">
        <f t="shared" si="8"/>
        <v>0</v>
      </c>
      <c r="I495" s="25">
        <f>BDD!G498</f>
        <v>0</v>
      </c>
      <c r="J495" s="25">
        <f>SUMPRODUCT(BDD!H498:AS498,'ButsMPG + Var'!$B$46:$AM$46)</f>
        <v>0</v>
      </c>
      <c r="K495" s="25" t="e">
        <f>10*('ButsMPG + Var'!$H$37*J495/MAX(J:J)+'ButsMPG + Var'!$G$37*H495/MAX(H:H))</f>
        <v>#DIV/0!</v>
      </c>
      <c r="L495" s="1">
        <f>IF(ISNA(VLOOKUP(B495,PrixMini!$B$3:$E$573,4,FALSE)),1,VLOOKUP(B495,PrixMini!$B$3:$E$573,4,FALSE))</f>
        <v>1</v>
      </c>
      <c r="M495" s="25" t="e">
        <f>IF(ROUND(CalculCotation!$D$3*EXP(CalculCotation!$C$3*K495)-CalculCotation!$D$3+1,0)&gt;L495,ROUND(CalculCotation!$D$3*EXP(CalculCotation!$C$3*K495)-CalculCotation!$D$3+1,0),L495)</f>
        <v>#DIV/0!</v>
      </c>
    </row>
    <row r="496" spans="2:13" x14ac:dyDescent="0.3">
      <c r="B496" s="1">
        <f>BDD!C499</f>
        <v>0</v>
      </c>
      <c r="C496" s="1">
        <f>BDD!B499</f>
        <v>0</v>
      </c>
      <c r="D496" s="1">
        <f>BDD!A499</f>
        <v>0</v>
      </c>
      <c r="E496" s="1">
        <f>BDD!D499</f>
        <v>0</v>
      </c>
      <c r="F496" s="1">
        <f>BDD!F499</f>
        <v>0</v>
      </c>
      <c r="G496" s="25">
        <f>'ButsMPG + Var'!$I$39*IF(C496="A",COUNTIF(BDD!H499:AR499,10)*'ButsMPG + Var'!$K$12+COUNTIF(BDD!H499:AR499,9)*'ButsMPG + Var'!$K$11+COUNTIF(BDD!H499:AR499,8)*'ButsMPG + Var'!$K$10+COUNTIF(BDD!H499:AR499,7)*'ButsMPG + Var'!$K$9+COUNTIF(BDD!H499:AR499,6)*'ButsMPG + Var'!$K$8+COUNTIF(BDD!H499:AR499,5)*'ButsMPG + Var'!$K$7+COUNTIF(BDD!H499:AR499,4)*'ButsMPG + Var'!$K$6+COUNTIF(BDD!H499:AR499,3)*'ButsMPG + Var'!$K$5+COUNTIF(BDD!H499:AR499,2)*'ButsMPG + Var'!$K$4+COUNTIF(BDD!H499:AR499,1)*'ButsMPG + Var'!$K$3,IF(C496="M",COUNTIF(BDD!H499:AR499,10)*'ButsMPG + Var'!$K$22+COUNTIF(BDD!H499:AR499,9)*'ButsMPG + Var'!$K$21+COUNTIF(BDD!H499:AR499,8)*'ButsMPG + Var'!$K$20+COUNTIF(BDD!H499:AR499,7)*'ButsMPG + Var'!$K$19+COUNTIF(BDD!H499:AR499,6)*'ButsMPG + Var'!$K$18+COUNTIF(BDD!H499:AR499,5)*'ButsMPG + Var'!$K$17+COUNTIF(BDD!H499:AR499,4)*'ButsMPG + Var'!$K$16+COUNTIF(BDD!H499:AR499,3)*'ButsMPG + Var'!$K$15+COUNTIF(BDD!H499:AR499,2)*'ButsMPG + Var'!$K$14+COUNTIF(BDD!H499:AR499,1)*'ButsMPG + Var'!$K$13,IF(C496="D",COUNTIF(BDD!H499:AR499,10)*'ButsMPG + Var'!$K$32+COUNTIF(BDD!H499:AR499,9)*'ButsMPG + Var'!$K$31+COUNTIF(BDD!H499:AR499,8)*'ButsMPG + Var'!$K$30+COUNTIF(BDD!H499:AR499,7)*'ButsMPG + Var'!$K$29+COUNTIF(BDD!H499:AR499,6)*'ButsMPG + Var'!$K$28+COUNTIF(BDD!H499:AR499,5)*'ButsMPG + Var'!$K$27+COUNTIF(BDD!H499:AR499,4)*'ButsMPG + Var'!$K$26+COUNTIF(BDD!H499:AR499,3)*'ButsMPG + Var'!$K$25+COUNTIF(BDD!H499:AR499,2)*'ButsMPG + Var'!$K$24+COUNTIF(BDD!H499:AR499,1)*'ButsMPG + Var'!$K$23,0)))</f>
        <v>0</v>
      </c>
      <c r="H496" s="25">
        <f t="shared" si="8"/>
        <v>0</v>
      </c>
      <c r="I496" s="25">
        <f>BDD!G499</f>
        <v>0</v>
      </c>
      <c r="J496" s="25">
        <f>SUMPRODUCT(BDD!H499:AS499,'ButsMPG + Var'!$B$46:$AM$46)</f>
        <v>0</v>
      </c>
      <c r="K496" s="25" t="e">
        <f>10*('ButsMPG + Var'!$H$37*J496/MAX(J:J)+'ButsMPG + Var'!$G$37*H496/MAX(H:H))</f>
        <v>#DIV/0!</v>
      </c>
      <c r="L496" s="1">
        <f>IF(ISNA(VLOOKUP(B496,PrixMini!$B$3:$E$573,4,FALSE)),1,VLOOKUP(B496,PrixMini!$B$3:$E$573,4,FALSE))</f>
        <v>1</v>
      </c>
      <c r="M496" s="25" t="e">
        <f>IF(ROUND(CalculCotation!$D$3*EXP(CalculCotation!$C$3*K496)-CalculCotation!$D$3+1,0)&gt;L496,ROUND(CalculCotation!$D$3*EXP(CalculCotation!$C$3*K496)-CalculCotation!$D$3+1,0),L496)</f>
        <v>#DIV/0!</v>
      </c>
    </row>
    <row r="497" spans="2:13" x14ac:dyDescent="0.3">
      <c r="B497" s="1">
        <f>BDD!C500</f>
        <v>0</v>
      </c>
      <c r="C497" s="1">
        <f>BDD!B500</f>
        <v>0</v>
      </c>
      <c r="D497" s="1">
        <f>BDD!A500</f>
        <v>0</v>
      </c>
      <c r="E497" s="1">
        <f>BDD!D500</f>
        <v>0</v>
      </c>
      <c r="F497" s="1">
        <f>BDD!F500</f>
        <v>0</v>
      </c>
      <c r="G497" s="25">
        <f>'ButsMPG + Var'!$I$39*IF(C497="A",COUNTIF(BDD!H500:AR500,10)*'ButsMPG + Var'!$K$12+COUNTIF(BDD!H500:AR500,9)*'ButsMPG + Var'!$K$11+COUNTIF(BDD!H500:AR500,8)*'ButsMPG + Var'!$K$10+COUNTIF(BDD!H500:AR500,7)*'ButsMPG + Var'!$K$9+COUNTIF(BDD!H500:AR500,6)*'ButsMPG + Var'!$K$8+COUNTIF(BDD!H500:AR500,5)*'ButsMPG + Var'!$K$7+COUNTIF(BDD!H500:AR500,4)*'ButsMPG + Var'!$K$6+COUNTIF(BDD!H500:AR500,3)*'ButsMPG + Var'!$K$5+COUNTIF(BDD!H500:AR500,2)*'ButsMPG + Var'!$K$4+COUNTIF(BDD!H500:AR500,1)*'ButsMPG + Var'!$K$3,IF(C497="M",COUNTIF(BDD!H500:AR500,10)*'ButsMPG + Var'!$K$22+COUNTIF(BDD!H500:AR500,9)*'ButsMPG + Var'!$K$21+COUNTIF(BDD!H500:AR500,8)*'ButsMPG + Var'!$K$20+COUNTIF(BDD!H500:AR500,7)*'ButsMPG + Var'!$K$19+COUNTIF(BDD!H500:AR500,6)*'ButsMPG + Var'!$K$18+COUNTIF(BDD!H500:AR500,5)*'ButsMPG + Var'!$K$17+COUNTIF(BDD!H500:AR500,4)*'ButsMPG + Var'!$K$16+COUNTIF(BDD!H500:AR500,3)*'ButsMPG + Var'!$K$15+COUNTIF(BDD!H500:AR500,2)*'ButsMPG + Var'!$K$14+COUNTIF(BDD!H500:AR500,1)*'ButsMPG + Var'!$K$13,IF(C497="D",COUNTIF(BDD!H500:AR500,10)*'ButsMPG + Var'!$K$32+COUNTIF(BDD!H500:AR500,9)*'ButsMPG + Var'!$K$31+COUNTIF(BDD!H500:AR500,8)*'ButsMPG + Var'!$K$30+COUNTIF(BDD!H500:AR500,7)*'ButsMPG + Var'!$K$29+COUNTIF(BDD!H500:AR500,6)*'ButsMPG + Var'!$K$28+COUNTIF(BDD!H500:AR500,5)*'ButsMPG + Var'!$K$27+COUNTIF(BDD!H500:AR500,4)*'ButsMPG + Var'!$K$26+COUNTIF(BDD!H500:AR500,3)*'ButsMPG + Var'!$K$25+COUNTIF(BDD!H500:AR500,2)*'ButsMPG + Var'!$K$24+COUNTIF(BDD!H500:AR500,1)*'ButsMPG + Var'!$K$23,0)))</f>
        <v>0</v>
      </c>
      <c r="H497" s="25">
        <f t="shared" si="8"/>
        <v>0</v>
      </c>
      <c r="I497" s="25">
        <f>BDD!G500</f>
        <v>0</v>
      </c>
      <c r="J497" s="25">
        <f>SUMPRODUCT(BDD!H500:AS500,'ButsMPG + Var'!$B$46:$AM$46)</f>
        <v>0</v>
      </c>
      <c r="K497" s="25" t="e">
        <f>10*('ButsMPG + Var'!$H$37*J497/MAX(J:J)+'ButsMPG + Var'!$G$37*H497/MAX(H:H))</f>
        <v>#DIV/0!</v>
      </c>
      <c r="L497" s="1">
        <f>IF(ISNA(VLOOKUP(B497,PrixMini!$B$3:$E$573,4,FALSE)),1,VLOOKUP(B497,PrixMini!$B$3:$E$573,4,FALSE))</f>
        <v>1</v>
      </c>
      <c r="M497" s="25" t="e">
        <f>IF(ROUND(CalculCotation!$D$3*EXP(CalculCotation!$C$3*K497)-CalculCotation!$D$3+1,0)&gt;L497,ROUND(CalculCotation!$D$3*EXP(CalculCotation!$C$3*K497)-CalculCotation!$D$3+1,0),L497)</f>
        <v>#DIV/0!</v>
      </c>
    </row>
    <row r="498" spans="2:13" x14ac:dyDescent="0.3">
      <c r="B498" s="1">
        <f>BDD!C501</f>
        <v>0</v>
      </c>
      <c r="C498" s="1">
        <f>BDD!B501</f>
        <v>0</v>
      </c>
      <c r="D498" s="1">
        <f>BDD!A501</f>
        <v>0</v>
      </c>
      <c r="E498" s="1">
        <f>BDD!D501</f>
        <v>0</v>
      </c>
      <c r="F498" s="1">
        <f>BDD!F501</f>
        <v>0</v>
      </c>
      <c r="G498" s="25">
        <f>'ButsMPG + Var'!$I$39*IF(C498="A",COUNTIF(BDD!H501:AR501,10)*'ButsMPG + Var'!$K$12+COUNTIF(BDD!H501:AR501,9)*'ButsMPG + Var'!$K$11+COUNTIF(BDD!H501:AR501,8)*'ButsMPG + Var'!$K$10+COUNTIF(BDD!H501:AR501,7)*'ButsMPG + Var'!$K$9+COUNTIF(BDD!H501:AR501,6)*'ButsMPG + Var'!$K$8+COUNTIF(BDD!H501:AR501,5)*'ButsMPG + Var'!$K$7+COUNTIF(BDD!H501:AR501,4)*'ButsMPG + Var'!$K$6+COUNTIF(BDD!H501:AR501,3)*'ButsMPG + Var'!$K$5+COUNTIF(BDD!H501:AR501,2)*'ButsMPG + Var'!$K$4+COUNTIF(BDD!H501:AR501,1)*'ButsMPG + Var'!$K$3,IF(C498="M",COUNTIF(BDD!H501:AR501,10)*'ButsMPG + Var'!$K$22+COUNTIF(BDD!H501:AR501,9)*'ButsMPG + Var'!$K$21+COUNTIF(BDD!H501:AR501,8)*'ButsMPG + Var'!$K$20+COUNTIF(BDD!H501:AR501,7)*'ButsMPG + Var'!$K$19+COUNTIF(BDD!H501:AR501,6)*'ButsMPG + Var'!$K$18+COUNTIF(BDD!H501:AR501,5)*'ButsMPG + Var'!$K$17+COUNTIF(BDD!H501:AR501,4)*'ButsMPG + Var'!$K$16+COUNTIF(BDD!H501:AR501,3)*'ButsMPG + Var'!$K$15+COUNTIF(BDD!H501:AR501,2)*'ButsMPG + Var'!$K$14+COUNTIF(BDD!H501:AR501,1)*'ButsMPG + Var'!$K$13,IF(C498="D",COUNTIF(BDD!H501:AR501,10)*'ButsMPG + Var'!$K$32+COUNTIF(BDD!H501:AR501,9)*'ButsMPG + Var'!$K$31+COUNTIF(BDD!H501:AR501,8)*'ButsMPG + Var'!$K$30+COUNTIF(BDD!H501:AR501,7)*'ButsMPG + Var'!$K$29+COUNTIF(BDD!H501:AR501,6)*'ButsMPG + Var'!$K$28+COUNTIF(BDD!H501:AR501,5)*'ButsMPG + Var'!$K$27+COUNTIF(BDD!H501:AR501,4)*'ButsMPG + Var'!$K$26+COUNTIF(BDD!H501:AR501,3)*'ButsMPG + Var'!$K$25+COUNTIF(BDD!H501:AR501,2)*'ButsMPG + Var'!$K$24+COUNTIF(BDD!H501:AR501,1)*'ButsMPG + Var'!$K$23,0)))</f>
        <v>0</v>
      </c>
      <c r="H498" s="25">
        <f t="shared" si="8"/>
        <v>0</v>
      </c>
      <c r="I498" s="25">
        <f>BDD!G501</f>
        <v>0</v>
      </c>
      <c r="J498" s="25">
        <f>SUMPRODUCT(BDD!H501:AS501,'ButsMPG + Var'!$B$46:$AM$46)</f>
        <v>0</v>
      </c>
      <c r="K498" s="25" t="e">
        <f>10*('ButsMPG + Var'!$H$37*J498/MAX(J:J)+'ButsMPG + Var'!$G$37*H498/MAX(H:H))</f>
        <v>#DIV/0!</v>
      </c>
      <c r="L498" s="1">
        <f>IF(ISNA(VLOOKUP(B498,PrixMini!$B$3:$E$573,4,FALSE)),1,VLOOKUP(B498,PrixMini!$B$3:$E$573,4,FALSE))</f>
        <v>1</v>
      </c>
      <c r="M498" s="25" t="e">
        <f>IF(ROUND(CalculCotation!$D$3*EXP(CalculCotation!$C$3*K498)-CalculCotation!$D$3+1,0)&gt;L498,ROUND(CalculCotation!$D$3*EXP(CalculCotation!$C$3*K498)-CalculCotation!$D$3+1,0),L498)</f>
        <v>#DIV/0!</v>
      </c>
    </row>
    <row r="499" spans="2:13" x14ac:dyDescent="0.3">
      <c r="B499" s="1">
        <f>BDD!C502</f>
        <v>0</v>
      </c>
      <c r="C499" s="1">
        <f>BDD!B502</f>
        <v>0</v>
      </c>
      <c r="D499" s="1">
        <f>BDD!A502</f>
        <v>0</v>
      </c>
      <c r="E499" s="1">
        <f>BDD!D502</f>
        <v>0</v>
      </c>
      <c r="F499" s="1">
        <f>BDD!F502</f>
        <v>0</v>
      </c>
      <c r="G499" s="25">
        <f>'ButsMPG + Var'!$I$39*IF(C499="A",COUNTIF(BDD!H502:AR502,10)*'ButsMPG + Var'!$K$12+COUNTIF(BDD!H502:AR502,9)*'ButsMPG + Var'!$K$11+COUNTIF(BDD!H502:AR502,8)*'ButsMPG + Var'!$K$10+COUNTIF(BDD!H502:AR502,7)*'ButsMPG + Var'!$K$9+COUNTIF(BDD!H502:AR502,6)*'ButsMPG + Var'!$K$8+COUNTIF(BDD!H502:AR502,5)*'ButsMPG + Var'!$K$7+COUNTIF(BDD!H502:AR502,4)*'ButsMPG + Var'!$K$6+COUNTIF(BDD!H502:AR502,3)*'ButsMPG + Var'!$K$5+COUNTIF(BDD!H502:AR502,2)*'ButsMPG + Var'!$K$4+COUNTIF(BDD!H502:AR502,1)*'ButsMPG + Var'!$K$3,IF(C499="M",COUNTIF(BDD!H502:AR502,10)*'ButsMPG + Var'!$K$22+COUNTIF(BDD!H502:AR502,9)*'ButsMPG + Var'!$K$21+COUNTIF(BDD!H502:AR502,8)*'ButsMPG + Var'!$K$20+COUNTIF(BDD!H502:AR502,7)*'ButsMPG + Var'!$K$19+COUNTIF(BDD!H502:AR502,6)*'ButsMPG + Var'!$K$18+COUNTIF(BDD!H502:AR502,5)*'ButsMPG + Var'!$K$17+COUNTIF(BDD!H502:AR502,4)*'ButsMPG + Var'!$K$16+COUNTIF(BDD!H502:AR502,3)*'ButsMPG + Var'!$K$15+COUNTIF(BDD!H502:AR502,2)*'ButsMPG + Var'!$K$14+COUNTIF(BDD!H502:AR502,1)*'ButsMPG + Var'!$K$13,IF(C499="D",COUNTIF(BDD!H502:AR502,10)*'ButsMPG + Var'!$K$32+COUNTIF(BDD!H502:AR502,9)*'ButsMPG + Var'!$K$31+COUNTIF(BDD!H502:AR502,8)*'ButsMPG + Var'!$K$30+COUNTIF(BDD!H502:AR502,7)*'ButsMPG + Var'!$K$29+COUNTIF(BDD!H502:AR502,6)*'ButsMPG + Var'!$K$28+COUNTIF(BDD!H502:AR502,5)*'ButsMPG + Var'!$K$27+COUNTIF(BDD!H502:AR502,4)*'ButsMPG + Var'!$K$26+COUNTIF(BDD!H502:AR502,3)*'ButsMPG + Var'!$K$25+COUNTIF(BDD!H502:AR502,2)*'ButsMPG + Var'!$K$24+COUNTIF(BDD!H502:AR502,1)*'ButsMPG + Var'!$K$23,0)))</f>
        <v>0</v>
      </c>
      <c r="H499" s="25">
        <f t="shared" si="8"/>
        <v>0</v>
      </c>
      <c r="I499" s="25">
        <f>BDD!G502</f>
        <v>0</v>
      </c>
      <c r="J499" s="25">
        <f>SUMPRODUCT(BDD!H502:AS502,'ButsMPG + Var'!$B$46:$AM$46)</f>
        <v>0</v>
      </c>
      <c r="K499" s="25" t="e">
        <f>10*('ButsMPG + Var'!$H$37*J499/MAX(J:J)+'ButsMPG + Var'!$G$37*H499/MAX(H:H))</f>
        <v>#DIV/0!</v>
      </c>
      <c r="L499" s="1">
        <f>IF(ISNA(VLOOKUP(B499,PrixMini!$B$3:$E$573,4,FALSE)),1,VLOOKUP(B499,PrixMini!$B$3:$E$573,4,FALSE))</f>
        <v>1</v>
      </c>
      <c r="M499" s="25" t="e">
        <f>IF(ROUND(CalculCotation!$D$3*EXP(CalculCotation!$C$3*K499)-CalculCotation!$D$3+1,0)&gt;L499,ROUND(CalculCotation!$D$3*EXP(CalculCotation!$C$3*K499)-CalculCotation!$D$3+1,0),L499)</f>
        <v>#DIV/0!</v>
      </c>
    </row>
    <row r="500" spans="2:13" x14ac:dyDescent="0.3">
      <c r="B500" s="1">
        <f>BDD!C503</f>
        <v>0</v>
      </c>
      <c r="C500" s="1">
        <f>BDD!B503</f>
        <v>0</v>
      </c>
      <c r="D500" s="1">
        <f>BDD!A503</f>
        <v>0</v>
      </c>
      <c r="E500" s="1">
        <f>BDD!D503</f>
        <v>0</v>
      </c>
      <c r="F500" s="1">
        <f>BDD!F503</f>
        <v>0</v>
      </c>
      <c r="G500" s="25">
        <f>'ButsMPG + Var'!$I$39*IF(C500="A",COUNTIF(BDD!H503:AR503,10)*'ButsMPG + Var'!$K$12+COUNTIF(BDD!H503:AR503,9)*'ButsMPG + Var'!$K$11+COUNTIF(BDD!H503:AR503,8)*'ButsMPG + Var'!$K$10+COUNTIF(BDD!H503:AR503,7)*'ButsMPG + Var'!$K$9+COUNTIF(BDD!H503:AR503,6)*'ButsMPG + Var'!$K$8+COUNTIF(BDD!H503:AR503,5)*'ButsMPG + Var'!$K$7+COUNTIF(BDD!H503:AR503,4)*'ButsMPG + Var'!$K$6+COUNTIF(BDD!H503:AR503,3)*'ButsMPG + Var'!$K$5+COUNTIF(BDD!H503:AR503,2)*'ButsMPG + Var'!$K$4+COUNTIF(BDD!H503:AR503,1)*'ButsMPG + Var'!$K$3,IF(C500="M",COUNTIF(BDD!H503:AR503,10)*'ButsMPG + Var'!$K$22+COUNTIF(BDD!H503:AR503,9)*'ButsMPG + Var'!$K$21+COUNTIF(BDD!H503:AR503,8)*'ButsMPG + Var'!$K$20+COUNTIF(BDD!H503:AR503,7)*'ButsMPG + Var'!$K$19+COUNTIF(BDD!H503:AR503,6)*'ButsMPG + Var'!$K$18+COUNTIF(BDD!H503:AR503,5)*'ButsMPG + Var'!$K$17+COUNTIF(BDD!H503:AR503,4)*'ButsMPG + Var'!$K$16+COUNTIF(BDD!H503:AR503,3)*'ButsMPG + Var'!$K$15+COUNTIF(BDD!H503:AR503,2)*'ButsMPG + Var'!$K$14+COUNTIF(BDD!H503:AR503,1)*'ButsMPG + Var'!$K$13,IF(C500="D",COUNTIF(BDD!H503:AR503,10)*'ButsMPG + Var'!$K$32+COUNTIF(BDD!H503:AR503,9)*'ButsMPG + Var'!$K$31+COUNTIF(BDD!H503:AR503,8)*'ButsMPG + Var'!$K$30+COUNTIF(BDD!H503:AR503,7)*'ButsMPG + Var'!$K$29+COUNTIF(BDD!H503:AR503,6)*'ButsMPG + Var'!$K$28+COUNTIF(BDD!H503:AR503,5)*'ButsMPG + Var'!$K$27+COUNTIF(BDD!H503:AR503,4)*'ButsMPG + Var'!$K$26+COUNTIF(BDD!H503:AR503,3)*'ButsMPG + Var'!$K$25+COUNTIF(BDD!H503:AR503,2)*'ButsMPG + Var'!$K$24+COUNTIF(BDD!H503:AR503,1)*'ButsMPG + Var'!$K$23,0)))</f>
        <v>0</v>
      </c>
      <c r="H500" s="25">
        <f t="shared" si="8"/>
        <v>0</v>
      </c>
      <c r="I500" s="25">
        <f>BDD!G503</f>
        <v>0</v>
      </c>
      <c r="J500" s="25">
        <f>SUMPRODUCT(BDD!H503:AS503,'ButsMPG + Var'!$B$46:$AM$46)</f>
        <v>0</v>
      </c>
      <c r="K500" s="25" t="e">
        <f>10*('ButsMPG + Var'!$H$37*J500/MAX(J:J)+'ButsMPG + Var'!$G$37*H500/MAX(H:H))</f>
        <v>#DIV/0!</v>
      </c>
      <c r="L500" s="1">
        <f>IF(ISNA(VLOOKUP(B500,PrixMini!$B$3:$E$573,4,FALSE)),1,VLOOKUP(B500,PrixMini!$B$3:$E$573,4,FALSE))</f>
        <v>1</v>
      </c>
      <c r="M500" s="25" t="e">
        <f>IF(ROUND(CalculCotation!$D$3*EXP(CalculCotation!$C$3*K500)-CalculCotation!$D$3+1,0)&gt;L500,ROUND(CalculCotation!$D$3*EXP(CalculCotation!$C$3*K500)-CalculCotation!$D$3+1,0),L500)</f>
        <v>#DIV/0!</v>
      </c>
    </row>
    <row r="501" spans="2:13" x14ac:dyDescent="0.3">
      <c r="B501" s="1">
        <f>BDD!C504</f>
        <v>0</v>
      </c>
      <c r="C501" s="1">
        <f>BDD!B504</f>
        <v>0</v>
      </c>
      <c r="D501" s="1">
        <f>BDD!A504</f>
        <v>0</v>
      </c>
      <c r="E501" s="1">
        <f>BDD!D504</f>
        <v>0</v>
      </c>
      <c r="F501" s="1">
        <f>BDD!F504</f>
        <v>0</v>
      </c>
      <c r="G501" s="25">
        <f>'ButsMPG + Var'!$I$39*IF(C501="A",COUNTIF(BDD!H504:AR504,10)*'ButsMPG + Var'!$K$12+COUNTIF(BDD!H504:AR504,9)*'ButsMPG + Var'!$K$11+COUNTIF(BDD!H504:AR504,8)*'ButsMPG + Var'!$K$10+COUNTIF(BDD!H504:AR504,7)*'ButsMPG + Var'!$K$9+COUNTIF(BDD!H504:AR504,6)*'ButsMPG + Var'!$K$8+COUNTIF(BDD!H504:AR504,5)*'ButsMPG + Var'!$K$7+COUNTIF(BDD!H504:AR504,4)*'ButsMPG + Var'!$K$6+COUNTIF(BDD!H504:AR504,3)*'ButsMPG + Var'!$K$5+COUNTIF(BDD!H504:AR504,2)*'ButsMPG + Var'!$K$4+COUNTIF(BDD!H504:AR504,1)*'ButsMPG + Var'!$K$3,IF(C501="M",COUNTIF(BDD!H504:AR504,10)*'ButsMPG + Var'!$K$22+COUNTIF(BDD!H504:AR504,9)*'ButsMPG + Var'!$K$21+COUNTIF(BDD!H504:AR504,8)*'ButsMPG + Var'!$K$20+COUNTIF(BDD!H504:AR504,7)*'ButsMPG + Var'!$K$19+COUNTIF(BDD!H504:AR504,6)*'ButsMPG + Var'!$K$18+COUNTIF(BDD!H504:AR504,5)*'ButsMPG + Var'!$K$17+COUNTIF(BDD!H504:AR504,4)*'ButsMPG + Var'!$K$16+COUNTIF(BDD!H504:AR504,3)*'ButsMPG + Var'!$K$15+COUNTIF(BDD!H504:AR504,2)*'ButsMPG + Var'!$K$14+COUNTIF(BDD!H504:AR504,1)*'ButsMPG + Var'!$K$13,IF(C501="D",COUNTIF(BDD!H504:AR504,10)*'ButsMPG + Var'!$K$32+COUNTIF(BDD!H504:AR504,9)*'ButsMPG + Var'!$K$31+COUNTIF(BDD!H504:AR504,8)*'ButsMPG + Var'!$K$30+COUNTIF(BDD!H504:AR504,7)*'ButsMPG + Var'!$K$29+COUNTIF(BDD!H504:AR504,6)*'ButsMPG + Var'!$K$28+COUNTIF(BDD!H504:AR504,5)*'ButsMPG + Var'!$K$27+COUNTIF(BDD!H504:AR504,4)*'ButsMPG + Var'!$K$26+COUNTIF(BDD!H504:AR504,3)*'ButsMPG + Var'!$K$25+COUNTIF(BDD!H504:AR504,2)*'ButsMPG + Var'!$K$24+COUNTIF(BDD!H504:AR504,1)*'ButsMPG + Var'!$K$23,0)))</f>
        <v>0</v>
      </c>
      <c r="H501" s="25">
        <f t="shared" si="8"/>
        <v>0</v>
      </c>
      <c r="I501" s="25">
        <f>BDD!G504</f>
        <v>0</v>
      </c>
      <c r="J501" s="25">
        <f>SUMPRODUCT(BDD!H504:AS504,'ButsMPG + Var'!$B$46:$AM$46)</f>
        <v>0</v>
      </c>
      <c r="K501" s="25" t="e">
        <f>10*('ButsMPG + Var'!$H$37*J501/MAX(J:J)+'ButsMPG + Var'!$G$37*H501/MAX(H:H))</f>
        <v>#DIV/0!</v>
      </c>
      <c r="L501" s="1">
        <f>IF(ISNA(VLOOKUP(B501,PrixMini!$B$3:$E$573,4,FALSE)),1,VLOOKUP(B501,PrixMini!$B$3:$E$573,4,FALSE))</f>
        <v>1</v>
      </c>
      <c r="M501" s="25" t="e">
        <f>IF(ROUND(CalculCotation!$D$3*EXP(CalculCotation!$C$3*K501)-CalculCotation!$D$3+1,0)&gt;L501,ROUND(CalculCotation!$D$3*EXP(CalculCotation!$C$3*K501)-CalculCotation!$D$3+1,0),L501)</f>
        <v>#DIV/0!</v>
      </c>
    </row>
    <row r="502" spans="2:13" x14ac:dyDescent="0.3">
      <c r="B502" s="1">
        <f>BDD!C505</f>
        <v>0</v>
      </c>
      <c r="C502" s="1">
        <f>BDD!B505</f>
        <v>0</v>
      </c>
      <c r="D502" s="1">
        <f>BDD!A505</f>
        <v>0</v>
      </c>
      <c r="E502" s="1">
        <f>BDD!D505</f>
        <v>0</v>
      </c>
      <c r="F502" s="1">
        <f>BDD!F505</f>
        <v>0</v>
      </c>
      <c r="G502" s="25">
        <f>'ButsMPG + Var'!$I$39*IF(C502="A",COUNTIF(BDD!H505:AR505,10)*'ButsMPG + Var'!$K$12+COUNTIF(BDD!H505:AR505,9)*'ButsMPG + Var'!$K$11+COUNTIF(BDD!H505:AR505,8)*'ButsMPG + Var'!$K$10+COUNTIF(BDD!H505:AR505,7)*'ButsMPG + Var'!$K$9+COUNTIF(BDD!H505:AR505,6)*'ButsMPG + Var'!$K$8+COUNTIF(BDD!H505:AR505,5)*'ButsMPG + Var'!$K$7+COUNTIF(BDD!H505:AR505,4)*'ButsMPG + Var'!$K$6+COUNTIF(BDD!H505:AR505,3)*'ButsMPG + Var'!$K$5+COUNTIF(BDD!H505:AR505,2)*'ButsMPG + Var'!$K$4+COUNTIF(BDD!H505:AR505,1)*'ButsMPG + Var'!$K$3,IF(C502="M",COUNTIF(BDD!H505:AR505,10)*'ButsMPG + Var'!$K$22+COUNTIF(BDD!H505:AR505,9)*'ButsMPG + Var'!$K$21+COUNTIF(BDD!H505:AR505,8)*'ButsMPG + Var'!$K$20+COUNTIF(BDD!H505:AR505,7)*'ButsMPG + Var'!$K$19+COUNTIF(BDD!H505:AR505,6)*'ButsMPG + Var'!$K$18+COUNTIF(BDD!H505:AR505,5)*'ButsMPG + Var'!$K$17+COUNTIF(BDD!H505:AR505,4)*'ButsMPG + Var'!$K$16+COUNTIF(BDD!H505:AR505,3)*'ButsMPG + Var'!$K$15+COUNTIF(BDD!H505:AR505,2)*'ButsMPG + Var'!$K$14+COUNTIF(BDD!H505:AR505,1)*'ButsMPG + Var'!$K$13,IF(C502="D",COUNTIF(BDD!H505:AR505,10)*'ButsMPG + Var'!$K$32+COUNTIF(BDD!H505:AR505,9)*'ButsMPG + Var'!$K$31+COUNTIF(BDD!H505:AR505,8)*'ButsMPG + Var'!$K$30+COUNTIF(BDD!H505:AR505,7)*'ButsMPG + Var'!$K$29+COUNTIF(BDD!H505:AR505,6)*'ButsMPG + Var'!$K$28+COUNTIF(BDD!H505:AR505,5)*'ButsMPG + Var'!$K$27+COUNTIF(BDD!H505:AR505,4)*'ButsMPG + Var'!$K$26+COUNTIF(BDD!H505:AR505,3)*'ButsMPG + Var'!$K$25+COUNTIF(BDD!H505:AR505,2)*'ButsMPG + Var'!$K$24+COUNTIF(BDD!H505:AR505,1)*'ButsMPG + Var'!$K$23,0)))</f>
        <v>0</v>
      </c>
      <c r="H502" s="25">
        <f t="shared" si="8"/>
        <v>0</v>
      </c>
      <c r="I502" s="25">
        <f>BDD!G505</f>
        <v>0</v>
      </c>
      <c r="J502" s="25">
        <f>SUMPRODUCT(BDD!H505:AS505,'ButsMPG + Var'!$B$46:$AM$46)</f>
        <v>0</v>
      </c>
      <c r="K502" s="25" t="e">
        <f>10*('ButsMPG + Var'!$H$37*J502/MAX(J:J)+'ButsMPG + Var'!$G$37*H502/MAX(H:H))</f>
        <v>#DIV/0!</v>
      </c>
      <c r="L502" s="1">
        <f>IF(ISNA(VLOOKUP(B502,PrixMini!$B$3:$E$573,4,FALSE)),1,VLOOKUP(B502,PrixMini!$B$3:$E$573,4,FALSE))</f>
        <v>1</v>
      </c>
      <c r="M502" s="25" t="e">
        <f>IF(ROUND(CalculCotation!$D$3*EXP(CalculCotation!$C$3*K502)-CalculCotation!$D$3+1,0)&gt;L502,ROUND(CalculCotation!$D$3*EXP(CalculCotation!$C$3*K502)-CalculCotation!$D$3+1,0),L502)</f>
        <v>#DIV/0!</v>
      </c>
    </row>
    <row r="503" spans="2:13" x14ac:dyDescent="0.3">
      <c r="B503" s="1">
        <f>BDD!C506</f>
        <v>0</v>
      </c>
      <c r="C503" s="1">
        <f>BDD!B506</f>
        <v>0</v>
      </c>
      <c r="D503" s="1">
        <f>BDD!A506</f>
        <v>0</v>
      </c>
      <c r="E503" s="1">
        <f>BDD!D506</f>
        <v>0</v>
      </c>
      <c r="F503" s="1">
        <f>BDD!F506</f>
        <v>0</v>
      </c>
      <c r="G503" s="25">
        <f>'ButsMPG + Var'!$I$39*IF(C503="A",COUNTIF(BDD!H506:AR506,10)*'ButsMPG + Var'!$K$12+COUNTIF(BDD!H506:AR506,9)*'ButsMPG + Var'!$K$11+COUNTIF(BDD!H506:AR506,8)*'ButsMPG + Var'!$K$10+COUNTIF(BDD!H506:AR506,7)*'ButsMPG + Var'!$K$9+COUNTIF(BDD!H506:AR506,6)*'ButsMPG + Var'!$K$8+COUNTIF(BDD!H506:AR506,5)*'ButsMPG + Var'!$K$7+COUNTIF(BDD!H506:AR506,4)*'ButsMPG + Var'!$K$6+COUNTIF(BDD!H506:AR506,3)*'ButsMPG + Var'!$K$5+COUNTIF(BDD!H506:AR506,2)*'ButsMPG + Var'!$K$4+COUNTIF(BDD!H506:AR506,1)*'ButsMPG + Var'!$K$3,IF(C503="M",COUNTIF(BDD!H506:AR506,10)*'ButsMPG + Var'!$K$22+COUNTIF(BDD!H506:AR506,9)*'ButsMPG + Var'!$K$21+COUNTIF(BDD!H506:AR506,8)*'ButsMPG + Var'!$K$20+COUNTIF(BDD!H506:AR506,7)*'ButsMPG + Var'!$K$19+COUNTIF(BDD!H506:AR506,6)*'ButsMPG + Var'!$K$18+COUNTIF(BDD!H506:AR506,5)*'ButsMPG + Var'!$K$17+COUNTIF(BDD!H506:AR506,4)*'ButsMPG + Var'!$K$16+COUNTIF(BDD!H506:AR506,3)*'ButsMPG + Var'!$K$15+COUNTIF(BDD!H506:AR506,2)*'ButsMPG + Var'!$K$14+COUNTIF(BDD!H506:AR506,1)*'ButsMPG + Var'!$K$13,IF(C503="D",COUNTIF(BDD!H506:AR506,10)*'ButsMPG + Var'!$K$32+COUNTIF(BDD!H506:AR506,9)*'ButsMPG + Var'!$K$31+COUNTIF(BDD!H506:AR506,8)*'ButsMPG + Var'!$K$30+COUNTIF(BDD!H506:AR506,7)*'ButsMPG + Var'!$K$29+COUNTIF(BDD!H506:AR506,6)*'ButsMPG + Var'!$K$28+COUNTIF(BDD!H506:AR506,5)*'ButsMPG + Var'!$K$27+COUNTIF(BDD!H506:AR506,4)*'ButsMPG + Var'!$K$26+COUNTIF(BDD!H506:AR506,3)*'ButsMPG + Var'!$K$25+COUNTIF(BDD!H506:AR506,2)*'ButsMPG + Var'!$K$24+COUNTIF(BDD!H506:AR506,1)*'ButsMPG + Var'!$K$23,0)))</f>
        <v>0</v>
      </c>
      <c r="H503" s="25">
        <f t="shared" si="8"/>
        <v>0</v>
      </c>
      <c r="I503" s="25">
        <f>BDD!G506</f>
        <v>0</v>
      </c>
      <c r="J503" s="25">
        <f>SUMPRODUCT(BDD!H506:AS506,'ButsMPG + Var'!$B$46:$AM$46)</f>
        <v>0</v>
      </c>
      <c r="K503" s="25" t="e">
        <f>10*('ButsMPG + Var'!$H$37*J503/MAX(J:J)+'ButsMPG + Var'!$G$37*H503/MAX(H:H))</f>
        <v>#DIV/0!</v>
      </c>
      <c r="L503" s="1">
        <f>IF(ISNA(VLOOKUP(B503,PrixMini!$B$3:$E$573,4,FALSE)),1,VLOOKUP(B503,PrixMini!$B$3:$E$573,4,FALSE))</f>
        <v>1</v>
      </c>
      <c r="M503" s="25" t="e">
        <f>IF(ROUND(CalculCotation!$D$3*EXP(CalculCotation!$C$3*K503)-CalculCotation!$D$3+1,0)&gt;L503,ROUND(CalculCotation!$D$3*EXP(CalculCotation!$C$3*K503)-CalculCotation!$D$3+1,0),L503)</f>
        <v>#DIV/0!</v>
      </c>
    </row>
    <row r="504" spans="2:13" x14ac:dyDescent="0.3">
      <c r="B504" s="1">
        <f>BDD!C507</f>
        <v>0</v>
      </c>
      <c r="C504" s="1">
        <f>BDD!B507</f>
        <v>0</v>
      </c>
      <c r="D504" s="1">
        <f>BDD!A507</f>
        <v>0</v>
      </c>
      <c r="E504" s="1">
        <f>BDD!D507</f>
        <v>0</v>
      </c>
      <c r="F504" s="1">
        <f>BDD!F507</f>
        <v>0</v>
      </c>
      <c r="G504" s="25">
        <f>'ButsMPG + Var'!$I$39*IF(C504="A",COUNTIF(BDD!H507:AR507,10)*'ButsMPG + Var'!$K$12+COUNTIF(BDD!H507:AR507,9)*'ButsMPG + Var'!$K$11+COUNTIF(BDD!H507:AR507,8)*'ButsMPG + Var'!$K$10+COUNTIF(BDD!H507:AR507,7)*'ButsMPG + Var'!$K$9+COUNTIF(BDD!H507:AR507,6)*'ButsMPG + Var'!$K$8+COUNTIF(BDD!H507:AR507,5)*'ButsMPG + Var'!$K$7+COUNTIF(BDD!H507:AR507,4)*'ButsMPG + Var'!$K$6+COUNTIF(BDD!H507:AR507,3)*'ButsMPG + Var'!$K$5+COUNTIF(BDD!H507:AR507,2)*'ButsMPG + Var'!$K$4+COUNTIF(BDD!H507:AR507,1)*'ButsMPG + Var'!$K$3,IF(C504="M",COUNTIF(BDD!H507:AR507,10)*'ButsMPG + Var'!$K$22+COUNTIF(BDD!H507:AR507,9)*'ButsMPG + Var'!$K$21+COUNTIF(BDD!H507:AR507,8)*'ButsMPG + Var'!$K$20+COUNTIF(BDD!H507:AR507,7)*'ButsMPG + Var'!$K$19+COUNTIF(BDD!H507:AR507,6)*'ButsMPG + Var'!$K$18+COUNTIF(BDD!H507:AR507,5)*'ButsMPG + Var'!$K$17+COUNTIF(BDD!H507:AR507,4)*'ButsMPG + Var'!$K$16+COUNTIF(BDD!H507:AR507,3)*'ButsMPG + Var'!$K$15+COUNTIF(BDD!H507:AR507,2)*'ButsMPG + Var'!$K$14+COUNTIF(BDD!H507:AR507,1)*'ButsMPG + Var'!$K$13,IF(C504="D",COUNTIF(BDD!H507:AR507,10)*'ButsMPG + Var'!$K$32+COUNTIF(BDD!H507:AR507,9)*'ButsMPG + Var'!$K$31+COUNTIF(BDD!H507:AR507,8)*'ButsMPG + Var'!$K$30+COUNTIF(BDD!H507:AR507,7)*'ButsMPG + Var'!$K$29+COUNTIF(BDD!H507:AR507,6)*'ButsMPG + Var'!$K$28+COUNTIF(BDD!H507:AR507,5)*'ButsMPG + Var'!$K$27+COUNTIF(BDD!H507:AR507,4)*'ButsMPG + Var'!$K$26+COUNTIF(BDD!H507:AR507,3)*'ButsMPG + Var'!$K$25+COUNTIF(BDD!H507:AR507,2)*'ButsMPG + Var'!$K$24+COUNTIF(BDD!H507:AR507,1)*'ButsMPG + Var'!$K$23,0)))</f>
        <v>0</v>
      </c>
      <c r="H504" s="25">
        <f t="shared" si="8"/>
        <v>0</v>
      </c>
      <c r="I504" s="25">
        <f>BDD!G507</f>
        <v>0</v>
      </c>
      <c r="J504" s="25">
        <f>SUMPRODUCT(BDD!H507:AS507,'ButsMPG + Var'!$B$46:$AM$46)</f>
        <v>0</v>
      </c>
      <c r="K504" s="25" t="e">
        <f>10*('ButsMPG + Var'!$H$37*J504/MAX(J:J)+'ButsMPG + Var'!$G$37*H504/MAX(H:H))</f>
        <v>#DIV/0!</v>
      </c>
      <c r="L504" s="1">
        <f>IF(ISNA(VLOOKUP(B504,PrixMini!$B$3:$E$573,4,FALSE)),1,VLOOKUP(B504,PrixMini!$B$3:$E$573,4,FALSE))</f>
        <v>1</v>
      </c>
      <c r="M504" s="25" t="e">
        <f>IF(ROUND(CalculCotation!$D$3*EXP(CalculCotation!$C$3*K504)-CalculCotation!$D$3+1,0)&gt;L504,ROUND(CalculCotation!$D$3*EXP(CalculCotation!$C$3*K504)-CalculCotation!$D$3+1,0),L504)</f>
        <v>#DIV/0!</v>
      </c>
    </row>
    <row r="505" spans="2:13" x14ac:dyDescent="0.3">
      <c r="B505" s="1">
        <f>BDD!C508</f>
        <v>0</v>
      </c>
      <c r="C505" s="1">
        <f>BDD!B508</f>
        <v>0</v>
      </c>
      <c r="D505" s="1">
        <f>BDD!A508</f>
        <v>0</v>
      </c>
      <c r="E505" s="1">
        <f>BDD!D508</f>
        <v>0</v>
      </c>
      <c r="F505" s="1">
        <f>BDD!F508</f>
        <v>0</v>
      </c>
      <c r="G505" s="25">
        <f>'ButsMPG + Var'!$I$39*IF(C505="A",COUNTIF(BDD!H508:AR508,10)*'ButsMPG + Var'!$K$12+COUNTIF(BDD!H508:AR508,9)*'ButsMPG + Var'!$K$11+COUNTIF(BDD!H508:AR508,8)*'ButsMPG + Var'!$K$10+COUNTIF(BDD!H508:AR508,7)*'ButsMPG + Var'!$K$9+COUNTIF(BDD!H508:AR508,6)*'ButsMPG + Var'!$K$8+COUNTIF(BDD!H508:AR508,5)*'ButsMPG + Var'!$K$7+COUNTIF(BDD!H508:AR508,4)*'ButsMPG + Var'!$K$6+COUNTIF(BDD!H508:AR508,3)*'ButsMPG + Var'!$K$5+COUNTIF(BDD!H508:AR508,2)*'ButsMPG + Var'!$K$4+COUNTIF(BDD!H508:AR508,1)*'ButsMPG + Var'!$K$3,IF(C505="M",COUNTIF(BDD!H508:AR508,10)*'ButsMPG + Var'!$K$22+COUNTIF(BDD!H508:AR508,9)*'ButsMPG + Var'!$K$21+COUNTIF(BDD!H508:AR508,8)*'ButsMPG + Var'!$K$20+COUNTIF(BDD!H508:AR508,7)*'ButsMPG + Var'!$K$19+COUNTIF(BDD!H508:AR508,6)*'ButsMPG + Var'!$K$18+COUNTIF(BDD!H508:AR508,5)*'ButsMPG + Var'!$K$17+COUNTIF(BDD!H508:AR508,4)*'ButsMPG + Var'!$K$16+COUNTIF(BDD!H508:AR508,3)*'ButsMPG + Var'!$K$15+COUNTIF(BDD!H508:AR508,2)*'ButsMPG + Var'!$K$14+COUNTIF(BDD!H508:AR508,1)*'ButsMPG + Var'!$K$13,IF(C505="D",COUNTIF(BDD!H508:AR508,10)*'ButsMPG + Var'!$K$32+COUNTIF(BDD!H508:AR508,9)*'ButsMPG + Var'!$K$31+COUNTIF(BDD!H508:AR508,8)*'ButsMPG + Var'!$K$30+COUNTIF(BDD!H508:AR508,7)*'ButsMPG + Var'!$K$29+COUNTIF(BDD!H508:AR508,6)*'ButsMPG + Var'!$K$28+COUNTIF(BDD!H508:AR508,5)*'ButsMPG + Var'!$K$27+COUNTIF(BDD!H508:AR508,4)*'ButsMPG + Var'!$K$26+COUNTIF(BDD!H508:AR508,3)*'ButsMPG + Var'!$K$25+COUNTIF(BDD!H508:AR508,2)*'ButsMPG + Var'!$K$24+COUNTIF(BDD!H508:AR508,1)*'ButsMPG + Var'!$K$23,0)))</f>
        <v>0</v>
      </c>
      <c r="H505" s="25">
        <f t="shared" si="8"/>
        <v>0</v>
      </c>
      <c r="I505" s="25">
        <f>BDD!G508</f>
        <v>0</v>
      </c>
      <c r="J505" s="25">
        <f>SUMPRODUCT(BDD!H508:AS508,'ButsMPG + Var'!$B$46:$AM$46)</f>
        <v>0</v>
      </c>
      <c r="K505" s="25" t="e">
        <f>10*('ButsMPG + Var'!$H$37*J505/MAX(J:J)+'ButsMPG + Var'!$G$37*H505/MAX(H:H))</f>
        <v>#DIV/0!</v>
      </c>
      <c r="L505" s="1">
        <f>IF(ISNA(VLOOKUP(B505,PrixMini!$B$3:$E$573,4,FALSE)),1,VLOOKUP(B505,PrixMini!$B$3:$E$573,4,FALSE))</f>
        <v>1</v>
      </c>
      <c r="M505" s="25" t="e">
        <f>IF(ROUND(CalculCotation!$D$3*EXP(CalculCotation!$C$3*K505)-CalculCotation!$D$3+1,0)&gt;L505,ROUND(CalculCotation!$D$3*EXP(CalculCotation!$C$3*K505)-CalculCotation!$D$3+1,0),L505)</f>
        <v>#DIV/0!</v>
      </c>
    </row>
    <row r="506" spans="2:13" x14ac:dyDescent="0.3">
      <c r="B506" s="1">
        <f>BDD!C509</f>
        <v>0</v>
      </c>
      <c r="C506" s="1">
        <f>BDD!B509</f>
        <v>0</v>
      </c>
      <c r="D506" s="1">
        <f>BDD!A509</f>
        <v>0</v>
      </c>
      <c r="E506" s="1">
        <f>BDD!D509</f>
        <v>0</v>
      </c>
      <c r="F506" s="1">
        <f>BDD!F509</f>
        <v>0</v>
      </c>
      <c r="G506" s="25">
        <f>'ButsMPG + Var'!$I$39*IF(C506="A",COUNTIF(BDD!H509:AR509,10)*'ButsMPG + Var'!$K$12+COUNTIF(BDD!H509:AR509,9)*'ButsMPG + Var'!$K$11+COUNTIF(BDD!H509:AR509,8)*'ButsMPG + Var'!$K$10+COUNTIF(BDD!H509:AR509,7)*'ButsMPG + Var'!$K$9+COUNTIF(BDD!H509:AR509,6)*'ButsMPG + Var'!$K$8+COUNTIF(BDD!H509:AR509,5)*'ButsMPG + Var'!$K$7+COUNTIF(BDD!H509:AR509,4)*'ButsMPG + Var'!$K$6+COUNTIF(BDD!H509:AR509,3)*'ButsMPG + Var'!$K$5+COUNTIF(BDD!H509:AR509,2)*'ButsMPG + Var'!$K$4+COUNTIF(BDD!H509:AR509,1)*'ButsMPG + Var'!$K$3,IF(C506="M",COUNTIF(BDD!H509:AR509,10)*'ButsMPG + Var'!$K$22+COUNTIF(BDD!H509:AR509,9)*'ButsMPG + Var'!$K$21+COUNTIF(BDD!H509:AR509,8)*'ButsMPG + Var'!$K$20+COUNTIF(BDD!H509:AR509,7)*'ButsMPG + Var'!$K$19+COUNTIF(BDD!H509:AR509,6)*'ButsMPG + Var'!$K$18+COUNTIF(BDD!H509:AR509,5)*'ButsMPG + Var'!$K$17+COUNTIF(BDD!H509:AR509,4)*'ButsMPG + Var'!$K$16+COUNTIF(BDD!H509:AR509,3)*'ButsMPG + Var'!$K$15+COUNTIF(BDD!H509:AR509,2)*'ButsMPG + Var'!$K$14+COUNTIF(BDD!H509:AR509,1)*'ButsMPG + Var'!$K$13,IF(C506="D",COUNTIF(BDD!H509:AR509,10)*'ButsMPG + Var'!$K$32+COUNTIF(BDD!H509:AR509,9)*'ButsMPG + Var'!$K$31+COUNTIF(BDD!H509:AR509,8)*'ButsMPG + Var'!$K$30+COUNTIF(BDD!H509:AR509,7)*'ButsMPG + Var'!$K$29+COUNTIF(BDD!H509:AR509,6)*'ButsMPG + Var'!$K$28+COUNTIF(BDD!H509:AR509,5)*'ButsMPG + Var'!$K$27+COUNTIF(BDD!H509:AR509,4)*'ButsMPG + Var'!$K$26+COUNTIF(BDD!H509:AR509,3)*'ButsMPG + Var'!$K$25+COUNTIF(BDD!H509:AR509,2)*'ButsMPG + Var'!$K$24+COUNTIF(BDD!H509:AR509,1)*'ButsMPG + Var'!$K$23,0)))</f>
        <v>0</v>
      </c>
      <c r="H506" s="25">
        <f t="shared" si="8"/>
        <v>0</v>
      </c>
      <c r="I506" s="25">
        <f>BDD!G509</f>
        <v>0</v>
      </c>
      <c r="J506" s="25">
        <f>SUMPRODUCT(BDD!H509:AS509,'ButsMPG + Var'!$B$46:$AM$46)</f>
        <v>0</v>
      </c>
      <c r="K506" s="25" t="e">
        <f>10*('ButsMPG + Var'!$H$37*J506/MAX(J:J)+'ButsMPG + Var'!$G$37*H506/MAX(H:H))</f>
        <v>#DIV/0!</v>
      </c>
      <c r="L506" s="1">
        <f>IF(ISNA(VLOOKUP(B506,PrixMini!$B$3:$E$573,4,FALSE)),1,VLOOKUP(B506,PrixMini!$B$3:$E$573,4,FALSE))</f>
        <v>1</v>
      </c>
      <c r="M506" s="25" t="e">
        <f>IF(ROUND(CalculCotation!$D$3*EXP(CalculCotation!$C$3*K506)-CalculCotation!$D$3+1,0)&gt;L506,ROUND(CalculCotation!$D$3*EXP(CalculCotation!$C$3*K506)-CalculCotation!$D$3+1,0),L506)</f>
        <v>#DIV/0!</v>
      </c>
    </row>
    <row r="507" spans="2:13" x14ac:dyDescent="0.3">
      <c r="B507" s="1">
        <f>BDD!C510</f>
        <v>0</v>
      </c>
      <c r="C507" s="1">
        <f>BDD!B510</f>
        <v>0</v>
      </c>
      <c r="D507" s="1">
        <f>BDD!A510</f>
        <v>0</v>
      </c>
      <c r="E507" s="1">
        <f>BDD!D510</f>
        <v>0</v>
      </c>
      <c r="F507" s="1">
        <f>BDD!F510</f>
        <v>0</v>
      </c>
      <c r="G507" s="25">
        <f>'ButsMPG + Var'!$I$39*IF(C507="A",COUNTIF(BDD!H510:AR510,10)*'ButsMPG + Var'!$K$12+COUNTIF(BDD!H510:AR510,9)*'ButsMPG + Var'!$K$11+COUNTIF(BDD!H510:AR510,8)*'ButsMPG + Var'!$K$10+COUNTIF(BDD!H510:AR510,7)*'ButsMPG + Var'!$K$9+COUNTIF(BDD!H510:AR510,6)*'ButsMPG + Var'!$K$8+COUNTIF(BDD!H510:AR510,5)*'ButsMPG + Var'!$K$7+COUNTIF(BDD!H510:AR510,4)*'ButsMPG + Var'!$K$6+COUNTIF(BDD!H510:AR510,3)*'ButsMPG + Var'!$K$5+COUNTIF(BDD!H510:AR510,2)*'ButsMPG + Var'!$K$4+COUNTIF(BDD!H510:AR510,1)*'ButsMPG + Var'!$K$3,IF(C507="M",COUNTIF(BDD!H510:AR510,10)*'ButsMPG + Var'!$K$22+COUNTIF(BDD!H510:AR510,9)*'ButsMPG + Var'!$K$21+COUNTIF(BDD!H510:AR510,8)*'ButsMPG + Var'!$K$20+COUNTIF(BDD!H510:AR510,7)*'ButsMPG + Var'!$K$19+COUNTIF(BDD!H510:AR510,6)*'ButsMPG + Var'!$K$18+COUNTIF(BDD!H510:AR510,5)*'ButsMPG + Var'!$K$17+COUNTIF(BDD!H510:AR510,4)*'ButsMPG + Var'!$K$16+COUNTIF(BDD!H510:AR510,3)*'ButsMPG + Var'!$K$15+COUNTIF(BDD!H510:AR510,2)*'ButsMPG + Var'!$K$14+COUNTIF(BDD!H510:AR510,1)*'ButsMPG + Var'!$K$13,IF(C507="D",COUNTIF(BDD!H510:AR510,10)*'ButsMPG + Var'!$K$32+COUNTIF(BDD!H510:AR510,9)*'ButsMPG + Var'!$K$31+COUNTIF(BDD!H510:AR510,8)*'ButsMPG + Var'!$K$30+COUNTIF(BDD!H510:AR510,7)*'ButsMPG + Var'!$K$29+COUNTIF(BDD!H510:AR510,6)*'ButsMPG + Var'!$K$28+COUNTIF(BDD!H510:AR510,5)*'ButsMPG + Var'!$K$27+COUNTIF(BDD!H510:AR510,4)*'ButsMPG + Var'!$K$26+COUNTIF(BDD!H510:AR510,3)*'ButsMPG + Var'!$K$25+COUNTIF(BDD!H510:AR510,2)*'ButsMPG + Var'!$K$24+COUNTIF(BDD!H510:AR510,1)*'ButsMPG + Var'!$K$23,0)))</f>
        <v>0</v>
      </c>
      <c r="H507" s="25">
        <f t="shared" si="8"/>
        <v>0</v>
      </c>
      <c r="I507" s="25">
        <f>BDD!G510</f>
        <v>0</v>
      </c>
      <c r="J507" s="25">
        <f>SUMPRODUCT(BDD!H510:AS510,'ButsMPG + Var'!$B$46:$AM$46)</f>
        <v>0</v>
      </c>
      <c r="K507" s="25" t="e">
        <f>10*('ButsMPG + Var'!$H$37*J507/MAX(J:J)+'ButsMPG + Var'!$G$37*H507/MAX(H:H))</f>
        <v>#DIV/0!</v>
      </c>
      <c r="L507" s="1">
        <f>IF(ISNA(VLOOKUP(B507,PrixMini!$B$3:$E$573,4,FALSE)),1,VLOOKUP(B507,PrixMini!$B$3:$E$573,4,FALSE))</f>
        <v>1</v>
      </c>
      <c r="M507" s="25" t="e">
        <f>IF(ROUND(CalculCotation!$D$3*EXP(CalculCotation!$C$3*K507)-CalculCotation!$D$3+1,0)&gt;L507,ROUND(CalculCotation!$D$3*EXP(CalculCotation!$C$3*K507)-CalculCotation!$D$3+1,0),L507)</f>
        <v>#DIV/0!</v>
      </c>
    </row>
    <row r="508" spans="2:13" x14ac:dyDescent="0.3">
      <c r="B508" s="1">
        <f>BDD!C511</f>
        <v>0</v>
      </c>
      <c r="C508" s="1">
        <f>BDD!B511</f>
        <v>0</v>
      </c>
      <c r="D508" s="1">
        <f>BDD!A511</f>
        <v>0</v>
      </c>
      <c r="E508" s="1">
        <f>BDD!D511</f>
        <v>0</v>
      </c>
      <c r="F508" s="1">
        <f>BDD!F511</f>
        <v>0</v>
      </c>
      <c r="G508" s="25">
        <f>'ButsMPG + Var'!$I$39*IF(C508="A",COUNTIF(BDD!H511:AR511,10)*'ButsMPG + Var'!$K$12+COUNTIF(BDD!H511:AR511,9)*'ButsMPG + Var'!$K$11+COUNTIF(BDD!H511:AR511,8)*'ButsMPG + Var'!$K$10+COUNTIF(BDD!H511:AR511,7)*'ButsMPG + Var'!$K$9+COUNTIF(BDD!H511:AR511,6)*'ButsMPG + Var'!$K$8+COUNTIF(BDD!H511:AR511,5)*'ButsMPG + Var'!$K$7+COUNTIF(BDD!H511:AR511,4)*'ButsMPG + Var'!$K$6+COUNTIF(BDD!H511:AR511,3)*'ButsMPG + Var'!$K$5+COUNTIF(BDD!H511:AR511,2)*'ButsMPG + Var'!$K$4+COUNTIF(BDD!H511:AR511,1)*'ButsMPG + Var'!$K$3,IF(C508="M",COUNTIF(BDD!H511:AR511,10)*'ButsMPG + Var'!$K$22+COUNTIF(BDD!H511:AR511,9)*'ButsMPG + Var'!$K$21+COUNTIF(BDD!H511:AR511,8)*'ButsMPG + Var'!$K$20+COUNTIF(BDD!H511:AR511,7)*'ButsMPG + Var'!$K$19+COUNTIF(BDD!H511:AR511,6)*'ButsMPG + Var'!$K$18+COUNTIF(BDD!H511:AR511,5)*'ButsMPG + Var'!$K$17+COUNTIF(BDD!H511:AR511,4)*'ButsMPG + Var'!$K$16+COUNTIF(BDD!H511:AR511,3)*'ButsMPG + Var'!$K$15+COUNTIF(BDD!H511:AR511,2)*'ButsMPG + Var'!$K$14+COUNTIF(BDD!H511:AR511,1)*'ButsMPG + Var'!$K$13,IF(C508="D",COUNTIF(BDD!H511:AR511,10)*'ButsMPG + Var'!$K$32+COUNTIF(BDD!H511:AR511,9)*'ButsMPG + Var'!$K$31+COUNTIF(BDD!H511:AR511,8)*'ButsMPG + Var'!$K$30+COUNTIF(BDD!H511:AR511,7)*'ButsMPG + Var'!$K$29+COUNTIF(BDD!H511:AR511,6)*'ButsMPG + Var'!$K$28+COUNTIF(BDD!H511:AR511,5)*'ButsMPG + Var'!$K$27+COUNTIF(BDD!H511:AR511,4)*'ButsMPG + Var'!$K$26+COUNTIF(BDD!H511:AR511,3)*'ButsMPG + Var'!$K$25+COUNTIF(BDD!H511:AR511,2)*'ButsMPG + Var'!$K$24+COUNTIF(BDD!H511:AR511,1)*'ButsMPG + Var'!$K$23,0)))</f>
        <v>0</v>
      </c>
      <c r="H508" s="25">
        <f t="shared" si="8"/>
        <v>0</v>
      </c>
      <c r="I508" s="25">
        <f>BDD!G511</f>
        <v>0</v>
      </c>
      <c r="J508" s="25">
        <f>SUMPRODUCT(BDD!H511:AS511,'ButsMPG + Var'!$B$46:$AM$46)</f>
        <v>0</v>
      </c>
      <c r="K508" s="25" t="e">
        <f>10*('ButsMPG + Var'!$H$37*J508/MAX(J:J)+'ButsMPG + Var'!$G$37*H508/MAX(H:H))</f>
        <v>#DIV/0!</v>
      </c>
      <c r="L508" s="1">
        <f>IF(ISNA(VLOOKUP(B508,PrixMini!$B$3:$E$573,4,FALSE)),1,VLOOKUP(B508,PrixMini!$B$3:$E$573,4,FALSE))</f>
        <v>1</v>
      </c>
      <c r="M508" s="25" t="e">
        <f>IF(ROUND(CalculCotation!$D$3*EXP(CalculCotation!$C$3*K508)-CalculCotation!$D$3+1,0)&gt;L508,ROUND(CalculCotation!$D$3*EXP(CalculCotation!$C$3*K508)-CalculCotation!$D$3+1,0),L508)</f>
        <v>#DIV/0!</v>
      </c>
    </row>
    <row r="509" spans="2:13" x14ac:dyDescent="0.3">
      <c r="B509" s="1">
        <f>BDD!C512</f>
        <v>0</v>
      </c>
      <c r="C509" s="1">
        <f>BDD!B512</f>
        <v>0</v>
      </c>
      <c r="D509" s="1">
        <f>BDD!A512</f>
        <v>0</v>
      </c>
      <c r="E509" s="1">
        <f>BDD!D512</f>
        <v>0</v>
      </c>
      <c r="F509" s="1">
        <f>BDD!F512</f>
        <v>0</v>
      </c>
      <c r="G509" s="25">
        <f>'ButsMPG + Var'!$I$39*IF(C509="A",COUNTIF(BDD!H512:AR512,10)*'ButsMPG + Var'!$K$12+COUNTIF(BDD!H512:AR512,9)*'ButsMPG + Var'!$K$11+COUNTIF(BDD!H512:AR512,8)*'ButsMPG + Var'!$K$10+COUNTIF(BDD!H512:AR512,7)*'ButsMPG + Var'!$K$9+COUNTIF(BDD!H512:AR512,6)*'ButsMPG + Var'!$K$8+COUNTIF(BDD!H512:AR512,5)*'ButsMPG + Var'!$K$7+COUNTIF(BDD!H512:AR512,4)*'ButsMPG + Var'!$K$6+COUNTIF(BDD!H512:AR512,3)*'ButsMPG + Var'!$K$5+COUNTIF(BDD!H512:AR512,2)*'ButsMPG + Var'!$K$4+COUNTIF(BDD!H512:AR512,1)*'ButsMPG + Var'!$K$3,IF(C509="M",COUNTIF(BDD!H512:AR512,10)*'ButsMPG + Var'!$K$22+COUNTIF(BDD!H512:AR512,9)*'ButsMPG + Var'!$K$21+COUNTIF(BDD!H512:AR512,8)*'ButsMPG + Var'!$K$20+COUNTIF(BDD!H512:AR512,7)*'ButsMPG + Var'!$K$19+COUNTIF(BDD!H512:AR512,6)*'ButsMPG + Var'!$K$18+COUNTIF(BDD!H512:AR512,5)*'ButsMPG + Var'!$K$17+COUNTIF(BDD!H512:AR512,4)*'ButsMPG + Var'!$K$16+COUNTIF(BDD!H512:AR512,3)*'ButsMPG + Var'!$K$15+COUNTIF(BDD!H512:AR512,2)*'ButsMPG + Var'!$K$14+COUNTIF(BDD!H512:AR512,1)*'ButsMPG + Var'!$K$13,IF(C509="D",COUNTIF(BDD!H512:AR512,10)*'ButsMPG + Var'!$K$32+COUNTIF(BDD!H512:AR512,9)*'ButsMPG + Var'!$K$31+COUNTIF(BDD!H512:AR512,8)*'ButsMPG + Var'!$K$30+COUNTIF(BDD!H512:AR512,7)*'ButsMPG + Var'!$K$29+COUNTIF(BDD!H512:AR512,6)*'ButsMPG + Var'!$K$28+COUNTIF(BDD!H512:AR512,5)*'ButsMPG + Var'!$K$27+COUNTIF(BDD!H512:AR512,4)*'ButsMPG + Var'!$K$26+COUNTIF(BDD!H512:AR512,3)*'ButsMPG + Var'!$K$25+COUNTIF(BDD!H512:AR512,2)*'ButsMPG + Var'!$K$24+COUNTIF(BDD!H512:AR512,1)*'ButsMPG + Var'!$K$23,0)))</f>
        <v>0</v>
      </c>
      <c r="H509" s="25">
        <f t="shared" si="8"/>
        <v>0</v>
      </c>
      <c r="I509" s="25">
        <f>BDD!G512</f>
        <v>0</v>
      </c>
      <c r="J509" s="25">
        <f>SUMPRODUCT(BDD!H512:AS512,'ButsMPG + Var'!$B$46:$AM$46)</f>
        <v>0</v>
      </c>
      <c r="K509" s="25" t="e">
        <f>10*('ButsMPG + Var'!$H$37*J509/MAX(J:J)+'ButsMPG + Var'!$G$37*H509/MAX(H:H))</f>
        <v>#DIV/0!</v>
      </c>
      <c r="L509" s="1">
        <f>IF(ISNA(VLOOKUP(B509,PrixMini!$B$3:$E$573,4,FALSE)),1,VLOOKUP(B509,PrixMini!$B$3:$E$573,4,FALSE))</f>
        <v>1</v>
      </c>
      <c r="M509" s="25" t="e">
        <f>IF(ROUND(CalculCotation!$D$3*EXP(CalculCotation!$C$3*K509)-CalculCotation!$D$3+1,0)&gt;L509,ROUND(CalculCotation!$D$3*EXP(CalculCotation!$C$3*K509)-CalculCotation!$D$3+1,0),L509)</f>
        <v>#DIV/0!</v>
      </c>
    </row>
    <row r="510" spans="2:13" x14ac:dyDescent="0.3">
      <c r="B510" s="1">
        <f>BDD!C513</f>
        <v>0</v>
      </c>
      <c r="C510" s="1">
        <f>BDD!B513</f>
        <v>0</v>
      </c>
      <c r="D510" s="1">
        <f>BDD!A513</f>
        <v>0</v>
      </c>
      <c r="E510" s="1">
        <f>BDD!D513</f>
        <v>0</v>
      </c>
      <c r="F510" s="1">
        <f>BDD!F513</f>
        <v>0</v>
      </c>
      <c r="G510" s="25">
        <f>'ButsMPG + Var'!$I$39*IF(C510="A",COUNTIF(BDD!H513:AR513,10)*'ButsMPG + Var'!$K$12+COUNTIF(BDD!H513:AR513,9)*'ButsMPG + Var'!$K$11+COUNTIF(BDD!H513:AR513,8)*'ButsMPG + Var'!$K$10+COUNTIF(BDD!H513:AR513,7)*'ButsMPG + Var'!$K$9+COUNTIF(BDD!H513:AR513,6)*'ButsMPG + Var'!$K$8+COUNTIF(BDD!H513:AR513,5)*'ButsMPG + Var'!$K$7+COUNTIF(BDD!H513:AR513,4)*'ButsMPG + Var'!$K$6+COUNTIF(BDD!H513:AR513,3)*'ButsMPG + Var'!$K$5+COUNTIF(BDD!H513:AR513,2)*'ButsMPG + Var'!$K$4+COUNTIF(BDD!H513:AR513,1)*'ButsMPG + Var'!$K$3,IF(C510="M",COUNTIF(BDD!H513:AR513,10)*'ButsMPG + Var'!$K$22+COUNTIF(BDD!H513:AR513,9)*'ButsMPG + Var'!$K$21+COUNTIF(BDD!H513:AR513,8)*'ButsMPG + Var'!$K$20+COUNTIF(BDD!H513:AR513,7)*'ButsMPG + Var'!$K$19+COUNTIF(BDD!H513:AR513,6)*'ButsMPG + Var'!$K$18+COUNTIF(BDD!H513:AR513,5)*'ButsMPG + Var'!$K$17+COUNTIF(BDD!H513:AR513,4)*'ButsMPG + Var'!$K$16+COUNTIF(BDD!H513:AR513,3)*'ButsMPG + Var'!$K$15+COUNTIF(BDD!H513:AR513,2)*'ButsMPG + Var'!$K$14+COUNTIF(BDD!H513:AR513,1)*'ButsMPG + Var'!$K$13,IF(C510="D",COUNTIF(BDD!H513:AR513,10)*'ButsMPG + Var'!$K$32+COUNTIF(BDD!H513:AR513,9)*'ButsMPG + Var'!$K$31+COUNTIF(BDD!H513:AR513,8)*'ButsMPG + Var'!$K$30+COUNTIF(BDD!H513:AR513,7)*'ButsMPG + Var'!$K$29+COUNTIF(BDD!H513:AR513,6)*'ButsMPG + Var'!$K$28+COUNTIF(BDD!H513:AR513,5)*'ButsMPG + Var'!$K$27+COUNTIF(BDD!H513:AR513,4)*'ButsMPG + Var'!$K$26+COUNTIF(BDD!H513:AR513,3)*'ButsMPG + Var'!$K$25+COUNTIF(BDD!H513:AR513,2)*'ButsMPG + Var'!$K$24+COUNTIF(BDD!H513:AR513,1)*'ButsMPG + Var'!$K$23,0)))</f>
        <v>0</v>
      </c>
      <c r="H510" s="25">
        <f t="shared" si="8"/>
        <v>0</v>
      </c>
      <c r="I510" s="25">
        <f>BDD!G513</f>
        <v>0</v>
      </c>
      <c r="J510" s="25">
        <f>SUMPRODUCT(BDD!H513:AS513,'ButsMPG + Var'!$B$46:$AM$46)</f>
        <v>0</v>
      </c>
      <c r="K510" s="25" t="e">
        <f>10*('ButsMPG + Var'!$H$37*J510/MAX(J:J)+'ButsMPG + Var'!$G$37*H510/MAX(H:H))</f>
        <v>#DIV/0!</v>
      </c>
      <c r="L510" s="1">
        <f>IF(ISNA(VLOOKUP(B510,PrixMini!$B$3:$E$573,4,FALSE)),1,VLOOKUP(B510,PrixMini!$B$3:$E$573,4,FALSE))</f>
        <v>1</v>
      </c>
      <c r="M510" s="25" t="e">
        <f>IF(ROUND(CalculCotation!$D$3*EXP(CalculCotation!$C$3*K510)-CalculCotation!$D$3+1,0)&gt;L510,ROUND(CalculCotation!$D$3*EXP(CalculCotation!$C$3*K510)-CalculCotation!$D$3+1,0),L510)</f>
        <v>#DIV/0!</v>
      </c>
    </row>
    <row r="511" spans="2:13" x14ac:dyDescent="0.3">
      <c r="B511" s="1">
        <f>BDD!C514</f>
        <v>0</v>
      </c>
      <c r="C511" s="1">
        <f>BDD!B514</f>
        <v>0</v>
      </c>
      <c r="D511" s="1">
        <f>BDD!A514</f>
        <v>0</v>
      </c>
      <c r="E511" s="1">
        <f>BDD!D514</f>
        <v>0</v>
      </c>
      <c r="F511" s="1">
        <f>BDD!F514</f>
        <v>0</v>
      </c>
      <c r="G511" s="25">
        <f>'ButsMPG + Var'!$I$39*IF(C511="A",COUNTIF(BDD!H514:AR514,10)*'ButsMPG + Var'!$K$12+COUNTIF(BDD!H514:AR514,9)*'ButsMPG + Var'!$K$11+COUNTIF(BDD!H514:AR514,8)*'ButsMPG + Var'!$K$10+COUNTIF(BDD!H514:AR514,7)*'ButsMPG + Var'!$K$9+COUNTIF(BDD!H514:AR514,6)*'ButsMPG + Var'!$K$8+COUNTIF(BDD!H514:AR514,5)*'ButsMPG + Var'!$K$7+COUNTIF(BDD!H514:AR514,4)*'ButsMPG + Var'!$K$6+COUNTIF(BDD!H514:AR514,3)*'ButsMPG + Var'!$K$5+COUNTIF(BDD!H514:AR514,2)*'ButsMPG + Var'!$K$4+COUNTIF(BDD!H514:AR514,1)*'ButsMPG + Var'!$K$3,IF(C511="M",COUNTIF(BDD!H514:AR514,10)*'ButsMPG + Var'!$K$22+COUNTIF(BDD!H514:AR514,9)*'ButsMPG + Var'!$K$21+COUNTIF(BDD!H514:AR514,8)*'ButsMPG + Var'!$K$20+COUNTIF(BDD!H514:AR514,7)*'ButsMPG + Var'!$K$19+COUNTIF(BDD!H514:AR514,6)*'ButsMPG + Var'!$K$18+COUNTIF(BDD!H514:AR514,5)*'ButsMPG + Var'!$K$17+COUNTIF(BDD!H514:AR514,4)*'ButsMPG + Var'!$K$16+COUNTIF(BDD!H514:AR514,3)*'ButsMPG + Var'!$K$15+COUNTIF(BDD!H514:AR514,2)*'ButsMPG + Var'!$K$14+COUNTIF(BDD!H514:AR514,1)*'ButsMPG + Var'!$K$13,IF(C511="D",COUNTIF(BDD!H514:AR514,10)*'ButsMPG + Var'!$K$32+COUNTIF(BDD!H514:AR514,9)*'ButsMPG + Var'!$K$31+COUNTIF(BDD!H514:AR514,8)*'ButsMPG + Var'!$K$30+COUNTIF(BDD!H514:AR514,7)*'ButsMPG + Var'!$K$29+COUNTIF(BDD!H514:AR514,6)*'ButsMPG + Var'!$K$28+COUNTIF(BDD!H514:AR514,5)*'ButsMPG + Var'!$K$27+COUNTIF(BDD!H514:AR514,4)*'ButsMPG + Var'!$K$26+COUNTIF(BDD!H514:AR514,3)*'ButsMPG + Var'!$K$25+COUNTIF(BDD!H514:AR514,2)*'ButsMPG + Var'!$K$24+COUNTIF(BDD!H514:AR514,1)*'ButsMPG + Var'!$K$23,0)))</f>
        <v>0</v>
      </c>
      <c r="H511" s="25">
        <f t="shared" si="8"/>
        <v>0</v>
      </c>
      <c r="I511" s="25">
        <f>BDD!G514</f>
        <v>0</v>
      </c>
      <c r="J511" s="25">
        <f>SUMPRODUCT(BDD!H514:AS514,'ButsMPG + Var'!$B$46:$AM$46)</f>
        <v>0</v>
      </c>
      <c r="K511" s="25" t="e">
        <f>10*('ButsMPG + Var'!$H$37*J511/MAX(J:J)+'ButsMPG + Var'!$G$37*H511/MAX(H:H))</f>
        <v>#DIV/0!</v>
      </c>
      <c r="L511" s="1">
        <f>IF(ISNA(VLOOKUP(B511,PrixMini!$B$3:$E$573,4,FALSE)),1,VLOOKUP(B511,PrixMini!$B$3:$E$573,4,FALSE))</f>
        <v>1</v>
      </c>
      <c r="M511" s="25" t="e">
        <f>IF(ROUND(CalculCotation!$D$3*EXP(CalculCotation!$C$3*K511)-CalculCotation!$D$3+1,0)&gt;L511,ROUND(CalculCotation!$D$3*EXP(CalculCotation!$C$3*K511)-CalculCotation!$D$3+1,0),L511)</f>
        <v>#DIV/0!</v>
      </c>
    </row>
    <row r="512" spans="2:13" x14ac:dyDescent="0.3">
      <c r="B512" s="1">
        <f>BDD!C515</f>
        <v>0</v>
      </c>
      <c r="C512" s="1">
        <f>BDD!B515</f>
        <v>0</v>
      </c>
      <c r="D512" s="1">
        <f>BDD!A515</f>
        <v>0</v>
      </c>
      <c r="E512" s="1">
        <f>BDD!D515</f>
        <v>0</v>
      </c>
      <c r="F512" s="1">
        <f>BDD!F515</f>
        <v>0</v>
      </c>
      <c r="G512" s="25">
        <f>'ButsMPG + Var'!$I$39*IF(C512="A",COUNTIF(BDD!H515:AR515,10)*'ButsMPG + Var'!$K$12+COUNTIF(BDD!H515:AR515,9)*'ButsMPG + Var'!$K$11+COUNTIF(BDD!H515:AR515,8)*'ButsMPG + Var'!$K$10+COUNTIF(BDD!H515:AR515,7)*'ButsMPG + Var'!$K$9+COUNTIF(BDD!H515:AR515,6)*'ButsMPG + Var'!$K$8+COUNTIF(BDD!H515:AR515,5)*'ButsMPG + Var'!$K$7+COUNTIF(BDD!H515:AR515,4)*'ButsMPG + Var'!$K$6+COUNTIF(BDD!H515:AR515,3)*'ButsMPG + Var'!$K$5+COUNTIF(BDD!H515:AR515,2)*'ButsMPG + Var'!$K$4+COUNTIF(BDD!H515:AR515,1)*'ButsMPG + Var'!$K$3,IF(C512="M",COUNTIF(BDD!H515:AR515,10)*'ButsMPG + Var'!$K$22+COUNTIF(BDD!H515:AR515,9)*'ButsMPG + Var'!$K$21+COUNTIF(BDD!H515:AR515,8)*'ButsMPG + Var'!$K$20+COUNTIF(BDD!H515:AR515,7)*'ButsMPG + Var'!$K$19+COUNTIF(BDD!H515:AR515,6)*'ButsMPG + Var'!$K$18+COUNTIF(BDD!H515:AR515,5)*'ButsMPG + Var'!$K$17+COUNTIF(BDD!H515:AR515,4)*'ButsMPG + Var'!$K$16+COUNTIF(BDD!H515:AR515,3)*'ButsMPG + Var'!$K$15+COUNTIF(BDD!H515:AR515,2)*'ButsMPG + Var'!$K$14+COUNTIF(BDD!H515:AR515,1)*'ButsMPG + Var'!$K$13,IF(C512="D",COUNTIF(BDD!H515:AR515,10)*'ButsMPG + Var'!$K$32+COUNTIF(BDD!H515:AR515,9)*'ButsMPG + Var'!$K$31+COUNTIF(BDD!H515:AR515,8)*'ButsMPG + Var'!$K$30+COUNTIF(BDD!H515:AR515,7)*'ButsMPG + Var'!$K$29+COUNTIF(BDD!H515:AR515,6)*'ButsMPG + Var'!$K$28+COUNTIF(BDD!H515:AR515,5)*'ButsMPG + Var'!$K$27+COUNTIF(BDD!H515:AR515,4)*'ButsMPG + Var'!$K$26+COUNTIF(BDD!H515:AR515,3)*'ButsMPG + Var'!$K$25+COUNTIF(BDD!H515:AR515,2)*'ButsMPG + Var'!$K$24+COUNTIF(BDD!H515:AR515,1)*'ButsMPG + Var'!$K$23,0)))</f>
        <v>0</v>
      </c>
      <c r="H512" s="25">
        <f t="shared" si="8"/>
        <v>0</v>
      </c>
      <c r="I512" s="25">
        <f>BDD!G515</f>
        <v>0</v>
      </c>
      <c r="J512" s="25">
        <f>SUMPRODUCT(BDD!H515:AS515,'ButsMPG + Var'!$B$46:$AM$46)</f>
        <v>0</v>
      </c>
      <c r="K512" s="25" t="e">
        <f>10*('ButsMPG + Var'!$H$37*J512/MAX(J:J)+'ButsMPG + Var'!$G$37*H512/MAX(H:H))</f>
        <v>#DIV/0!</v>
      </c>
      <c r="L512" s="1">
        <f>IF(ISNA(VLOOKUP(B512,PrixMini!$B$3:$E$573,4,FALSE)),1,VLOOKUP(B512,PrixMini!$B$3:$E$573,4,FALSE))</f>
        <v>1</v>
      </c>
      <c r="M512" s="25" t="e">
        <f>IF(ROUND(CalculCotation!$D$3*EXP(CalculCotation!$C$3*K512)-CalculCotation!$D$3+1,0)&gt;L512,ROUND(CalculCotation!$D$3*EXP(CalculCotation!$C$3*K512)-CalculCotation!$D$3+1,0),L512)</f>
        <v>#DIV/0!</v>
      </c>
    </row>
    <row r="513" spans="2:13" x14ac:dyDescent="0.3">
      <c r="B513" s="1">
        <f>BDD!C516</f>
        <v>0</v>
      </c>
      <c r="C513" s="1">
        <f>BDD!B516</f>
        <v>0</v>
      </c>
      <c r="D513" s="1">
        <f>BDD!A516</f>
        <v>0</v>
      </c>
      <c r="E513" s="1">
        <f>BDD!D516</f>
        <v>0</v>
      </c>
      <c r="F513" s="1">
        <f>BDD!F516</f>
        <v>0</v>
      </c>
      <c r="G513" s="25">
        <f>'ButsMPG + Var'!$I$39*IF(C513="A",COUNTIF(BDD!H516:AR516,10)*'ButsMPG + Var'!$K$12+COUNTIF(BDD!H516:AR516,9)*'ButsMPG + Var'!$K$11+COUNTIF(BDD!H516:AR516,8)*'ButsMPG + Var'!$K$10+COUNTIF(BDD!H516:AR516,7)*'ButsMPG + Var'!$K$9+COUNTIF(BDD!H516:AR516,6)*'ButsMPG + Var'!$K$8+COUNTIF(BDD!H516:AR516,5)*'ButsMPG + Var'!$K$7+COUNTIF(BDD!H516:AR516,4)*'ButsMPG + Var'!$K$6+COUNTIF(BDD!H516:AR516,3)*'ButsMPG + Var'!$K$5+COUNTIF(BDD!H516:AR516,2)*'ButsMPG + Var'!$K$4+COUNTIF(BDD!H516:AR516,1)*'ButsMPG + Var'!$K$3,IF(C513="M",COUNTIF(BDD!H516:AR516,10)*'ButsMPG + Var'!$K$22+COUNTIF(BDD!H516:AR516,9)*'ButsMPG + Var'!$K$21+COUNTIF(BDD!H516:AR516,8)*'ButsMPG + Var'!$K$20+COUNTIF(BDD!H516:AR516,7)*'ButsMPG + Var'!$K$19+COUNTIF(BDD!H516:AR516,6)*'ButsMPG + Var'!$K$18+COUNTIF(BDD!H516:AR516,5)*'ButsMPG + Var'!$K$17+COUNTIF(BDD!H516:AR516,4)*'ButsMPG + Var'!$K$16+COUNTIF(BDD!H516:AR516,3)*'ButsMPG + Var'!$K$15+COUNTIF(BDD!H516:AR516,2)*'ButsMPG + Var'!$K$14+COUNTIF(BDD!H516:AR516,1)*'ButsMPG + Var'!$K$13,IF(C513="D",COUNTIF(BDD!H516:AR516,10)*'ButsMPG + Var'!$K$32+COUNTIF(BDD!H516:AR516,9)*'ButsMPG + Var'!$K$31+COUNTIF(BDD!H516:AR516,8)*'ButsMPG + Var'!$K$30+COUNTIF(BDD!H516:AR516,7)*'ButsMPG + Var'!$K$29+COUNTIF(BDD!H516:AR516,6)*'ButsMPG + Var'!$K$28+COUNTIF(BDD!H516:AR516,5)*'ButsMPG + Var'!$K$27+COUNTIF(BDD!H516:AR516,4)*'ButsMPG + Var'!$K$26+COUNTIF(BDD!H516:AR516,3)*'ButsMPG + Var'!$K$25+COUNTIF(BDD!H516:AR516,2)*'ButsMPG + Var'!$K$24+COUNTIF(BDD!H516:AR516,1)*'ButsMPG + Var'!$K$23,0)))</f>
        <v>0</v>
      </c>
      <c r="H513" s="25">
        <f t="shared" si="8"/>
        <v>0</v>
      </c>
      <c r="I513" s="25">
        <f>BDD!G516</f>
        <v>0</v>
      </c>
      <c r="J513" s="25">
        <f>SUMPRODUCT(BDD!H516:AS516,'ButsMPG + Var'!$B$46:$AM$46)</f>
        <v>0</v>
      </c>
      <c r="K513" s="25" t="e">
        <f>10*('ButsMPG + Var'!$H$37*J513/MAX(J:J)+'ButsMPG + Var'!$G$37*H513/MAX(H:H))</f>
        <v>#DIV/0!</v>
      </c>
      <c r="L513" s="1">
        <f>IF(ISNA(VLOOKUP(B513,PrixMini!$B$3:$E$573,4,FALSE)),1,VLOOKUP(B513,PrixMini!$B$3:$E$573,4,FALSE))</f>
        <v>1</v>
      </c>
      <c r="M513" s="25" t="e">
        <f>IF(ROUND(CalculCotation!$D$3*EXP(CalculCotation!$C$3*K513)-CalculCotation!$D$3+1,0)&gt;L513,ROUND(CalculCotation!$D$3*EXP(CalculCotation!$C$3*K513)-CalculCotation!$D$3+1,0),L513)</f>
        <v>#DIV/0!</v>
      </c>
    </row>
    <row r="514" spans="2:13" x14ac:dyDescent="0.3">
      <c r="B514" s="1">
        <f>BDD!C517</f>
        <v>0</v>
      </c>
      <c r="C514" s="1">
        <f>BDD!B517</f>
        <v>0</v>
      </c>
      <c r="D514" s="1">
        <f>BDD!A517</f>
        <v>0</v>
      </c>
      <c r="E514" s="1">
        <f>BDD!D517</f>
        <v>0</v>
      </c>
      <c r="F514" s="1">
        <f>BDD!F517</f>
        <v>0</v>
      </c>
      <c r="G514" s="25">
        <f>'ButsMPG + Var'!$I$39*IF(C514="A",COUNTIF(BDD!H517:AR517,10)*'ButsMPG + Var'!$K$12+COUNTIF(BDD!H517:AR517,9)*'ButsMPG + Var'!$K$11+COUNTIF(BDD!H517:AR517,8)*'ButsMPG + Var'!$K$10+COUNTIF(BDD!H517:AR517,7)*'ButsMPG + Var'!$K$9+COUNTIF(BDD!H517:AR517,6)*'ButsMPG + Var'!$K$8+COUNTIF(BDD!H517:AR517,5)*'ButsMPG + Var'!$K$7+COUNTIF(BDD!H517:AR517,4)*'ButsMPG + Var'!$K$6+COUNTIF(BDD!H517:AR517,3)*'ButsMPG + Var'!$K$5+COUNTIF(BDD!H517:AR517,2)*'ButsMPG + Var'!$K$4+COUNTIF(BDD!H517:AR517,1)*'ButsMPG + Var'!$K$3,IF(C514="M",COUNTIF(BDD!H517:AR517,10)*'ButsMPG + Var'!$K$22+COUNTIF(BDD!H517:AR517,9)*'ButsMPG + Var'!$K$21+COUNTIF(BDD!H517:AR517,8)*'ButsMPG + Var'!$K$20+COUNTIF(BDD!H517:AR517,7)*'ButsMPG + Var'!$K$19+COUNTIF(BDD!H517:AR517,6)*'ButsMPG + Var'!$K$18+COUNTIF(BDD!H517:AR517,5)*'ButsMPG + Var'!$K$17+COUNTIF(BDD!H517:AR517,4)*'ButsMPG + Var'!$K$16+COUNTIF(BDD!H517:AR517,3)*'ButsMPG + Var'!$K$15+COUNTIF(BDD!H517:AR517,2)*'ButsMPG + Var'!$K$14+COUNTIF(BDD!H517:AR517,1)*'ButsMPG + Var'!$K$13,IF(C514="D",COUNTIF(BDD!H517:AR517,10)*'ButsMPG + Var'!$K$32+COUNTIF(BDD!H517:AR517,9)*'ButsMPG + Var'!$K$31+COUNTIF(BDD!H517:AR517,8)*'ButsMPG + Var'!$K$30+COUNTIF(BDD!H517:AR517,7)*'ButsMPG + Var'!$K$29+COUNTIF(BDD!H517:AR517,6)*'ButsMPG + Var'!$K$28+COUNTIF(BDD!H517:AR517,5)*'ButsMPG + Var'!$K$27+COUNTIF(BDD!H517:AR517,4)*'ButsMPG + Var'!$K$26+COUNTIF(BDD!H517:AR517,3)*'ButsMPG + Var'!$K$25+COUNTIF(BDD!H517:AR517,2)*'ButsMPG + Var'!$K$24+COUNTIF(BDD!H517:AR517,1)*'ButsMPG + Var'!$K$23,0)))</f>
        <v>0</v>
      </c>
      <c r="H514" s="25">
        <f t="shared" si="8"/>
        <v>0</v>
      </c>
      <c r="I514" s="25">
        <f>BDD!G517</f>
        <v>0</v>
      </c>
      <c r="J514" s="25">
        <f>SUMPRODUCT(BDD!H517:AS517,'ButsMPG + Var'!$B$46:$AM$46)</f>
        <v>0</v>
      </c>
      <c r="K514" s="25" t="e">
        <f>10*('ButsMPG + Var'!$H$37*J514/MAX(J:J)+'ButsMPG + Var'!$G$37*H514/MAX(H:H))</f>
        <v>#DIV/0!</v>
      </c>
      <c r="L514" s="1">
        <f>IF(ISNA(VLOOKUP(B514,PrixMini!$B$3:$E$573,4,FALSE)),1,VLOOKUP(B514,PrixMini!$B$3:$E$573,4,FALSE))</f>
        <v>1</v>
      </c>
      <c r="M514" s="25" t="e">
        <f>IF(ROUND(CalculCotation!$D$3*EXP(CalculCotation!$C$3*K514)-CalculCotation!$D$3+1,0)&gt;L514,ROUND(CalculCotation!$D$3*EXP(CalculCotation!$C$3*K514)-CalculCotation!$D$3+1,0),L514)</f>
        <v>#DIV/0!</v>
      </c>
    </row>
    <row r="515" spans="2:13" x14ac:dyDescent="0.3">
      <c r="B515" s="1">
        <f>BDD!C518</f>
        <v>0</v>
      </c>
      <c r="C515" s="1">
        <f>BDD!B518</f>
        <v>0</v>
      </c>
      <c r="D515" s="1">
        <f>BDD!A518</f>
        <v>0</v>
      </c>
      <c r="E515" s="1">
        <f>BDD!D518</f>
        <v>0</v>
      </c>
      <c r="F515" s="1">
        <f>BDD!F518</f>
        <v>0</v>
      </c>
      <c r="G515" s="25">
        <f>'ButsMPG + Var'!$I$39*IF(C515="A",COUNTIF(BDD!H518:AR518,10)*'ButsMPG + Var'!$K$12+COUNTIF(BDD!H518:AR518,9)*'ButsMPG + Var'!$K$11+COUNTIF(BDD!H518:AR518,8)*'ButsMPG + Var'!$K$10+COUNTIF(BDD!H518:AR518,7)*'ButsMPG + Var'!$K$9+COUNTIF(BDD!H518:AR518,6)*'ButsMPG + Var'!$K$8+COUNTIF(BDD!H518:AR518,5)*'ButsMPG + Var'!$K$7+COUNTIF(BDD!H518:AR518,4)*'ButsMPG + Var'!$K$6+COUNTIF(BDD!H518:AR518,3)*'ButsMPG + Var'!$K$5+COUNTIF(BDD!H518:AR518,2)*'ButsMPG + Var'!$K$4+COUNTIF(BDD!H518:AR518,1)*'ButsMPG + Var'!$K$3,IF(C515="M",COUNTIF(BDD!H518:AR518,10)*'ButsMPG + Var'!$K$22+COUNTIF(BDD!H518:AR518,9)*'ButsMPG + Var'!$K$21+COUNTIF(BDD!H518:AR518,8)*'ButsMPG + Var'!$K$20+COUNTIF(BDD!H518:AR518,7)*'ButsMPG + Var'!$K$19+COUNTIF(BDD!H518:AR518,6)*'ButsMPG + Var'!$K$18+COUNTIF(BDD!H518:AR518,5)*'ButsMPG + Var'!$K$17+COUNTIF(BDD!H518:AR518,4)*'ButsMPG + Var'!$K$16+COUNTIF(BDD!H518:AR518,3)*'ButsMPG + Var'!$K$15+COUNTIF(BDD!H518:AR518,2)*'ButsMPG + Var'!$K$14+COUNTIF(BDD!H518:AR518,1)*'ButsMPG + Var'!$K$13,IF(C515="D",COUNTIF(BDD!H518:AR518,10)*'ButsMPG + Var'!$K$32+COUNTIF(BDD!H518:AR518,9)*'ButsMPG + Var'!$K$31+COUNTIF(BDD!H518:AR518,8)*'ButsMPG + Var'!$K$30+COUNTIF(BDD!H518:AR518,7)*'ButsMPG + Var'!$K$29+COUNTIF(BDD!H518:AR518,6)*'ButsMPG + Var'!$K$28+COUNTIF(BDD!H518:AR518,5)*'ButsMPG + Var'!$K$27+COUNTIF(BDD!H518:AR518,4)*'ButsMPG + Var'!$K$26+COUNTIF(BDD!H518:AR518,3)*'ButsMPG + Var'!$K$25+COUNTIF(BDD!H518:AR518,2)*'ButsMPG + Var'!$K$24+COUNTIF(BDD!H518:AR518,1)*'ButsMPG + Var'!$K$23,0)))</f>
        <v>0</v>
      </c>
      <c r="H515" s="25">
        <f t="shared" si="8"/>
        <v>0</v>
      </c>
      <c r="I515" s="25">
        <f>BDD!G518</f>
        <v>0</v>
      </c>
      <c r="J515" s="25">
        <f>SUMPRODUCT(BDD!H518:AS518,'ButsMPG + Var'!$B$46:$AM$46)</f>
        <v>0</v>
      </c>
      <c r="K515" s="25" t="e">
        <f>10*('ButsMPG + Var'!$H$37*J515/MAX(J:J)+'ButsMPG + Var'!$G$37*H515/MAX(H:H))</f>
        <v>#DIV/0!</v>
      </c>
      <c r="L515" s="1">
        <f>IF(ISNA(VLOOKUP(B515,PrixMini!$B$3:$E$573,4,FALSE)),1,VLOOKUP(B515,PrixMini!$B$3:$E$573,4,FALSE))</f>
        <v>1</v>
      </c>
      <c r="M515" s="25" t="e">
        <f>IF(ROUND(CalculCotation!$D$3*EXP(CalculCotation!$C$3*K515)-CalculCotation!$D$3+1,0)&gt;L515,ROUND(CalculCotation!$D$3*EXP(CalculCotation!$C$3*K515)-CalculCotation!$D$3+1,0),L515)</f>
        <v>#DIV/0!</v>
      </c>
    </row>
    <row r="516" spans="2:13" x14ac:dyDescent="0.3">
      <c r="B516" s="1">
        <f>BDD!C519</f>
        <v>0</v>
      </c>
      <c r="C516" s="1">
        <f>BDD!B519</f>
        <v>0</v>
      </c>
      <c r="D516" s="1">
        <f>BDD!A519</f>
        <v>0</v>
      </c>
      <c r="E516" s="1">
        <f>BDD!D519</f>
        <v>0</v>
      </c>
      <c r="F516" s="1">
        <f>BDD!F519</f>
        <v>0</v>
      </c>
      <c r="G516" s="25">
        <f>'ButsMPG + Var'!$I$39*IF(C516="A",COUNTIF(BDD!H519:AR519,10)*'ButsMPG + Var'!$K$12+COUNTIF(BDD!H519:AR519,9)*'ButsMPG + Var'!$K$11+COUNTIF(BDD!H519:AR519,8)*'ButsMPG + Var'!$K$10+COUNTIF(BDD!H519:AR519,7)*'ButsMPG + Var'!$K$9+COUNTIF(BDD!H519:AR519,6)*'ButsMPG + Var'!$K$8+COUNTIF(BDD!H519:AR519,5)*'ButsMPG + Var'!$K$7+COUNTIF(BDD!H519:AR519,4)*'ButsMPG + Var'!$K$6+COUNTIF(BDD!H519:AR519,3)*'ButsMPG + Var'!$K$5+COUNTIF(BDD!H519:AR519,2)*'ButsMPG + Var'!$K$4+COUNTIF(BDD!H519:AR519,1)*'ButsMPG + Var'!$K$3,IF(C516="M",COUNTIF(BDD!H519:AR519,10)*'ButsMPG + Var'!$K$22+COUNTIF(BDD!H519:AR519,9)*'ButsMPG + Var'!$K$21+COUNTIF(BDD!H519:AR519,8)*'ButsMPG + Var'!$K$20+COUNTIF(BDD!H519:AR519,7)*'ButsMPG + Var'!$K$19+COUNTIF(BDD!H519:AR519,6)*'ButsMPG + Var'!$K$18+COUNTIF(BDD!H519:AR519,5)*'ButsMPG + Var'!$K$17+COUNTIF(BDD!H519:AR519,4)*'ButsMPG + Var'!$K$16+COUNTIF(BDD!H519:AR519,3)*'ButsMPG + Var'!$K$15+COUNTIF(BDD!H519:AR519,2)*'ButsMPG + Var'!$K$14+COUNTIF(BDD!H519:AR519,1)*'ButsMPG + Var'!$K$13,IF(C516="D",COUNTIF(BDD!H519:AR519,10)*'ButsMPG + Var'!$K$32+COUNTIF(BDD!H519:AR519,9)*'ButsMPG + Var'!$K$31+COUNTIF(BDD!H519:AR519,8)*'ButsMPG + Var'!$K$30+COUNTIF(BDD!H519:AR519,7)*'ButsMPG + Var'!$K$29+COUNTIF(BDD!H519:AR519,6)*'ButsMPG + Var'!$K$28+COUNTIF(BDD!H519:AR519,5)*'ButsMPG + Var'!$K$27+COUNTIF(BDD!H519:AR519,4)*'ButsMPG + Var'!$K$26+COUNTIF(BDD!H519:AR519,3)*'ButsMPG + Var'!$K$25+COUNTIF(BDD!H519:AR519,2)*'ButsMPG + Var'!$K$24+COUNTIF(BDD!H519:AR519,1)*'ButsMPG + Var'!$K$23,0)))</f>
        <v>0</v>
      </c>
      <c r="H516" s="25">
        <f t="shared" ref="H516:H579" si="9">SUM(F516:G516)</f>
        <v>0</v>
      </c>
      <c r="I516" s="25">
        <f>BDD!G519</f>
        <v>0</v>
      </c>
      <c r="J516" s="25">
        <f>SUMPRODUCT(BDD!H519:AS519,'ButsMPG + Var'!$B$46:$AM$46)</f>
        <v>0</v>
      </c>
      <c r="K516" s="25" t="e">
        <f>10*('ButsMPG + Var'!$H$37*J516/MAX(J:J)+'ButsMPG + Var'!$G$37*H516/MAX(H:H))</f>
        <v>#DIV/0!</v>
      </c>
      <c r="L516" s="1">
        <f>IF(ISNA(VLOOKUP(B516,PrixMini!$B$3:$E$573,4,FALSE)),1,VLOOKUP(B516,PrixMini!$B$3:$E$573,4,FALSE))</f>
        <v>1</v>
      </c>
      <c r="M516" s="25" t="e">
        <f>IF(ROUND(CalculCotation!$D$3*EXP(CalculCotation!$C$3*K516)-CalculCotation!$D$3+1,0)&gt;L516,ROUND(CalculCotation!$D$3*EXP(CalculCotation!$C$3*K516)-CalculCotation!$D$3+1,0),L516)</f>
        <v>#DIV/0!</v>
      </c>
    </row>
    <row r="517" spans="2:13" x14ac:dyDescent="0.3">
      <c r="B517" s="1">
        <f>BDD!C520</f>
        <v>0</v>
      </c>
      <c r="C517" s="1">
        <f>BDD!B520</f>
        <v>0</v>
      </c>
      <c r="D517" s="1">
        <f>BDD!A520</f>
        <v>0</v>
      </c>
      <c r="E517" s="1">
        <f>BDD!D520</f>
        <v>0</v>
      </c>
      <c r="F517" s="1">
        <f>BDD!F520</f>
        <v>0</v>
      </c>
      <c r="G517" s="25">
        <f>'ButsMPG + Var'!$I$39*IF(C517="A",COUNTIF(BDD!H520:AR520,10)*'ButsMPG + Var'!$K$12+COUNTIF(BDD!H520:AR520,9)*'ButsMPG + Var'!$K$11+COUNTIF(BDD!H520:AR520,8)*'ButsMPG + Var'!$K$10+COUNTIF(BDD!H520:AR520,7)*'ButsMPG + Var'!$K$9+COUNTIF(BDD!H520:AR520,6)*'ButsMPG + Var'!$K$8+COUNTIF(BDD!H520:AR520,5)*'ButsMPG + Var'!$K$7+COUNTIF(BDD!H520:AR520,4)*'ButsMPG + Var'!$K$6+COUNTIF(BDD!H520:AR520,3)*'ButsMPG + Var'!$K$5+COUNTIF(BDD!H520:AR520,2)*'ButsMPG + Var'!$K$4+COUNTIF(BDD!H520:AR520,1)*'ButsMPG + Var'!$K$3,IF(C517="M",COUNTIF(BDD!H520:AR520,10)*'ButsMPG + Var'!$K$22+COUNTIF(BDD!H520:AR520,9)*'ButsMPG + Var'!$K$21+COUNTIF(BDD!H520:AR520,8)*'ButsMPG + Var'!$K$20+COUNTIF(BDD!H520:AR520,7)*'ButsMPG + Var'!$K$19+COUNTIF(BDD!H520:AR520,6)*'ButsMPG + Var'!$K$18+COUNTIF(BDD!H520:AR520,5)*'ButsMPG + Var'!$K$17+COUNTIF(BDD!H520:AR520,4)*'ButsMPG + Var'!$K$16+COUNTIF(BDD!H520:AR520,3)*'ButsMPG + Var'!$K$15+COUNTIF(BDD!H520:AR520,2)*'ButsMPG + Var'!$K$14+COUNTIF(BDD!H520:AR520,1)*'ButsMPG + Var'!$K$13,IF(C517="D",COUNTIF(BDD!H520:AR520,10)*'ButsMPG + Var'!$K$32+COUNTIF(BDD!H520:AR520,9)*'ButsMPG + Var'!$K$31+COUNTIF(BDD!H520:AR520,8)*'ButsMPG + Var'!$K$30+COUNTIF(BDD!H520:AR520,7)*'ButsMPG + Var'!$K$29+COUNTIF(BDD!H520:AR520,6)*'ButsMPG + Var'!$K$28+COUNTIF(BDD!H520:AR520,5)*'ButsMPG + Var'!$K$27+COUNTIF(BDD!H520:AR520,4)*'ButsMPG + Var'!$K$26+COUNTIF(BDD!H520:AR520,3)*'ButsMPG + Var'!$K$25+COUNTIF(BDD!H520:AR520,2)*'ButsMPG + Var'!$K$24+COUNTIF(BDD!H520:AR520,1)*'ButsMPG + Var'!$K$23,0)))</f>
        <v>0</v>
      </c>
      <c r="H517" s="25">
        <f t="shared" si="9"/>
        <v>0</v>
      </c>
      <c r="I517" s="25">
        <f>BDD!G520</f>
        <v>0</v>
      </c>
      <c r="J517" s="25">
        <f>SUMPRODUCT(BDD!H520:AS520,'ButsMPG + Var'!$B$46:$AM$46)</f>
        <v>0</v>
      </c>
      <c r="K517" s="25" t="e">
        <f>10*('ButsMPG + Var'!$H$37*J517/MAX(J:J)+'ButsMPG + Var'!$G$37*H517/MAX(H:H))</f>
        <v>#DIV/0!</v>
      </c>
      <c r="L517" s="1">
        <f>IF(ISNA(VLOOKUP(B517,PrixMini!$B$3:$E$573,4,FALSE)),1,VLOOKUP(B517,PrixMini!$B$3:$E$573,4,FALSE))</f>
        <v>1</v>
      </c>
      <c r="M517" s="25" t="e">
        <f>IF(ROUND(CalculCotation!$D$3*EXP(CalculCotation!$C$3*K517)-CalculCotation!$D$3+1,0)&gt;L517,ROUND(CalculCotation!$D$3*EXP(CalculCotation!$C$3*K517)-CalculCotation!$D$3+1,0),L517)</f>
        <v>#DIV/0!</v>
      </c>
    </row>
    <row r="518" spans="2:13" x14ac:dyDescent="0.3">
      <c r="B518" s="1">
        <f>BDD!C521</f>
        <v>0</v>
      </c>
      <c r="C518" s="1">
        <f>BDD!B521</f>
        <v>0</v>
      </c>
      <c r="D518" s="1">
        <f>BDD!A521</f>
        <v>0</v>
      </c>
      <c r="E518" s="1">
        <f>BDD!D521</f>
        <v>0</v>
      </c>
      <c r="F518" s="1">
        <f>BDD!F521</f>
        <v>0</v>
      </c>
      <c r="G518" s="25">
        <f>'ButsMPG + Var'!$I$39*IF(C518="A",COUNTIF(BDD!H521:AR521,10)*'ButsMPG + Var'!$K$12+COUNTIF(BDD!H521:AR521,9)*'ButsMPG + Var'!$K$11+COUNTIF(BDD!H521:AR521,8)*'ButsMPG + Var'!$K$10+COUNTIF(BDD!H521:AR521,7)*'ButsMPG + Var'!$K$9+COUNTIF(BDD!H521:AR521,6)*'ButsMPG + Var'!$K$8+COUNTIF(BDD!H521:AR521,5)*'ButsMPG + Var'!$K$7+COUNTIF(BDD!H521:AR521,4)*'ButsMPG + Var'!$K$6+COUNTIF(BDD!H521:AR521,3)*'ButsMPG + Var'!$K$5+COUNTIF(BDD!H521:AR521,2)*'ButsMPG + Var'!$K$4+COUNTIF(BDD!H521:AR521,1)*'ButsMPG + Var'!$K$3,IF(C518="M",COUNTIF(BDD!H521:AR521,10)*'ButsMPG + Var'!$K$22+COUNTIF(BDD!H521:AR521,9)*'ButsMPG + Var'!$K$21+COUNTIF(BDD!H521:AR521,8)*'ButsMPG + Var'!$K$20+COUNTIF(BDD!H521:AR521,7)*'ButsMPG + Var'!$K$19+COUNTIF(BDD!H521:AR521,6)*'ButsMPG + Var'!$K$18+COUNTIF(BDD!H521:AR521,5)*'ButsMPG + Var'!$K$17+COUNTIF(BDD!H521:AR521,4)*'ButsMPG + Var'!$K$16+COUNTIF(BDD!H521:AR521,3)*'ButsMPG + Var'!$K$15+COUNTIF(BDD!H521:AR521,2)*'ButsMPG + Var'!$K$14+COUNTIF(BDD!H521:AR521,1)*'ButsMPG + Var'!$K$13,IF(C518="D",COUNTIF(BDD!H521:AR521,10)*'ButsMPG + Var'!$K$32+COUNTIF(BDD!H521:AR521,9)*'ButsMPG + Var'!$K$31+COUNTIF(BDD!H521:AR521,8)*'ButsMPG + Var'!$K$30+COUNTIF(BDD!H521:AR521,7)*'ButsMPG + Var'!$K$29+COUNTIF(BDD!H521:AR521,6)*'ButsMPG + Var'!$K$28+COUNTIF(BDD!H521:AR521,5)*'ButsMPG + Var'!$K$27+COUNTIF(BDD!H521:AR521,4)*'ButsMPG + Var'!$K$26+COUNTIF(BDD!H521:AR521,3)*'ButsMPG + Var'!$K$25+COUNTIF(BDD!H521:AR521,2)*'ButsMPG + Var'!$K$24+COUNTIF(BDD!H521:AR521,1)*'ButsMPG + Var'!$K$23,0)))</f>
        <v>0</v>
      </c>
      <c r="H518" s="25">
        <f t="shared" si="9"/>
        <v>0</v>
      </c>
      <c r="I518" s="25">
        <f>BDD!G521</f>
        <v>0</v>
      </c>
      <c r="J518" s="25">
        <f>SUMPRODUCT(BDD!H521:AS521,'ButsMPG + Var'!$B$46:$AM$46)</f>
        <v>0</v>
      </c>
      <c r="K518" s="25" t="e">
        <f>10*('ButsMPG + Var'!$H$37*J518/MAX(J:J)+'ButsMPG + Var'!$G$37*H518/MAX(H:H))</f>
        <v>#DIV/0!</v>
      </c>
      <c r="L518" s="1">
        <f>IF(ISNA(VLOOKUP(B518,PrixMini!$B$3:$E$573,4,FALSE)),1,VLOOKUP(B518,PrixMini!$B$3:$E$573,4,FALSE))</f>
        <v>1</v>
      </c>
      <c r="M518" s="25" t="e">
        <f>IF(ROUND(CalculCotation!$D$3*EXP(CalculCotation!$C$3*K518)-CalculCotation!$D$3+1,0)&gt;L518,ROUND(CalculCotation!$D$3*EXP(CalculCotation!$C$3*K518)-CalculCotation!$D$3+1,0),L518)</f>
        <v>#DIV/0!</v>
      </c>
    </row>
    <row r="519" spans="2:13" x14ac:dyDescent="0.3">
      <c r="B519" s="1">
        <f>BDD!C522</f>
        <v>0</v>
      </c>
      <c r="C519" s="1">
        <f>BDD!B522</f>
        <v>0</v>
      </c>
      <c r="D519" s="1">
        <f>BDD!A522</f>
        <v>0</v>
      </c>
      <c r="E519" s="1">
        <f>BDD!D522</f>
        <v>0</v>
      </c>
      <c r="F519" s="1">
        <f>BDD!F522</f>
        <v>0</v>
      </c>
      <c r="G519" s="25">
        <f>'ButsMPG + Var'!$I$39*IF(C519="A",COUNTIF(BDD!H522:AR522,10)*'ButsMPG + Var'!$K$12+COUNTIF(BDD!H522:AR522,9)*'ButsMPG + Var'!$K$11+COUNTIF(BDD!H522:AR522,8)*'ButsMPG + Var'!$K$10+COUNTIF(BDD!H522:AR522,7)*'ButsMPG + Var'!$K$9+COUNTIF(BDD!H522:AR522,6)*'ButsMPG + Var'!$K$8+COUNTIF(BDD!H522:AR522,5)*'ButsMPG + Var'!$K$7+COUNTIF(BDD!H522:AR522,4)*'ButsMPG + Var'!$K$6+COUNTIF(BDD!H522:AR522,3)*'ButsMPG + Var'!$K$5+COUNTIF(BDD!H522:AR522,2)*'ButsMPG + Var'!$K$4+COUNTIF(BDD!H522:AR522,1)*'ButsMPG + Var'!$K$3,IF(C519="M",COUNTIF(BDD!H522:AR522,10)*'ButsMPG + Var'!$K$22+COUNTIF(BDD!H522:AR522,9)*'ButsMPG + Var'!$K$21+COUNTIF(BDD!H522:AR522,8)*'ButsMPG + Var'!$K$20+COUNTIF(BDD!H522:AR522,7)*'ButsMPG + Var'!$K$19+COUNTIF(BDD!H522:AR522,6)*'ButsMPG + Var'!$K$18+COUNTIF(BDD!H522:AR522,5)*'ButsMPG + Var'!$K$17+COUNTIF(BDD!H522:AR522,4)*'ButsMPG + Var'!$K$16+COUNTIF(BDD!H522:AR522,3)*'ButsMPG + Var'!$K$15+COUNTIF(BDD!H522:AR522,2)*'ButsMPG + Var'!$K$14+COUNTIF(BDD!H522:AR522,1)*'ButsMPG + Var'!$K$13,IF(C519="D",COUNTIF(BDD!H522:AR522,10)*'ButsMPG + Var'!$K$32+COUNTIF(BDD!H522:AR522,9)*'ButsMPG + Var'!$K$31+COUNTIF(BDD!H522:AR522,8)*'ButsMPG + Var'!$K$30+COUNTIF(BDD!H522:AR522,7)*'ButsMPG + Var'!$K$29+COUNTIF(BDD!H522:AR522,6)*'ButsMPG + Var'!$K$28+COUNTIF(BDD!H522:AR522,5)*'ButsMPG + Var'!$K$27+COUNTIF(BDD!H522:AR522,4)*'ButsMPG + Var'!$K$26+COUNTIF(BDD!H522:AR522,3)*'ButsMPG + Var'!$K$25+COUNTIF(BDD!H522:AR522,2)*'ButsMPG + Var'!$K$24+COUNTIF(BDD!H522:AR522,1)*'ButsMPG + Var'!$K$23,0)))</f>
        <v>0</v>
      </c>
      <c r="H519" s="25">
        <f t="shared" si="9"/>
        <v>0</v>
      </c>
      <c r="I519" s="25">
        <f>BDD!G522</f>
        <v>0</v>
      </c>
      <c r="J519" s="25">
        <f>SUMPRODUCT(BDD!H522:AS522,'ButsMPG + Var'!$B$46:$AM$46)</f>
        <v>0</v>
      </c>
      <c r="K519" s="25" t="e">
        <f>10*('ButsMPG + Var'!$H$37*J519/MAX(J:J)+'ButsMPG + Var'!$G$37*H519/MAX(H:H))</f>
        <v>#DIV/0!</v>
      </c>
      <c r="L519" s="1">
        <f>IF(ISNA(VLOOKUP(B519,PrixMini!$B$3:$E$573,4,FALSE)),1,VLOOKUP(B519,PrixMini!$B$3:$E$573,4,FALSE))</f>
        <v>1</v>
      </c>
      <c r="M519" s="25" t="e">
        <f>IF(ROUND(CalculCotation!$D$3*EXP(CalculCotation!$C$3*K519)-CalculCotation!$D$3+1,0)&gt;L519,ROUND(CalculCotation!$D$3*EXP(CalculCotation!$C$3*K519)-CalculCotation!$D$3+1,0),L519)</f>
        <v>#DIV/0!</v>
      </c>
    </row>
    <row r="520" spans="2:13" x14ac:dyDescent="0.3">
      <c r="B520" s="1">
        <f>BDD!C523</f>
        <v>0</v>
      </c>
      <c r="C520" s="1">
        <f>BDD!B523</f>
        <v>0</v>
      </c>
      <c r="D520" s="1">
        <f>BDD!A523</f>
        <v>0</v>
      </c>
      <c r="E520" s="1">
        <f>BDD!D523</f>
        <v>0</v>
      </c>
      <c r="F520" s="1">
        <f>BDD!F523</f>
        <v>0</v>
      </c>
      <c r="G520" s="25">
        <f>'ButsMPG + Var'!$I$39*IF(C520="A",COUNTIF(BDD!H523:AR523,10)*'ButsMPG + Var'!$K$12+COUNTIF(BDD!H523:AR523,9)*'ButsMPG + Var'!$K$11+COUNTIF(BDD!H523:AR523,8)*'ButsMPG + Var'!$K$10+COUNTIF(BDD!H523:AR523,7)*'ButsMPG + Var'!$K$9+COUNTIF(BDD!H523:AR523,6)*'ButsMPG + Var'!$K$8+COUNTIF(BDD!H523:AR523,5)*'ButsMPG + Var'!$K$7+COUNTIF(BDD!H523:AR523,4)*'ButsMPG + Var'!$K$6+COUNTIF(BDD!H523:AR523,3)*'ButsMPG + Var'!$K$5+COUNTIF(BDD!H523:AR523,2)*'ButsMPG + Var'!$K$4+COUNTIF(BDD!H523:AR523,1)*'ButsMPG + Var'!$K$3,IF(C520="M",COUNTIF(BDD!H523:AR523,10)*'ButsMPG + Var'!$K$22+COUNTIF(BDD!H523:AR523,9)*'ButsMPG + Var'!$K$21+COUNTIF(BDD!H523:AR523,8)*'ButsMPG + Var'!$K$20+COUNTIF(BDD!H523:AR523,7)*'ButsMPG + Var'!$K$19+COUNTIF(BDD!H523:AR523,6)*'ButsMPG + Var'!$K$18+COUNTIF(BDD!H523:AR523,5)*'ButsMPG + Var'!$K$17+COUNTIF(BDD!H523:AR523,4)*'ButsMPG + Var'!$K$16+COUNTIF(BDD!H523:AR523,3)*'ButsMPG + Var'!$K$15+COUNTIF(BDD!H523:AR523,2)*'ButsMPG + Var'!$K$14+COUNTIF(BDD!H523:AR523,1)*'ButsMPG + Var'!$K$13,IF(C520="D",COUNTIF(BDD!H523:AR523,10)*'ButsMPG + Var'!$K$32+COUNTIF(BDD!H523:AR523,9)*'ButsMPG + Var'!$K$31+COUNTIF(BDD!H523:AR523,8)*'ButsMPG + Var'!$K$30+COUNTIF(BDD!H523:AR523,7)*'ButsMPG + Var'!$K$29+COUNTIF(BDD!H523:AR523,6)*'ButsMPG + Var'!$K$28+COUNTIF(BDD!H523:AR523,5)*'ButsMPG + Var'!$K$27+COUNTIF(BDD!H523:AR523,4)*'ButsMPG + Var'!$K$26+COUNTIF(BDD!H523:AR523,3)*'ButsMPG + Var'!$K$25+COUNTIF(BDD!H523:AR523,2)*'ButsMPG + Var'!$K$24+COUNTIF(BDD!H523:AR523,1)*'ButsMPG + Var'!$K$23,0)))</f>
        <v>0</v>
      </c>
      <c r="H520" s="25">
        <f t="shared" si="9"/>
        <v>0</v>
      </c>
      <c r="I520" s="25">
        <f>BDD!G523</f>
        <v>0</v>
      </c>
      <c r="J520" s="25">
        <f>SUMPRODUCT(BDD!H523:AS523,'ButsMPG + Var'!$B$46:$AM$46)</f>
        <v>0</v>
      </c>
      <c r="K520" s="25" t="e">
        <f>10*('ButsMPG + Var'!$H$37*J520/MAX(J:J)+'ButsMPG + Var'!$G$37*H520/MAX(H:H))</f>
        <v>#DIV/0!</v>
      </c>
      <c r="L520" s="1">
        <f>IF(ISNA(VLOOKUP(B520,PrixMini!$B$3:$E$573,4,FALSE)),1,VLOOKUP(B520,PrixMini!$B$3:$E$573,4,FALSE))</f>
        <v>1</v>
      </c>
      <c r="M520" s="25" t="e">
        <f>IF(ROUND(CalculCotation!$D$3*EXP(CalculCotation!$C$3*K520)-CalculCotation!$D$3+1,0)&gt;L520,ROUND(CalculCotation!$D$3*EXP(CalculCotation!$C$3*K520)-CalculCotation!$D$3+1,0),L520)</f>
        <v>#DIV/0!</v>
      </c>
    </row>
    <row r="521" spans="2:13" x14ac:dyDescent="0.3">
      <c r="B521" s="1">
        <f>BDD!C524</f>
        <v>0</v>
      </c>
      <c r="C521" s="1">
        <f>BDD!B524</f>
        <v>0</v>
      </c>
      <c r="D521" s="1">
        <f>BDD!A524</f>
        <v>0</v>
      </c>
      <c r="E521" s="1">
        <f>BDD!D524</f>
        <v>0</v>
      </c>
      <c r="F521" s="1">
        <f>BDD!F524</f>
        <v>0</v>
      </c>
      <c r="G521" s="25">
        <f>'ButsMPG + Var'!$I$39*IF(C521="A",COUNTIF(BDD!H524:AR524,10)*'ButsMPG + Var'!$K$12+COUNTIF(BDD!H524:AR524,9)*'ButsMPG + Var'!$K$11+COUNTIF(BDD!H524:AR524,8)*'ButsMPG + Var'!$K$10+COUNTIF(BDD!H524:AR524,7)*'ButsMPG + Var'!$K$9+COUNTIF(BDD!H524:AR524,6)*'ButsMPG + Var'!$K$8+COUNTIF(BDD!H524:AR524,5)*'ButsMPG + Var'!$K$7+COUNTIF(BDD!H524:AR524,4)*'ButsMPG + Var'!$K$6+COUNTIF(BDD!H524:AR524,3)*'ButsMPG + Var'!$K$5+COUNTIF(BDD!H524:AR524,2)*'ButsMPG + Var'!$K$4+COUNTIF(BDD!H524:AR524,1)*'ButsMPG + Var'!$K$3,IF(C521="M",COUNTIF(BDD!H524:AR524,10)*'ButsMPG + Var'!$K$22+COUNTIF(BDD!H524:AR524,9)*'ButsMPG + Var'!$K$21+COUNTIF(BDD!H524:AR524,8)*'ButsMPG + Var'!$K$20+COUNTIF(BDD!H524:AR524,7)*'ButsMPG + Var'!$K$19+COUNTIF(BDD!H524:AR524,6)*'ButsMPG + Var'!$K$18+COUNTIF(BDD!H524:AR524,5)*'ButsMPG + Var'!$K$17+COUNTIF(BDD!H524:AR524,4)*'ButsMPG + Var'!$K$16+COUNTIF(BDD!H524:AR524,3)*'ButsMPG + Var'!$K$15+COUNTIF(BDD!H524:AR524,2)*'ButsMPG + Var'!$K$14+COUNTIF(BDD!H524:AR524,1)*'ButsMPG + Var'!$K$13,IF(C521="D",COUNTIF(BDD!H524:AR524,10)*'ButsMPG + Var'!$K$32+COUNTIF(BDD!H524:AR524,9)*'ButsMPG + Var'!$K$31+COUNTIF(BDD!H524:AR524,8)*'ButsMPG + Var'!$K$30+COUNTIF(BDD!H524:AR524,7)*'ButsMPG + Var'!$K$29+COUNTIF(BDD!H524:AR524,6)*'ButsMPG + Var'!$K$28+COUNTIF(BDD!H524:AR524,5)*'ButsMPG + Var'!$K$27+COUNTIF(BDD!H524:AR524,4)*'ButsMPG + Var'!$K$26+COUNTIF(BDD!H524:AR524,3)*'ButsMPG + Var'!$K$25+COUNTIF(BDD!H524:AR524,2)*'ButsMPG + Var'!$K$24+COUNTIF(BDD!H524:AR524,1)*'ButsMPG + Var'!$K$23,0)))</f>
        <v>0</v>
      </c>
      <c r="H521" s="25">
        <f t="shared" si="9"/>
        <v>0</v>
      </c>
      <c r="I521" s="25">
        <f>BDD!G524</f>
        <v>0</v>
      </c>
      <c r="J521" s="25">
        <f>SUMPRODUCT(BDD!H524:AS524,'ButsMPG + Var'!$B$46:$AM$46)</f>
        <v>0</v>
      </c>
      <c r="K521" s="25" t="e">
        <f>10*('ButsMPG + Var'!$H$37*J521/MAX(J:J)+'ButsMPG + Var'!$G$37*H521/MAX(H:H))</f>
        <v>#DIV/0!</v>
      </c>
      <c r="L521" s="1">
        <f>IF(ISNA(VLOOKUP(B521,PrixMini!$B$3:$E$573,4,FALSE)),1,VLOOKUP(B521,PrixMini!$B$3:$E$573,4,FALSE))</f>
        <v>1</v>
      </c>
      <c r="M521" s="25" t="e">
        <f>IF(ROUND(CalculCotation!$D$3*EXP(CalculCotation!$C$3*K521)-CalculCotation!$D$3+1,0)&gt;L521,ROUND(CalculCotation!$D$3*EXP(CalculCotation!$C$3*K521)-CalculCotation!$D$3+1,0),L521)</f>
        <v>#DIV/0!</v>
      </c>
    </row>
    <row r="522" spans="2:13" x14ac:dyDescent="0.3">
      <c r="B522" s="1">
        <f>BDD!C525</f>
        <v>0</v>
      </c>
      <c r="C522" s="1">
        <f>BDD!B525</f>
        <v>0</v>
      </c>
      <c r="D522" s="1">
        <f>BDD!A525</f>
        <v>0</v>
      </c>
      <c r="E522" s="1">
        <f>BDD!D525</f>
        <v>0</v>
      </c>
      <c r="F522" s="1">
        <f>BDD!F525</f>
        <v>0</v>
      </c>
      <c r="G522" s="25">
        <f>'ButsMPG + Var'!$I$39*IF(C522="A",COUNTIF(BDD!H525:AR525,10)*'ButsMPG + Var'!$K$12+COUNTIF(BDD!H525:AR525,9)*'ButsMPG + Var'!$K$11+COUNTIF(BDD!H525:AR525,8)*'ButsMPG + Var'!$K$10+COUNTIF(BDD!H525:AR525,7)*'ButsMPG + Var'!$K$9+COUNTIF(BDD!H525:AR525,6)*'ButsMPG + Var'!$K$8+COUNTIF(BDD!H525:AR525,5)*'ButsMPG + Var'!$K$7+COUNTIF(BDD!H525:AR525,4)*'ButsMPG + Var'!$K$6+COUNTIF(BDD!H525:AR525,3)*'ButsMPG + Var'!$K$5+COUNTIF(BDD!H525:AR525,2)*'ButsMPG + Var'!$K$4+COUNTIF(BDD!H525:AR525,1)*'ButsMPG + Var'!$K$3,IF(C522="M",COUNTIF(BDD!H525:AR525,10)*'ButsMPG + Var'!$K$22+COUNTIF(BDD!H525:AR525,9)*'ButsMPG + Var'!$K$21+COUNTIF(BDD!H525:AR525,8)*'ButsMPG + Var'!$K$20+COUNTIF(BDD!H525:AR525,7)*'ButsMPG + Var'!$K$19+COUNTIF(BDD!H525:AR525,6)*'ButsMPG + Var'!$K$18+COUNTIF(BDD!H525:AR525,5)*'ButsMPG + Var'!$K$17+COUNTIF(BDD!H525:AR525,4)*'ButsMPG + Var'!$K$16+COUNTIF(BDD!H525:AR525,3)*'ButsMPG + Var'!$K$15+COUNTIF(BDD!H525:AR525,2)*'ButsMPG + Var'!$K$14+COUNTIF(BDD!H525:AR525,1)*'ButsMPG + Var'!$K$13,IF(C522="D",COUNTIF(BDD!H525:AR525,10)*'ButsMPG + Var'!$K$32+COUNTIF(BDD!H525:AR525,9)*'ButsMPG + Var'!$K$31+COUNTIF(BDD!H525:AR525,8)*'ButsMPG + Var'!$K$30+COUNTIF(BDD!H525:AR525,7)*'ButsMPG + Var'!$K$29+COUNTIF(BDD!H525:AR525,6)*'ButsMPG + Var'!$K$28+COUNTIF(BDD!H525:AR525,5)*'ButsMPG + Var'!$K$27+COUNTIF(BDD!H525:AR525,4)*'ButsMPG + Var'!$K$26+COUNTIF(BDD!H525:AR525,3)*'ButsMPG + Var'!$K$25+COUNTIF(BDD!H525:AR525,2)*'ButsMPG + Var'!$K$24+COUNTIF(BDD!H525:AR525,1)*'ButsMPG + Var'!$K$23,0)))</f>
        <v>0</v>
      </c>
      <c r="H522" s="25">
        <f t="shared" si="9"/>
        <v>0</v>
      </c>
      <c r="I522" s="25">
        <f>BDD!G525</f>
        <v>0</v>
      </c>
      <c r="J522" s="25">
        <f>SUMPRODUCT(BDD!H525:AS525,'ButsMPG + Var'!$B$46:$AM$46)</f>
        <v>0</v>
      </c>
      <c r="K522" s="25" t="e">
        <f>10*('ButsMPG + Var'!$H$37*J522/MAX(J:J)+'ButsMPG + Var'!$G$37*H522/MAX(H:H))</f>
        <v>#DIV/0!</v>
      </c>
      <c r="L522" s="1">
        <f>IF(ISNA(VLOOKUP(B522,PrixMini!$B$3:$E$573,4,FALSE)),1,VLOOKUP(B522,PrixMini!$B$3:$E$573,4,FALSE))</f>
        <v>1</v>
      </c>
      <c r="M522" s="25" t="e">
        <f>IF(ROUND(CalculCotation!$D$3*EXP(CalculCotation!$C$3*K522)-CalculCotation!$D$3+1,0)&gt;L522,ROUND(CalculCotation!$D$3*EXP(CalculCotation!$C$3*K522)-CalculCotation!$D$3+1,0),L522)</f>
        <v>#DIV/0!</v>
      </c>
    </row>
    <row r="523" spans="2:13" x14ac:dyDescent="0.3">
      <c r="B523" s="1">
        <f>BDD!C526</f>
        <v>0</v>
      </c>
      <c r="C523" s="1">
        <f>BDD!B526</f>
        <v>0</v>
      </c>
      <c r="D523" s="1">
        <f>BDD!A526</f>
        <v>0</v>
      </c>
      <c r="E523" s="1">
        <f>BDD!D526</f>
        <v>0</v>
      </c>
      <c r="F523" s="1">
        <f>BDD!F526</f>
        <v>0</v>
      </c>
      <c r="G523" s="25">
        <f>'ButsMPG + Var'!$I$39*IF(C523="A",COUNTIF(BDD!H526:AR526,10)*'ButsMPG + Var'!$K$12+COUNTIF(BDD!H526:AR526,9)*'ButsMPG + Var'!$K$11+COUNTIF(BDD!H526:AR526,8)*'ButsMPG + Var'!$K$10+COUNTIF(BDD!H526:AR526,7)*'ButsMPG + Var'!$K$9+COUNTIF(BDD!H526:AR526,6)*'ButsMPG + Var'!$K$8+COUNTIF(BDD!H526:AR526,5)*'ButsMPG + Var'!$K$7+COUNTIF(BDD!H526:AR526,4)*'ButsMPG + Var'!$K$6+COUNTIF(BDD!H526:AR526,3)*'ButsMPG + Var'!$K$5+COUNTIF(BDD!H526:AR526,2)*'ButsMPG + Var'!$K$4+COUNTIF(BDD!H526:AR526,1)*'ButsMPG + Var'!$K$3,IF(C523="M",COUNTIF(BDD!H526:AR526,10)*'ButsMPG + Var'!$K$22+COUNTIF(BDD!H526:AR526,9)*'ButsMPG + Var'!$K$21+COUNTIF(BDD!H526:AR526,8)*'ButsMPG + Var'!$K$20+COUNTIF(BDD!H526:AR526,7)*'ButsMPG + Var'!$K$19+COUNTIF(BDD!H526:AR526,6)*'ButsMPG + Var'!$K$18+COUNTIF(BDD!H526:AR526,5)*'ButsMPG + Var'!$K$17+COUNTIF(BDD!H526:AR526,4)*'ButsMPG + Var'!$K$16+COUNTIF(BDD!H526:AR526,3)*'ButsMPG + Var'!$K$15+COUNTIF(BDD!H526:AR526,2)*'ButsMPG + Var'!$K$14+COUNTIF(BDD!H526:AR526,1)*'ButsMPG + Var'!$K$13,IF(C523="D",COUNTIF(BDD!H526:AR526,10)*'ButsMPG + Var'!$K$32+COUNTIF(BDD!H526:AR526,9)*'ButsMPG + Var'!$K$31+COUNTIF(BDD!H526:AR526,8)*'ButsMPG + Var'!$K$30+COUNTIF(BDD!H526:AR526,7)*'ButsMPG + Var'!$K$29+COUNTIF(BDD!H526:AR526,6)*'ButsMPG + Var'!$K$28+COUNTIF(BDD!H526:AR526,5)*'ButsMPG + Var'!$K$27+COUNTIF(BDD!H526:AR526,4)*'ButsMPG + Var'!$K$26+COUNTIF(BDD!H526:AR526,3)*'ButsMPG + Var'!$K$25+COUNTIF(BDD!H526:AR526,2)*'ButsMPG + Var'!$K$24+COUNTIF(BDD!H526:AR526,1)*'ButsMPG + Var'!$K$23,0)))</f>
        <v>0</v>
      </c>
      <c r="H523" s="25">
        <f t="shared" si="9"/>
        <v>0</v>
      </c>
      <c r="I523" s="25">
        <f>BDD!G526</f>
        <v>0</v>
      </c>
      <c r="J523" s="25">
        <f>SUMPRODUCT(BDD!H526:AS526,'ButsMPG + Var'!$B$46:$AM$46)</f>
        <v>0</v>
      </c>
      <c r="K523" s="25" t="e">
        <f>10*('ButsMPG + Var'!$H$37*J523/MAX(J:J)+'ButsMPG + Var'!$G$37*H523/MAX(H:H))</f>
        <v>#DIV/0!</v>
      </c>
      <c r="L523" s="1">
        <f>IF(ISNA(VLOOKUP(B523,PrixMini!$B$3:$E$573,4,FALSE)),1,VLOOKUP(B523,PrixMini!$B$3:$E$573,4,FALSE))</f>
        <v>1</v>
      </c>
      <c r="M523" s="25" t="e">
        <f>IF(ROUND(CalculCotation!$D$3*EXP(CalculCotation!$C$3*K523)-CalculCotation!$D$3+1,0)&gt;L523,ROUND(CalculCotation!$D$3*EXP(CalculCotation!$C$3*K523)-CalculCotation!$D$3+1,0),L523)</f>
        <v>#DIV/0!</v>
      </c>
    </row>
    <row r="524" spans="2:13" x14ac:dyDescent="0.3">
      <c r="B524" s="1">
        <f>BDD!C527</f>
        <v>0</v>
      </c>
      <c r="C524" s="1">
        <f>BDD!B527</f>
        <v>0</v>
      </c>
      <c r="D524" s="1">
        <f>BDD!A527</f>
        <v>0</v>
      </c>
      <c r="E524" s="1">
        <f>BDD!D527</f>
        <v>0</v>
      </c>
      <c r="F524" s="1">
        <f>BDD!F527</f>
        <v>0</v>
      </c>
      <c r="G524" s="25">
        <f>'ButsMPG + Var'!$I$39*IF(C524="A",COUNTIF(BDD!H527:AR527,10)*'ButsMPG + Var'!$K$12+COUNTIF(BDD!H527:AR527,9)*'ButsMPG + Var'!$K$11+COUNTIF(BDD!H527:AR527,8)*'ButsMPG + Var'!$K$10+COUNTIF(BDD!H527:AR527,7)*'ButsMPG + Var'!$K$9+COUNTIF(BDD!H527:AR527,6)*'ButsMPG + Var'!$K$8+COUNTIF(BDD!H527:AR527,5)*'ButsMPG + Var'!$K$7+COUNTIF(BDD!H527:AR527,4)*'ButsMPG + Var'!$K$6+COUNTIF(BDD!H527:AR527,3)*'ButsMPG + Var'!$K$5+COUNTIF(BDD!H527:AR527,2)*'ButsMPG + Var'!$K$4+COUNTIF(BDD!H527:AR527,1)*'ButsMPG + Var'!$K$3,IF(C524="M",COUNTIF(BDD!H527:AR527,10)*'ButsMPG + Var'!$K$22+COUNTIF(BDD!H527:AR527,9)*'ButsMPG + Var'!$K$21+COUNTIF(BDD!H527:AR527,8)*'ButsMPG + Var'!$K$20+COUNTIF(BDD!H527:AR527,7)*'ButsMPG + Var'!$K$19+COUNTIF(BDD!H527:AR527,6)*'ButsMPG + Var'!$K$18+COUNTIF(BDD!H527:AR527,5)*'ButsMPG + Var'!$K$17+COUNTIF(BDD!H527:AR527,4)*'ButsMPG + Var'!$K$16+COUNTIF(BDD!H527:AR527,3)*'ButsMPG + Var'!$K$15+COUNTIF(BDD!H527:AR527,2)*'ButsMPG + Var'!$K$14+COUNTIF(BDD!H527:AR527,1)*'ButsMPG + Var'!$K$13,IF(C524="D",COUNTIF(BDD!H527:AR527,10)*'ButsMPG + Var'!$K$32+COUNTIF(BDD!H527:AR527,9)*'ButsMPG + Var'!$K$31+COUNTIF(BDD!H527:AR527,8)*'ButsMPG + Var'!$K$30+COUNTIF(BDD!H527:AR527,7)*'ButsMPG + Var'!$K$29+COUNTIF(BDD!H527:AR527,6)*'ButsMPG + Var'!$K$28+COUNTIF(BDD!H527:AR527,5)*'ButsMPG + Var'!$K$27+COUNTIF(BDD!H527:AR527,4)*'ButsMPG + Var'!$K$26+COUNTIF(BDD!H527:AR527,3)*'ButsMPG + Var'!$K$25+COUNTIF(BDD!H527:AR527,2)*'ButsMPG + Var'!$K$24+COUNTIF(BDD!H527:AR527,1)*'ButsMPG + Var'!$K$23,0)))</f>
        <v>0</v>
      </c>
      <c r="H524" s="25">
        <f t="shared" si="9"/>
        <v>0</v>
      </c>
      <c r="I524" s="25">
        <f>BDD!G527</f>
        <v>0</v>
      </c>
      <c r="J524" s="25">
        <f>SUMPRODUCT(BDD!H527:AS527,'ButsMPG + Var'!$B$46:$AM$46)</f>
        <v>0</v>
      </c>
      <c r="K524" s="25" t="e">
        <f>10*('ButsMPG + Var'!$H$37*J524/MAX(J:J)+'ButsMPG + Var'!$G$37*H524/MAX(H:H))</f>
        <v>#DIV/0!</v>
      </c>
      <c r="L524" s="1">
        <f>IF(ISNA(VLOOKUP(B524,PrixMini!$B$3:$E$573,4,FALSE)),1,VLOOKUP(B524,PrixMini!$B$3:$E$573,4,FALSE))</f>
        <v>1</v>
      </c>
      <c r="M524" s="25" t="e">
        <f>IF(ROUND(CalculCotation!$D$3*EXP(CalculCotation!$C$3*K524)-CalculCotation!$D$3+1,0)&gt;L524,ROUND(CalculCotation!$D$3*EXP(CalculCotation!$C$3*K524)-CalculCotation!$D$3+1,0),L524)</f>
        <v>#DIV/0!</v>
      </c>
    </row>
    <row r="525" spans="2:13" x14ac:dyDescent="0.3">
      <c r="B525" s="1">
        <f>BDD!C528</f>
        <v>0</v>
      </c>
      <c r="C525" s="1">
        <f>BDD!B528</f>
        <v>0</v>
      </c>
      <c r="D525" s="1">
        <f>BDD!A528</f>
        <v>0</v>
      </c>
      <c r="E525" s="1">
        <f>BDD!D528</f>
        <v>0</v>
      </c>
      <c r="F525" s="1">
        <f>BDD!F528</f>
        <v>0</v>
      </c>
      <c r="G525" s="25">
        <f>'ButsMPG + Var'!$I$39*IF(C525="A",COUNTIF(BDD!H528:AR528,10)*'ButsMPG + Var'!$K$12+COUNTIF(BDD!H528:AR528,9)*'ButsMPG + Var'!$K$11+COUNTIF(BDD!H528:AR528,8)*'ButsMPG + Var'!$K$10+COUNTIF(BDD!H528:AR528,7)*'ButsMPG + Var'!$K$9+COUNTIF(BDD!H528:AR528,6)*'ButsMPG + Var'!$K$8+COUNTIF(BDD!H528:AR528,5)*'ButsMPG + Var'!$K$7+COUNTIF(BDD!H528:AR528,4)*'ButsMPG + Var'!$K$6+COUNTIF(BDD!H528:AR528,3)*'ButsMPG + Var'!$K$5+COUNTIF(BDD!H528:AR528,2)*'ButsMPG + Var'!$K$4+COUNTIF(BDD!H528:AR528,1)*'ButsMPG + Var'!$K$3,IF(C525="M",COUNTIF(BDD!H528:AR528,10)*'ButsMPG + Var'!$K$22+COUNTIF(BDD!H528:AR528,9)*'ButsMPG + Var'!$K$21+COUNTIF(BDD!H528:AR528,8)*'ButsMPG + Var'!$K$20+COUNTIF(BDD!H528:AR528,7)*'ButsMPG + Var'!$K$19+COUNTIF(BDD!H528:AR528,6)*'ButsMPG + Var'!$K$18+COUNTIF(BDD!H528:AR528,5)*'ButsMPG + Var'!$K$17+COUNTIF(BDD!H528:AR528,4)*'ButsMPG + Var'!$K$16+COUNTIF(BDD!H528:AR528,3)*'ButsMPG + Var'!$K$15+COUNTIF(BDD!H528:AR528,2)*'ButsMPG + Var'!$K$14+COUNTIF(BDD!H528:AR528,1)*'ButsMPG + Var'!$K$13,IF(C525="D",COUNTIF(BDD!H528:AR528,10)*'ButsMPG + Var'!$K$32+COUNTIF(BDD!H528:AR528,9)*'ButsMPG + Var'!$K$31+COUNTIF(BDD!H528:AR528,8)*'ButsMPG + Var'!$K$30+COUNTIF(BDD!H528:AR528,7)*'ButsMPG + Var'!$K$29+COUNTIF(BDD!H528:AR528,6)*'ButsMPG + Var'!$K$28+COUNTIF(BDD!H528:AR528,5)*'ButsMPG + Var'!$K$27+COUNTIF(BDD!H528:AR528,4)*'ButsMPG + Var'!$K$26+COUNTIF(BDD!H528:AR528,3)*'ButsMPG + Var'!$K$25+COUNTIF(BDD!H528:AR528,2)*'ButsMPG + Var'!$K$24+COUNTIF(BDD!H528:AR528,1)*'ButsMPG + Var'!$K$23,0)))</f>
        <v>0</v>
      </c>
      <c r="H525" s="25">
        <f t="shared" si="9"/>
        <v>0</v>
      </c>
      <c r="I525" s="25">
        <f>BDD!G528</f>
        <v>0</v>
      </c>
      <c r="J525" s="25">
        <f>SUMPRODUCT(BDD!H528:AS528,'ButsMPG + Var'!$B$46:$AM$46)</f>
        <v>0</v>
      </c>
      <c r="K525" s="25" t="e">
        <f>10*('ButsMPG + Var'!$H$37*J525/MAX(J:J)+'ButsMPG + Var'!$G$37*H525/MAX(H:H))</f>
        <v>#DIV/0!</v>
      </c>
      <c r="L525" s="1">
        <f>IF(ISNA(VLOOKUP(B525,PrixMini!$B$3:$E$573,4,FALSE)),1,VLOOKUP(B525,PrixMini!$B$3:$E$573,4,FALSE))</f>
        <v>1</v>
      </c>
      <c r="M525" s="25" t="e">
        <f>IF(ROUND(CalculCotation!$D$3*EXP(CalculCotation!$C$3*K525)-CalculCotation!$D$3+1,0)&gt;L525,ROUND(CalculCotation!$D$3*EXP(CalculCotation!$C$3*K525)-CalculCotation!$D$3+1,0),L525)</f>
        <v>#DIV/0!</v>
      </c>
    </row>
    <row r="526" spans="2:13" x14ac:dyDescent="0.3">
      <c r="B526" s="1">
        <f>BDD!C529</f>
        <v>0</v>
      </c>
      <c r="C526" s="1">
        <f>BDD!B529</f>
        <v>0</v>
      </c>
      <c r="D526" s="1">
        <f>BDD!A529</f>
        <v>0</v>
      </c>
      <c r="E526" s="1">
        <f>BDD!D529</f>
        <v>0</v>
      </c>
      <c r="F526" s="1">
        <f>BDD!F529</f>
        <v>0</v>
      </c>
      <c r="G526" s="25">
        <f>'ButsMPG + Var'!$I$39*IF(C526="A",COUNTIF(BDD!H529:AR529,10)*'ButsMPG + Var'!$K$12+COUNTIF(BDD!H529:AR529,9)*'ButsMPG + Var'!$K$11+COUNTIF(BDD!H529:AR529,8)*'ButsMPG + Var'!$K$10+COUNTIF(BDD!H529:AR529,7)*'ButsMPG + Var'!$K$9+COUNTIF(BDD!H529:AR529,6)*'ButsMPG + Var'!$K$8+COUNTIF(BDD!H529:AR529,5)*'ButsMPG + Var'!$K$7+COUNTIF(BDD!H529:AR529,4)*'ButsMPG + Var'!$K$6+COUNTIF(BDD!H529:AR529,3)*'ButsMPG + Var'!$K$5+COUNTIF(BDD!H529:AR529,2)*'ButsMPG + Var'!$K$4+COUNTIF(BDD!H529:AR529,1)*'ButsMPG + Var'!$K$3,IF(C526="M",COUNTIF(BDD!H529:AR529,10)*'ButsMPG + Var'!$K$22+COUNTIF(BDD!H529:AR529,9)*'ButsMPG + Var'!$K$21+COUNTIF(BDD!H529:AR529,8)*'ButsMPG + Var'!$K$20+COUNTIF(BDD!H529:AR529,7)*'ButsMPG + Var'!$K$19+COUNTIF(BDD!H529:AR529,6)*'ButsMPG + Var'!$K$18+COUNTIF(BDD!H529:AR529,5)*'ButsMPG + Var'!$K$17+COUNTIF(BDD!H529:AR529,4)*'ButsMPG + Var'!$K$16+COUNTIF(BDD!H529:AR529,3)*'ButsMPG + Var'!$K$15+COUNTIF(BDD!H529:AR529,2)*'ButsMPG + Var'!$K$14+COUNTIF(BDD!H529:AR529,1)*'ButsMPG + Var'!$K$13,IF(C526="D",COUNTIF(BDD!H529:AR529,10)*'ButsMPG + Var'!$K$32+COUNTIF(BDD!H529:AR529,9)*'ButsMPG + Var'!$K$31+COUNTIF(BDD!H529:AR529,8)*'ButsMPG + Var'!$K$30+COUNTIF(BDD!H529:AR529,7)*'ButsMPG + Var'!$K$29+COUNTIF(BDD!H529:AR529,6)*'ButsMPG + Var'!$K$28+COUNTIF(BDD!H529:AR529,5)*'ButsMPG + Var'!$K$27+COUNTIF(BDD!H529:AR529,4)*'ButsMPG + Var'!$K$26+COUNTIF(BDD!H529:AR529,3)*'ButsMPG + Var'!$K$25+COUNTIF(BDD!H529:AR529,2)*'ButsMPG + Var'!$K$24+COUNTIF(BDD!H529:AR529,1)*'ButsMPG + Var'!$K$23,0)))</f>
        <v>0</v>
      </c>
      <c r="H526" s="25">
        <f t="shared" si="9"/>
        <v>0</v>
      </c>
      <c r="I526" s="25">
        <f>BDD!G529</f>
        <v>0</v>
      </c>
      <c r="J526" s="25">
        <f>SUMPRODUCT(BDD!H529:AS529,'ButsMPG + Var'!$B$46:$AM$46)</f>
        <v>0</v>
      </c>
      <c r="K526" s="25" t="e">
        <f>10*('ButsMPG + Var'!$H$37*J526/MAX(J:J)+'ButsMPG + Var'!$G$37*H526/MAX(H:H))</f>
        <v>#DIV/0!</v>
      </c>
      <c r="L526" s="1">
        <f>IF(ISNA(VLOOKUP(B526,PrixMini!$B$3:$E$573,4,FALSE)),1,VLOOKUP(B526,PrixMini!$B$3:$E$573,4,FALSE))</f>
        <v>1</v>
      </c>
      <c r="M526" s="25" t="e">
        <f>IF(ROUND(CalculCotation!$D$3*EXP(CalculCotation!$C$3*K526)-CalculCotation!$D$3+1,0)&gt;L526,ROUND(CalculCotation!$D$3*EXP(CalculCotation!$C$3*K526)-CalculCotation!$D$3+1,0),L526)</f>
        <v>#DIV/0!</v>
      </c>
    </row>
    <row r="527" spans="2:13" x14ac:dyDescent="0.3">
      <c r="B527" s="1">
        <f>BDD!C530</f>
        <v>0</v>
      </c>
      <c r="C527" s="1">
        <f>BDD!B530</f>
        <v>0</v>
      </c>
      <c r="D527" s="1">
        <f>BDD!A530</f>
        <v>0</v>
      </c>
      <c r="E527" s="1">
        <f>BDD!D530</f>
        <v>0</v>
      </c>
      <c r="F527" s="1">
        <f>BDD!F530</f>
        <v>0</v>
      </c>
      <c r="G527" s="25">
        <f>'ButsMPG + Var'!$I$39*IF(C527="A",COUNTIF(BDD!H530:AR530,10)*'ButsMPG + Var'!$K$12+COUNTIF(BDD!H530:AR530,9)*'ButsMPG + Var'!$K$11+COUNTIF(BDD!H530:AR530,8)*'ButsMPG + Var'!$K$10+COUNTIF(BDD!H530:AR530,7)*'ButsMPG + Var'!$K$9+COUNTIF(BDD!H530:AR530,6)*'ButsMPG + Var'!$K$8+COUNTIF(BDD!H530:AR530,5)*'ButsMPG + Var'!$K$7+COUNTIF(BDD!H530:AR530,4)*'ButsMPG + Var'!$K$6+COUNTIF(BDD!H530:AR530,3)*'ButsMPG + Var'!$K$5+COUNTIF(BDD!H530:AR530,2)*'ButsMPG + Var'!$K$4+COUNTIF(BDD!H530:AR530,1)*'ButsMPG + Var'!$K$3,IF(C527="M",COUNTIF(BDD!H530:AR530,10)*'ButsMPG + Var'!$K$22+COUNTIF(BDD!H530:AR530,9)*'ButsMPG + Var'!$K$21+COUNTIF(BDD!H530:AR530,8)*'ButsMPG + Var'!$K$20+COUNTIF(BDD!H530:AR530,7)*'ButsMPG + Var'!$K$19+COUNTIF(BDD!H530:AR530,6)*'ButsMPG + Var'!$K$18+COUNTIF(BDD!H530:AR530,5)*'ButsMPG + Var'!$K$17+COUNTIF(BDD!H530:AR530,4)*'ButsMPG + Var'!$K$16+COUNTIF(BDD!H530:AR530,3)*'ButsMPG + Var'!$K$15+COUNTIF(BDD!H530:AR530,2)*'ButsMPG + Var'!$K$14+COUNTIF(BDD!H530:AR530,1)*'ButsMPG + Var'!$K$13,IF(C527="D",COUNTIF(BDD!H530:AR530,10)*'ButsMPG + Var'!$K$32+COUNTIF(BDD!H530:AR530,9)*'ButsMPG + Var'!$K$31+COUNTIF(BDD!H530:AR530,8)*'ButsMPG + Var'!$K$30+COUNTIF(BDD!H530:AR530,7)*'ButsMPG + Var'!$K$29+COUNTIF(BDD!H530:AR530,6)*'ButsMPG + Var'!$K$28+COUNTIF(BDD!H530:AR530,5)*'ButsMPG + Var'!$K$27+COUNTIF(BDD!H530:AR530,4)*'ButsMPG + Var'!$K$26+COUNTIF(BDD!H530:AR530,3)*'ButsMPG + Var'!$K$25+COUNTIF(BDD!H530:AR530,2)*'ButsMPG + Var'!$K$24+COUNTIF(BDD!H530:AR530,1)*'ButsMPG + Var'!$K$23,0)))</f>
        <v>0</v>
      </c>
      <c r="H527" s="25">
        <f t="shared" si="9"/>
        <v>0</v>
      </c>
      <c r="I527" s="25">
        <f>BDD!G530</f>
        <v>0</v>
      </c>
      <c r="J527" s="25">
        <f>SUMPRODUCT(BDD!H530:AS530,'ButsMPG + Var'!$B$46:$AM$46)</f>
        <v>0</v>
      </c>
      <c r="K527" s="25" t="e">
        <f>10*('ButsMPG + Var'!$H$37*J527/MAX(J:J)+'ButsMPG + Var'!$G$37*H527/MAX(H:H))</f>
        <v>#DIV/0!</v>
      </c>
      <c r="L527" s="1">
        <f>IF(ISNA(VLOOKUP(B527,PrixMini!$B$3:$E$573,4,FALSE)),1,VLOOKUP(B527,PrixMini!$B$3:$E$573,4,FALSE))</f>
        <v>1</v>
      </c>
      <c r="M527" s="25" t="e">
        <f>IF(ROUND(CalculCotation!$D$3*EXP(CalculCotation!$C$3*K527)-CalculCotation!$D$3+1,0)&gt;L527,ROUND(CalculCotation!$D$3*EXP(CalculCotation!$C$3*K527)-CalculCotation!$D$3+1,0),L527)</f>
        <v>#DIV/0!</v>
      </c>
    </row>
    <row r="528" spans="2:13" x14ac:dyDescent="0.3">
      <c r="B528" s="1">
        <f>BDD!C531</f>
        <v>0</v>
      </c>
      <c r="C528" s="1">
        <f>BDD!B531</f>
        <v>0</v>
      </c>
      <c r="D528" s="1">
        <f>BDD!A531</f>
        <v>0</v>
      </c>
      <c r="E528" s="1">
        <f>BDD!D531</f>
        <v>0</v>
      </c>
      <c r="F528" s="1">
        <f>BDD!F531</f>
        <v>0</v>
      </c>
      <c r="G528" s="25">
        <f>'ButsMPG + Var'!$I$39*IF(C528="A",COUNTIF(BDD!H531:AR531,10)*'ButsMPG + Var'!$K$12+COUNTIF(BDD!H531:AR531,9)*'ButsMPG + Var'!$K$11+COUNTIF(BDD!H531:AR531,8)*'ButsMPG + Var'!$K$10+COUNTIF(BDD!H531:AR531,7)*'ButsMPG + Var'!$K$9+COUNTIF(BDD!H531:AR531,6)*'ButsMPG + Var'!$K$8+COUNTIF(BDD!H531:AR531,5)*'ButsMPG + Var'!$K$7+COUNTIF(BDD!H531:AR531,4)*'ButsMPG + Var'!$K$6+COUNTIF(BDD!H531:AR531,3)*'ButsMPG + Var'!$K$5+COUNTIF(BDD!H531:AR531,2)*'ButsMPG + Var'!$K$4+COUNTIF(BDD!H531:AR531,1)*'ButsMPG + Var'!$K$3,IF(C528="M",COUNTIF(BDD!H531:AR531,10)*'ButsMPG + Var'!$K$22+COUNTIF(BDD!H531:AR531,9)*'ButsMPG + Var'!$K$21+COUNTIF(BDD!H531:AR531,8)*'ButsMPG + Var'!$K$20+COUNTIF(BDD!H531:AR531,7)*'ButsMPG + Var'!$K$19+COUNTIF(BDD!H531:AR531,6)*'ButsMPG + Var'!$K$18+COUNTIF(BDD!H531:AR531,5)*'ButsMPG + Var'!$K$17+COUNTIF(BDD!H531:AR531,4)*'ButsMPG + Var'!$K$16+COUNTIF(BDD!H531:AR531,3)*'ButsMPG + Var'!$K$15+COUNTIF(BDD!H531:AR531,2)*'ButsMPG + Var'!$K$14+COUNTIF(BDD!H531:AR531,1)*'ButsMPG + Var'!$K$13,IF(C528="D",COUNTIF(BDD!H531:AR531,10)*'ButsMPG + Var'!$K$32+COUNTIF(BDD!H531:AR531,9)*'ButsMPG + Var'!$K$31+COUNTIF(BDD!H531:AR531,8)*'ButsMPG + Var'!$K$30+COUNTIF(BDD!H531:AR531,7)*'ButsMPG + Var'!$K$29+COUNTIF(BDD!H531:AR531,6)*'ButsMPG + Var'!$K$28+COUNTIF(BDD!H531:AR531,5)*'ButsMPG + Var'!$K$27+COUNTIF(BDD!H531:AR531,4)*'ButsMPG + Var'!$K$26+COUNTIF(BDD!H531:AR531,3)*'ButsMPG + Var'!$K$25+COUNTIF(BDD!H531:AR531,2)*'ButsMPG + Var'!$K$24+COUNTIF(BDD!H531:AR531,1)*'ButsMPG + Var'!$K$23,0)))</f>
        <v>0</v>
      </c>
      <c r="H528" s="25">
        <f t="shared" si="9"/>
        <v>0</v>
      </c>
      <c r="I528" s="25">
        <f>BDD!G531</f>
        <v>0</v>
      </c>
      <c r="J528" s="25">
        <f>SUMPRODUCT(BDD!H531:AS531,'ButsMPG + Var'!$B$46:$AM$46)</f>
        <v>0</v>
      </c>
      <c r="K528" s="25" t="e">
        <f>10*('ButsMPG + Var'!$H$37*J528/MAX(J:J)+'ButsMPG + Var'!$G$37*H528/MAX(H:H))</f>
        <v>#DIV/0!</v>
      </c>
      <c r="L528" s="1">
        <f>IF(ISNA(VLOOKUP(B528,PrixMini!$B$3:$E$573,4,FALSE)),1,VLOOKUP(B528,PrixMini!$B$3:$E$573,4,FALSE))</f>
        <v>1</v>
      </c>
      <c r="M528" s="25" t="e">
        <f>IF(ROUND(CalculCotation!$D$3*EXP(CalculCotation!$C$3*K528)-CalculCotation!$D$3+1,0)&gt;L528,ROUND(CalculCotation!$D$3*EXP(CalculCotation!$C$3*K528)-CalculCotation!$D$3+1,0),L528)</f>
        <v>#DIV/0!</v>
      </c>
    </row>
    <row r="529" spans="2:13" x14ac:dyDescent="0.3">
      <c r="B529" s="1">
        <f>BDD!C532</f>
        <v>0</v>
      </c>
      <c r="C529" s="1">
        <f>BDD!B532</f>
        <v>0</v>
      </c>
      <c r="D529" s="1">
        <f>BDD!A532</f>
        <v>0</v>
      </c>
      <c r="E529" s="1">
        <f>BDD!D532</f>
        <v>0</v>
      </c>
      <c r="F529" s="1">
        <f>BDD!F532</f>
        <v>0</v>
      </c>
      <c r="G529" s="25">
        <f>'ButsMPG + Var'!$I$39*IF(C529="A",COUNTIF(BDD!H532:AR532,10)*'ButsMPG + Var'!$K$12+COUNTIF(BDD!H532:AR532,9)*'ButsMPG + Var'!$K$11+COUNTIF(BDD!H532:AR532,8)*'ButsMPG + Var'!$K$10+COUNTIF(BDD!H532:AR532,7)*'ButsMPG + Var'!$K$9+COUNTIF(BDD!H532:AR532,6)*'ButsMPG + Var'!$K$8+COUNTIF(BDD!H532:AR532,5)*'ButsMPG + Var'!$K$7+COUNTIF(BDD!H532:AR532,4)*'ButsMPG + Var'!$K$6+COUNTIF(BDD!H532:AR532,3)*'ButsMPG + Var'!$K$5+COUNTIF(BDD!H532:AR532,2)*'ButsMPG + Var'!$K$4+COUNTIF(BDD!H532:AR532,1)*'ButsMPG + Var'!$K$3,IF(C529="M",COUNTIF(BDD!H532:AR532,10)*'ButsMPG + Var'!$K$22+COUNTIF(BDD!H532:AR532,9)*'ButsMPG + Var'!$K$21+COUNTIF(BDD!H532:AR532,8)*'ButsMPG + Var'!$K$20+COUNTIF(BDD!H532:AR532,7)*'ButsMPG + Var'!$K$19+COUNTIF(BDD!H532:AR532,6)*'ButsMPG + Var'!$K$18+COUNTIF(BDD!H532:AR532,5)*'ButsMPG + Var'!$K$17+COUNTIF(BDD!H532:AR532,4)*'ButsMPG + Var'!$K$16+COUNTIF(BDD!H532:AR532,3)*'ButsMPG + Var'!$K$15+COUNTIF(BDD!H532:AR532,2)*'ButsMPG + Var'!$K$14+COUNTIF(BDD!H532:AR532,1)*'ButsMPG + Var'!$K$13,IF(C529="D",COUNTIF(BDD!H532:AR532,10)*'ButsMPG + Var'!$K$32+COUNTIF(BDD!H532:AR532,9)*'ButsMPG + Var'!$K$31+COUNTIF(BDD!H532:AR532,8)*'ButsMPG + Var'!$K$30+COUNTIF(BDD!H532:AR532,7)*'ButsMPG + Var'!$K$29+COUNTIF(BDD!H532:AR532,6)*'ButsMPG + Var'!$K$28+COUNTIF(BDD!H532:AR532,5)*'ButsMPG + Var'!$K$27+COUNTIF(BDD!H532:AR532,4)*'ButsMPG + Var'!$K$26+COUNTIF(BDD!H532:AR532,3)*'ButsMPG + Var'!$K$25+COUNTIF(BDD!H532:AR532,2)*'ButsMPG + Var'!$K$24+COUNTIF(BDD!H532:AR532,1)*'ButsMPG + Var'!$K$23,0)))</f>
        <v>0</v>
      </c>
      <c r="H529" s="25">
        <f t="shared" si="9"/>
        <v>0</v>
      </c>
      <c r="I529" s="25">
        <f>BDD!G532</f>
        <v>0</v>
      </c>
      <c r="J529" s="25">
        <f>SUMPRODUCT(BDD!H532:AS532,'ButsMPG + Var'!$B$46:$AM$46)</f>
        <v>0</v>
      </c>
      <c r="K529" s="25" t="e">
        <f>10*('ButsMPG + Var'!$H$37*J529/MAX(J:J)+'ButsMPG + Var'!$G$37*H529/MAX(H:H))</f>
        <v>#DIV/0!</v>
      </c>
      <c r="L529" s="1">
        <f>IF(ISNA(VLOOKUP(B529,PrixMini!$B$3:$E$573,4,FALSE)),1,VLOOKUP(B529,PrixMini!$B$3:$E$573,4,FALSE))</f>
        <v>1</v>
      </c>
      <c r="M529" s="25" t="e">
        <f>IF(ROUND(CalculCotation!$D$3*EXP(CalculCotation!$C$3*K529)-CalculCotation!$D$3+1,0)&gt;L529,ROUND(CalculCotation!$D$3*EXP(CalculCotation!$C$3*K529)-CalculCotation!$D$3+1,0),L529)</f>
        <v>#DIV/0!</v>
      </c>
    </row>
    <row r="530" spans="2:13" x14ac:dyDescent="0.3">
      <c r="B530" s="1">
        <f>BDD!C533</f>
        <v>0</v>
      </c>
      <c r="C530" s="1">
        <f>BDD!B533</f>
        <v>0</v>
      </c>
      <c r="D530" s="1">
        <f>BDD!A533</f>
        <v>0</v>
      </c>
      <c r="E530" s="1">
        <f>BDD!D533</f>
        <v>0</v>
      </c>
      <c r="F530" s="1">
        <f>BDD!F533</f>
        <v>0</v>
      </c>
      <c r="G530" s="25">
        <f>'ButsMPG + Var'!$I$39*IF(C530="A",COUNTIF(BDD!H533:AR533,10)*'ButsMPG + Var'!$K$12+COUNTIF(BDD!H533:AR533,9)*'ButsMPG + Var'!$K$11+COUNTIF(BDD!H533:AR533,8)*'ButsMPG + Var'!$K$10+COUNTIF(BDD!H533:AR533,7)*'ButsMPG + Var'!$K$9+COUNTIF(BDD!H533:AR533,6)*'ButsMPG + Var'!$K$8+COUNTIF(BDD!H533:AR533,5)*'ButsMPG + Var'!$K$7+COUNTIF(BDD!H533:AR533,4)*'ButsMPG + Var'!$K$6+COUNTIF(BDD!H533:AR533,3)*'ButsMPG + Var'!$K$5+COUNTIF(BDD!H533:AR533,2)*'ButsMPG + Var'!$K$4+COUNTIF(BDD!H533:AR533,1)*'ButsMPG + Var'!$K$3,IF(C530="M",COUNTIF(BDD!H533:AR533,10)*'ButsMPG + Var'!$K$22+COUNTIF(BDD!H533:AR533,9)*'ButsMPG + Var'!$K$21+COUNTIF(BDD!H533:AR533,8)*'ButsMPG + Var'!$K$20+COUNTIF(BDD!H533:AR533,7)*'ButsMPG + Var'!$K$19+COUNTIF(BDD!H533:AR533,6)*'ButsMPG + Var'!$K$18+COUNTIF(BDD!H533:AR533,5)*'ButsMPG + Var'!$K$17+COUNTIF(BDD!H533:AR533,4)*'ButsMPG + Var'!$K$16+COUNTIF(BDD!H533:AR533,3)*'ButsMPG + Var'!$K$15+COUNTIF(BDD!H533:AR533,2)*'ButsMPG + Var'!$K$14+COUNTIF(BDD!H533:AR533,1)*'ButsMPG + Var'!$K$13,IF(C530="D",COUNTIF(BDD!H533:AR533,10)*'ButsMPG + Var'!$K$32+COUNTIF(BDD!H533:AR533,9)*'ButsMPG + Var'!$K$31+COUNTIF(BDD!H533:AR533,8)*'ButsMPG + Var'!$K$30+COUNTIF(BDD!H533:AR533,7)*'ButsMPG + Var'!$K$29+COUNTIF(BDD!H533:AR533,6)*'ButsMPG + Var'!$K$28+COUNTIF(BDD!H533:AR533,5)*'ButsMPG + Var'!$K$27+COUNTIF(BDD!H533:AR533,4)*'ButsMPG + Var'!$K$26+COUNTIF(BDD!H533:AR533,3)*'ButsMPG + Var'!$K$25+COUNTIF(BDD!H533:AR533,2)*'ButsMPG + Var'!$K$24+COUNTIF(BDD!H533:AR533,1)*'ButsMPG + Var'!$K$23,0)))</f>
        <v>0</v>
      </c>
      <c r="H530" s="25">
        <f t="shared" si="9"/>
        <v>0</v>
      </c>
      <c r="I530" s="25">
        <f>BDD!G533</f>
        <v>0</v>
      </c>
      <c r="J530" s="25">
        <f>SUMPRODUCT(BDD!H533:AS533,'ButsMPG + Var'!$B$46:$AM$46)</f>
        <v>0</v>
      </c>
      <c r="K530" s="25" t="e">
        <f>10*('ButsMPG + Var'!$H$37*J530/MAX(J:J)+'ButsMPG + Var'!$G$37*H530/MAX(H:H))</f>
        <v>#DIV/0!</v>
      </c>
      <c r="L530" s="1">
        <f>IF(ISNA(VLOOKUP(B530,PrixMini!$B$3:$E$573,4,FALSE)),1,VLOOKUP(B530,PrixMini!$B$3:$E$573,4,FALSE))</f>
        <v>1</v>
      </c>
      <c r="M530" s="25" t="e">
        <f>IF(ROUND(CalculCotation!$D$3*EXP(CalculCotation!$C$3*K530)-CalculCotation!$D$3+1,0)&gt;L530,ROUND(CalculCotation!$D$3*EXP(CalculCotation!$C$3*K530)-CalculCotation!$D$3+1,0),L530)</f>
        <v>#DIV/0!</v>
      </c>
    </row>
    <row r="531" spans="2:13" x14ac:dyDescent="0.3">
      <c r="B531" s="1">
        <f>BDD!C534</f>
        <v>0</v>
      </c>
      <c r="C531" s="1">
        <f>BDD!B534</f>
        <v>0</v>
      </c>
      <c r="D531" s="1">
        <f>BDD!A534</f>
        <v>0</v>
      </c>
      <c r="E531" s="1">
        <f>BDD!D534</f>
        <v>0</v>
      </c>
      <c r="F531" s="1">
        <f>BDD!F534</f>
        <v>0</v>
      </c>
      <c r="G531" s="25">
        <f>'ButsMPG + Var'!$I$39*IF(C531="A",COUNTIF(BDD!H534:AR534,10)*'ButsMPG + Var'!$K$12+COUNTIF(BDD!H534:AR534,9)*'ButsMPG + Var'!$K$11+COUNTIF(BDD!H534:AR534,8)*'ButsMPG + Var'!$K$10+COUNTIF(BDD!H534:AR534,7)*'ButsMPG + Var'!$K$9+COUNTIF(BDD!H534:AR534,6)*'ButsMPG + Var'!$K$8+COUNTIF(BDD!H534:AR534,5)*'ButsMPG + Var'!$K$7+COUNTIF(BDD!H534:AR534,4)*'ButsMPG + Var'!$K$6+COUNTIF(BDD!H534:AR534,3)*'ButsMPG + Var'!$K$5+COUNTIF(BDD!H534:AR534,2)*'ButsMPG + Var'!$K$4+COUNTIF(BDD!H534:AR534,1)*'ButsMPG + Var'!$K$3,IF(C531="M",COUNTIF(BDD!H534:AR534,10)*'ButsMPG + Var'!$K$22+COUNTIF(BDD!H534:AR534,9)*'ButsMPG + Var'!$K$21+COUNTIF(BDD!H534:AR534,8)*'ButsMPG + Var'!$K$20+COUNTIF(BDD!H534:AR534,7)*'ButsMPG + Var'!$K$19+COUNTIF(BDD!H534:AR534,6)*'ButsMPG + Var'!$K$18+COUNTIF(BDD!H534:AR534,5)*'ButsMPG + Var'!$K$17+COUNTIF(BDD!H534:AR534,4)*'ButsMPG + Var'!$K$16+COUNTIF(BDD!H534:AR534,3)*'ButsMPG + Var'!$K$15+COUNTIF(BDD!H534:AR534,2)*'ButsMPG + Var'!$K$14+COUNTIF(BDD!H534:AR534,1)*'ButsMPG + Var'!$K$13,IF(C531="D",COUNTIF(BDD!H534:AR534,10)*'ButsMPG + Var'!$K$32+COUNTIF(BDD!H534:AR534,9)*'ButsMPG + Var'!$K$31+COUNTIF(BDD!H534:AR534,8)*'ButsMPG + Var'!$K$30+COUNTIF(BDD!H534:AR534,7)*'ButsMPG + Var'!$K$29+COUNTIF(BDD!H534:AR534,6)*'ButsMPG + Var'!$K$28+COUNTIF(BDD!H534:AR534,5)*'ButsMPG + Var'!$K$27+COUNTIF(BDD!H534:AR534,4)*'ButsMPG + Var'!$K$26+COUNTIF(BDD!H534:AR534,3)*'ButsMPG + Var'!$K$25+COUNTIF(BDD!H534:AR534,2)*'ButsMPG + Var'!$K$24+COUNTIF(BDD!H534:AR534,1)*'ButsMPG + Var'!$K$23,0)))</f>
        <v>0</v>
      </c>
      <c r="H531" s="25">
        <f t="shared" si="9"/>
        <v>0</v>
      </c>
      <c r="I531" s="25">
        <f>BDD!G534</f>
        <v>0</v>
      </c>
      <c r="J531" s="25">
        <f>SUMPRODUCT(BDD!H534:AS534,'ButsMPG + Var'!$B$46:$AM$46)</f>
        <v>0</v>
      </c>
      <c r="K531" s="25" t="e">
        <f>10*('ButsMPG + Var'!$H$37*J531/MAX(J:J)+'ButsMPG + Var'!$G$37*H531/MAX(H:H))</f>
        <v>#DIV/0!</v>
      </c>
      <c r="L531" s="1">
        <f>IF(ISNA(VLOOKUP(B531,PrixMini!$B$3:$E$573,4,FALSE)),1,VLOOKUP(B531,PrixMini!$B$3:$E$573,4,FALSE))</f>
        <v>1</v>
      </c>
      <c r="M531" s="25" t="e">
        <f>IF(ROUND(CalculCotation!$D$3*EXP(CalculCotation!$C$3*K531)-CalculCotation!$D$3+1,0)&gt;L531,ROUND(CalculCotation!$D$3*EXP(CalculCotation!$C$3*K531)-CalculCotation!$D$3+1,0),L531)</f>
        <v>#DIV/0!</v>
      </c>
    </row>
    <row r="532" spans="2:13" x14ac:dyDescent="0.3">
      <c r="B532" s="1">
        <f>BDD!C535</f>
        <v>0</v>
      </c>
      <c r="C532" s="1">
        <f>BDD!B535</f>
        <v>0</v>
      </c>
      <c r="D532" s="1">
        <f>BDD!A535</f>
        <v>0</v>
      </c>
      <c r="E532" s="1">
        <f>BDD!D535</f>
        <v>0</v>
      </c>
      <c r="F532" s="1">
        <f>BDD!F535</f>
        <v>0</v>
      </c>
      <c r="G532" s="25">
        <f>'ButsMPG + Var'!$I$39*IF(C532="A",COUNTIF(BDD!H535:AR535,10)*'ButsMPG + Var'!$K$12+COUNTIF(BDD!H535:AR535,9)*'ButsMPG + Var'!$K$11+COUNTIF(BDD!H535:AR535,8)*'ButsMPG + Var'!$K$10+COUNTIF(BDD!H535:AR535,7)*'ButsMPG + Var'!$K$9+COUNTIF(BDD!H535:AR535,6)*'ButsMPG + Var'!$K$8+COUNTIF(BDD!H535:AR535,5)*'ButsMPG + Var'!$K$7+COUNTIF(BDD!H535:AR535,4)*'ButsMPG + Var'!$K$6+COUNTIF(BDD!H535:AR535,3)*'ButsMPG + Var'!$K$5+COUNTIF(BDD!H535:AR535,2)*'ButsMPG + Var'!$K$4+COUNTIF(BDD!H535:AR535,1)*'ButsMPG + Var'!$K$3,IF(C532="M",COUNTIF(BDD!H535:AR535,10)*'ButsMPG + Var'!$K$22+COUNTIF(BDD!H535:AR535,9)*'ButsMPG + Var'!$K$21+COUNTIF(BDD!H535:AR535,8)*'ButsMPG + Var'!$K$20+COUNTIF(BDD!H535:AR535,7)*'ButsMPG + Var'!$K$19+COUNTIF(BDD!H535:AR535,6)*'ButsMPG + Var'!$K$18+COUNTIF(BDD!H535:AR535,5)*'ButsMPG + Var'!$K$17+COUNTIF(BDD!H535:AR535,4)*'ButsMPG + Var'!$K$16+COUNTIF(BDD!H535:AR535,3)*'ButsMPG + Var'!$K$15+COUNTIF(BDD!H535:AR535,2)*'ButsMPG + Var'!$K$14+COUNTIF(BDD!H535:AR535,1)*'ButsMPG + Var'!$K$13,IF(C532="D",COUNTIF(BDD!H535:AR535,10)*'ButsMPG + Var'!$K$32+COUNTIF(BDD!H535:AR535,9)*'ButsMPG + Var'!$K$31+COUNTIF(BDD!H535:AR535,8)*'ButsMPG + Var'!$K$30+COUNTIF(BDD!H535:AR535,7)*'ButsMPG + Var'!$K$29+COUNTIF(BDD!H535:AR535,6)*'ButsMPG + Var'!$K$28+COUNTIF(BDD!H535:AR535,5)*'ButsMPG + Var'!$K$27+COUNTIF(BDD!H535:AR535,4)*'ButsMPG + Var'!$K$26+COUNTIF(BDD!H535:AR535,3)*'ButsMPG + Var'!$K$25+COUNTIF(BDD!H535:AR535,2)*'ButsMPG + Var'!$K$24+COUNTIF(BDD!H535:AR535,1)*'ButsMPG + Var'!$K$23,0)))</f>
        <v>0</v>
      </c>
      <c r="H532" s="25">
        <f t="shared" si="9"/>
        <v>0</v>
      </c>
      <c r="I532" s="25">
        <f>BDD!G535</f>
        <v>0</v>
      </c>
      <c r="J532" s="25">
        <f>SUMPRODUCT(BDD!H535:AS535,'ButsMPG + Var'!$B$46:$AM$46)</f>
        <v>0</v>
      </c>
      <c r="K532" s="25" t="e">
        <f>10*('ButsMPG + Var'!$H$37*J532/MAX(J:J)+'ButsMPG + Var'!$G$37*H532/MAX(H:H))</f>
        <v>#DIV/0!</v>
      </c>
      <c r="L532" s="1">
        <f>IF(ISNA(VLOOKUP(B532,PrixMini!$B$3:$E$573,4,FALSE)),1,VLOOKUP(B532,PrixMini!$B$3:$E$573,4,FALSE))</f>
        <v>1</v>
      </c>
      <c r="M532" s="25" t="e">
        <f>IF(ROUND(CalculCotation!$D$3*EXP(CalculCotation!$C$3*K532)-CalculCotation!$D$3+1,0)&gt;L532,ROUND(CalculCotation!$D$3*EXP(CalculCotation!$C$3*K532)-CalculCotation!$D$3+1,0),L532)</f>
        <v>#DIV/0!</v>
      </c>
    </row>
    <row r="533" spans="2:13" x14ac:dyDescent="0.3">
      <c r="B533" s="1">
        <f>BDD!C536</f>
        <v>0</v>
      </c>
      <c r="C533" s="1">
        <f>BDD!B536</f>
        <v>0</v>
      </c>
      <c r="D533" s="1">
        <f>BDD!A536</f>
        <v>0</v>
      </c>
      <c r="E533" s="1">
        <f>BDD!D536</f>
        <v>0</v>
      </c>
      <c r="F533" s="1">
        <f>BDD!F536</f>
        <v>0</v>
      </c>
      <c r="G533" s="25">
        <f>'ButsMPG + Var'!$I$39*IF(C533="A",COUNTIF(BDD!H536:AR536,10)*'ButsMPG + Var'!$K$12+COUNTIF(BDD!H536:AR536,9)*'ButsMPG + Var'!$K$11+COUNTIF(BDD!H536:AR536,8)*'ButsMPG + Var'!$K$10+COUNTIF(BDD!H536:AR536,7)*'ButsMPG + Var'!$K$9+COUNTIF(BDD!H536:AR536,6)*'ButsMPG + Var'!$K$8+COUNTIF(BDD!H536:AR536,5)*'ButsMPG + Var'!$K$7+COUNTIF(BDD!H536:AR536,4)*'ButsMPG + Var'!$K$6+COUNTIF(BDD!H536:AR536,3)*'ButsMPG + Var'!$K$5+COUNTIF(BDD!H536:AR536,2)*'ButsMPG + Var'!$K$4+COUNTIF(BDD!H536:AR536,1)*'ButsMPG + Var'!$K$3,IF(C533="M",COUNTIF(BDD!H536:AR536,10)*'ButsMPG + Var'!$K$22+COUNTIF(BDD!H536:AR536,9)*'ButsMPG + Var'!$K$21+COUNTIF(BDD!H536:AR536,8)*'ButsMPG + Var'!$K$20+COUNTIF(BDD!H536:AR536,7)*'ButsMPG + Var'!$K$19+COUNTIF(BDD!H536:AR536,6)*'ButsMPG + Var'!$K$18+COUNTIF(BDD!H536:AR536,5)*'ButsMPG + Var'!$K$17+COUNTIF(BDD!H536:AR536,4)*'ButsMPG + Var'!$K$16+COUNTIF(BDD!H536:AR536,3)*'ButsMPG + Var'!$K$15+COUNTIF(BDD!H536:AR536,2)*'ButsMPG + Var'!$K$14+COUNTIF(BDD!H536:AR536,1)*'ButsMPG + Var'!$K$13,IF(C533="D",COUNTIF(BDD!H536:AR536,10)*'ButsMPG + Var'!$K$32+COUNTIF(BDD!H536:AR536,9)*'ButsMPG + Var'!$K$31+COUNTIF(BDD!H536:AR536,8)*'ButsMPG + Var'!$K$30+COUNTIF(BDD!H536:AR536,7)*'ButsMPG + Var'!$K$29+COUNTIF(BDD!H536:AR536,6)*'ButsMPG + Var'!$K$28+COUNTIF(BDD!H536:AR536,5)*'ButsMPG + Var'!$K$27+COUNTIF(BDD!H536:AR536,4)*'ButsMPG + Var'!$K$26+COUNTIF(BDD!H536:AR536,3)*'ButsMPG + Var'!$K$25+COUNTIF(BDD!H536:AR536,2)*'ButsMPG + Var'!$K$24+COUNTIF(BDD!H536:AR536,1)*'ButsMPG + Var'!$K$23,0)))</f>
        <v>0</v>
      </c>
      <c r="H533" s="25">
        <f t="shared" si="9"/>
        <v>0</v>
      </c>
      <c r="I533" s="25">
        <f>BDD!G536</f>
        <v>0</v>
      </c>
      <c r="J533" s="25">
        <f>SUMPRODUCT(BDD!H536:AS536,'ButsMPG + Var'!$B$46:$AM$46)</f>
        <v>0</v>
      </c>
      <c r="K533" s="25" t="e">
        <f>10*('ButsMPG + Var'!$H$37*J533/MAX(J:J)+'ButsMPG + Var'!$G$37*H533/MAX(H:H))</f>
        <v>#DIV/0!</v>
      </c>
      <c r="L533" s="1">
        <f>IF(ISNA(VLOOKUP(B533,PrixMini!$B$3:$E$573,4,FALSE)),1,VLOOKUP(B533,PrixMini!$B$3:$E$573,4,FALSE))</f>
        <v>1</v>
      </c>
      <c r="M533" s="25" t="e">
        <f>IF(ROUND(CalculCotation!$D$3*EXP(CalculCotation!$C$3*K533)-CalculCotation!$D$3+1,0)&gt;L533,ROUND(CalculCotation!$D$3*EXP(CalculCotation!$C$3*K533)-CalculCotation!$D$3+1,0),L533)</f>
        <v>#DIV/0!</v>
      </c>
    </row>
    <row r="534" spans="2:13" x14ac:dyDescent="0.3">
      <c r="B534" s="1">
        <f>BDD!C537</f>
        <v>0</v>
      </c>
      <c r="C534" s="1">
        <f>BDD!B537</f>
        <v>0</v>
      </c>
      <c r="D534" s="1">
        <f>BDD!A537</f>
        <v>0</v>
      </c>
      <c r="E534" s="1">
        <f>BDD!D537</f>
        <v>0</v>
      </c>
      <c r="F534" s="1">
        <f>BDD!F537</f>
        <v>0</v>
      </c>
      <c r="G534" s="25">
        <f>'ButsMPG + Var'!$I$39*IF(C534="A",COUNTIF(BDD!H537:AR537,10)*'ButsMPG + Var'!$K$12+COUNTIF(BDD!H537:AR537,9)*'ButsMPG + Var'!$K$11+COUNTIF(BDD!H537:AR537,8)*'ButsMPG + Var'!$K$10+COUNTIF(BDD!H537:AR537,7)*'ButsMPG + Var'!$K$9+COUNTIF(BDD!H537:AR537,6)*'ButsMPG + Var'!$K$8+COUNTIF(BDD!H537:AR537,5)*'ButsMPG + Var'!$K$7+COUNTIF(BDD!H537:AR537,4)*'ButsMPG + Var'!$K$6+COUNTIF(BDD!H537:AR537,3)*'ButsMPG + Var'!$K$5+COUNTIF(BDD!H537:AR537,2)*'ButsMPG + Var'!$K$4+COUNTIF(BDD!H537:AR537,1)*'ButsMPG + Var'!$K$3,IF(C534="M",COUNTIF(BDD!H537:AR537,10)*'ButsMPG + Var'!$K$22+COUNTIF(BDD!H537:AR537,9)*'ButsMPG + Var'!$K$21+COUNTIF(BDD!H537:AR537,8)*'ButsMPG + Var'!$K$20+COUNTIF(BDD!H537:AR537,7)*'ButsMPG + Var'!$K$19+COUNTIF(BDD!H537:AR537,6)*'ButsMPG + Var'!$K$18+COUNTIF(BDD!H537:AR537,5)*'ButsMPG + Var'!$K$17+COUNTIF(BDD!H537:AR537,4)*'ButsMPG + Var'!$K$16+COUNTIF(BDD!H537:AR537,3)*'ButsMPG + Var'!$K$15+COUNTIF(BDD!H537:AR537,2)*'ButsMPG + Var'!$K$14+COUNTIF(BDD!H537:AR537,1)*'ButsMPG + Var'!$K$13,IF(C534="D",COUNTIF(BDD!H537:AR537,10)*'ButsMPG + Var'!$K$32+COUNTIF(BDD!H537:AR537,9)*'ButsMPG + Var'!$K$31+COUNTIF(BDD!H537:AR537,8)*'ButsMPG + Var'!$K$30+COUNTIF(BDD!H537:AR537,7)*'ButsMPG + Var'!$K$29+COUNTIF(BDD!H537:AR537,6)*'ButsMPG + Var'!$K$28+COUNTIF(BDD!H537:AR537,5)*'ButsMPG + Var'!$K$27+COUNTIF(BDD!H537:AR537,4)*'ButsMPG + Var'!$K$26+COUNTIF(BDD!H537:AR537,3)*'ButsMPG + Var'!$K$25+COUNTIF(BDD!H537:AR537,2)*'ButsMPG + Var'!$K$24+COUNTIF(BDD!H537:AR537,1)*'ButsMPG + Var'!$K$23,0)))</f>
        <v>0</v>
      </c>
      <c r="H534" s="25">
        <f t="shared" si="9"/>
        <v>0</v>
      </c>
      <c r="I534" s="25">
        <f>BDD!G537</f>
        <v>0</v>
      </c>
      <c r="J534" s="25">
        <f>SUMPRODUCT(BDD!H537:AS537,'ButsMPG + Var'!$B$46:$AM$46)</f>
        <v>0</v>
      </c>
      <c r="K534" s="25" t="e">
        <f>10*('ButsMPG + Var'!$H$37*J534/MAX(J:J)+'ButsMPG + Var'!$G$37*H534/MAX(H:H))</f>
        <v>#DIV/0!</v>
      </c>
      <c r="L534" s="1">
        <f>IF(ISNA(VLOOKUP(B534,PrixMini!$B$3:$E$573,4,FALSE)),1,VLOOKUP(B534,PrixMini!$B$3:$E$573,4,FALSE))</f>
        <v>1</v>
      </c>
      <c r="M534" s="25" t="e">
        <f>IF(ROUND(CalculCotation!$D$3*EXP(CalculCotation!$C$3*K534)-CalculCotation!$D$3+1,0)&gt;L534,ROUND(CalculCotation!$D$3*EXP(CalculCotation!$C$3*K534)-CalculCotation!$D$3+1,0),L534)</f>
        <v>#DIV/0!</v>
      </c>
    </row>
    <row r="535" spans="2:13" x14ac:dyDescent="0.3">
      <c r="B535" s="1">
        <f>BDD!C538</f>
        <v>0</v>
      </c>
      <c r="C535" s="1">
        <f>BDD!B538</f>
        <v>0</v>
      </c>
      <c r="D535" s="1">
        <f>BDD!A538</f>
        <v>0</v>
      </c>
      <c r="E535" s="1">
        <f>BDD!D538</f>
        <v>0</v>
      </c>
      <c r="F535" s="1">
        <f>BDD!F538</f>
        <v>0</v>
      </c>
      <c r="G535" s="25">
        <f>'ButsMPG + Var'!$I$39*IF(C535="A",COUNTIF(BDD!H538:AR538,10)*'ButsMPG + Var'!$K$12+COUNTIF(BDD!H538:AR538,9)*'ButsMPG + Var'!$K$11+COUNTIF(BDD!H538:AR538,8)*'ButsMPG + Var'!$K$10+COUNTIF(BDD!H538:AR538,7)*'ButsMPG + Var'!$K$9+COUNTIF(BDD!H538:AR538,6)*'ButsMPG + Var'!$K$8+COUNTIF(BDD!H538:AR538,5)*'ButsMPG + Var'!$K$7+COUNTIF(BDD!H538:AR538,4)*'ButsMPG + Var'!$K$6+COUNTIF(BDD!H538:AR538,3)*'ButsMPG + Var'!$K$5+COUNTIF(BDD!H538:AR538,2)*'ButsMPG + Var'!$K$4+COUNTIF(BDD!H538:AR538,1)*'ButsMPG + Var'!$K$3,IF(C535="M",COUNTIF(BDD!H538:AR538,10)*'ButsMPG + Var'!$K$22+COUNTIF(BDD!H538:AR538,9)*'ButsMPG + Var'!$K$21+COUNTIF(BDD!H538:AR538,8)*'ButsMPG + Var'!$K$20+COUNTIF(BDD!H538:AR538,7)*'ButsMPG + Var'!$K$19+COUNTIF(BDD!H538:AR538,6)*'ButsMPG + Var'!$K$18+COUNTIF(BDD!H538:AR538,5)*'ButsMPG + Var'!$K$17+COUNTIF(BDD!H538:AR538,4)*'ButsMPG + Var'!$K$16+COUNTIF(BDD!H538:AR538,3)*'ButsMPG + Var'!$K$15+COUNTIF(BDD!H538:AR538,2)*'ButsMPG + Var'!$K$14+COUNTIF(BDD!H538:AR538,1)*'ButsMPG + Var'!$K$13,IF(C535="D",COUNTIF(BDD!H538:AR538,10)*'ButsMPG + Var'!$K$32+COUNTIF(BDD!H538:AR538,9)*'ButsMPG + Var'!$K$31+COUNTIF(BDD!H538:AR538,8)*'ButsMPG + Var'!$K$30+COUNTIF(BDD!H538:AR538,7)*'ButsMPG + Var'!$K$29+COUNTIF(BDD!H538:AR538,6)*'ButsMPG + Var'!$K$28+COUNTIF(BDD!H538:AR538,5)*'ButsMPG + Var'!$K$27+COUNTIF(BDD!H538:AR538,4)*'ButsMPG + Var'!$K$26+COUNTIF(BDD!H538:AR538,3)*'ButsMPG + Var'!$K$25+COUNTIF(BDD!H538:AR538,2)*'ButsMPG + Var'!$K$24+COUNTIF(BDD!H538:AR538,1)*'ButsMPG + Var'!$K$23,0)))</f>
        <v>0</v>
      </c>
      <c r="H535" s="25">
        <f t="shared" si="9"/>
        <v>0</v>
      </c>
      <c r="I535" s="25">
        <f>BDD!G538</f>
        <v>0</v>
      </c>
      <c r="J535" s="25">
        <f>SUMPRODUCT(BDD!H538:AS538,'ButsMPG + Var'!$B$46:$AM$46)</f>
        <v>0</v>
      </c>
      <c r="K535" s="25" t="e">
        <f>10*('ButsMPG + Var'!$H$37*J535/MAX(J:J)+'ButsMPG + Var'!$G$37*H535/MAX(H:H))</f>
        <v>#DIV/0!</v>
      </c>
      <c r="L535" s="1">
        <f>IF(ISNA(VLOOKUP(B535,PrixMini!$B$3:$E$573,4,FALSE)),1,VLOOKUP(B535,PrixMini!$B$3:$E$573,4,FALSE))</f>
        <v>1</v>
      </c>
      <c r="M535" s="25" t="e">
        <f>IF(ROUND(CalculCotation!$D$3*EXP(CalculCotation!$C$3*K535)-CalculCotation!$D$3+1,0)&gt;L535,ROUND(CalculCotation!$D$3*EXP(CalculCotation!$C$3*K535)-CalculCotation!$D$3+1,0),L535)</f>
        <v>#DIV/0!</v>
      </c>
    </row>
    <row r="536" spans="2:13" x14ac:dyDescent="0.3">
      <c r="B536" s="1">
        <f>BDD!C539</f>
        <v>0</v>
      </c>
      <c r="C536" s="1">
        <f>BDD!B539</f>
        <v>0</v>
      </c>
      <c r="D536" s="1">
        <f>BDD!A539</f>
        <v>0</v>
      </c>
      <c r="E536" s="1">
        <f>BDD!D539</f>
        <v>0</v>
      </c>
      <c r="F536" s="1">
        <f>BDD!F539</f>
        <v>0</v>
      </c>
      <c r="G536" s="25">
        <f>'ButsMPG + Var'!$I$39*IF(C536="A",COUNTIF(BDD!H539:AR539,10)*'ButsMPG + Var'!$K$12+COUNTIF(BDD!H539:AR539,9)*'ButsMPG + Var'!$K$11+COUNTIF(BDD!H539:AR539,8)*'ButsMPG + Var'!$K$10+COUNTIF(BDD!H539:AR539,7)*'ButsMPG + Var'!$K$9+COUNTIF(BDD!H539:AR539,6)*'ButsMPG + Var'!$K$8+COUNTIF(BDD!H539:AR539,5)*'ButsMPG + Var'!$K$7+COUNTIF(BDD!H539:AR539,4)*'ButsMPG + Var'!$K$6+COUNTIF(BDD!H539:AR539,3)*'ButsMPG + Var'!$K$5+COUNTIF(BDD!H539:AR539,2)*'ButsMPG + Var'!$K$4+COUNTIF(BDD!H539:AR539,1)*'ButsMPG + Var'!$K$3,IF(C536="M",COUNTIF(BDD!H539:AR539,10)*'ButsMPG + Var'!$K$22+COUNTIF(BDD!H539:AR539,9)*'ButsMPG + Var'!$K$21+COUNTIF(BDD!H539:AR539,8)*'ButsMPG + Var'!$K$20+COUNTIF(BDD!H539:AR539,7)*'ButsMPG + Var'!$K$19+COUNTIF(BDD!H539:AR539,6)*'ButsMPG + Var'!$K$18+COUNTIF(BDD!H539:AR539,5)*'ButsMPG + Var'!$K$17+COUNTIF(BDD!H539:AR539,4)*'ButsMPG + Var'!$K$16+COUNTIF(BDD!H539:AR539,3)*'ButsMPG + Var'!$K$15+COUNTIF(BDD!H539:AR539,2)*'ButsMPG + Var'!$K$14+COUNTIF(BDD!H539:AR539,1)*'ButsMPG + Var'!$K$13,IF(C536="D",COUNTIF(BDD!H539:AR539,10)*'ButsMPG + Var'!$K$32+COUNTIF(BDD!H539:AR539,9)*'ButsMPG + Var'!$K$31+COUNTIF(BDD!H539:AR539,8)*'ButsMPG + Var'!$K$30+COUNTIF(BDD!H539:AR539,7)*'ButsMPG + Var'!$K$29+COUNTIF(BDD!H539:AR539,6)*'ButsMPG + Var'!$K$28+COUNTIF(BDD!H539:AR539,5)*'ButsMPG + Var'!$K$27+COUNTIF(BDD!H539:AR539,4)*'ButsMPG + Var'!$K$26+COUNTIF(BDD!H539:AR539,3)*'ButsMPG + Var'!$K$25+COUNTIF(BDD!H539:AR539,2)*'ButsMPG + Var'!$K$24+COUNTIF(BDD!H539:AR539,1)*'ButsMPG + Var'!$K$23,0)))</f>
        <v>0</v>
      </c>
      <c r="H536" s="25">
        <f t="shared" si="9"/>
        <v>0</v>
      </c>
      <c r="I536" s="25">
        <f>BDD!G539</f>
        <v>0</v>
      </c>
      <c r="J536" s="25">
        <f>SUMPRODUCT(BDD!H539:AS539,'ButsMPG + Var'!$B$46:$AM$46)</f>
        <v>0</v>
      </c>
      <c r="K536" s="25" t="e">
        <f>10*('ButsMPG + Var'!$H$37*J536/MAX(J:J)+'ButsMPG + Var'!$G$37*H536/MAX(H:H))</f>
        <v>#DIV/0!</v>
      </c>
      <c r="L536" s="1">
        <f>IF(ISNA(VLOOKUP(B536,PrixMini!$B$3:$E$573,4,FALSE)),1,VLOOKUP(B536,PrixMini!$B$3:$E$573,4,FALSE))</f>
        <v>1</v>
      </c>
      <c r="M536" s="25" t="e">
        <f>IF(ROUND(CalculCotation!$D$3*EXP(CalculCotation!$C$3*K536)-CalculCotation!$D$3+1,0)&gt;L536,ROUND(CalculCotation!$D$3*EXP(CalculCotation!$C$3*K536)-CalculCotation!$D$3+1,0),L536)</f>
        <v>#DIV/0!</v>
      </c>
    </row>
    <row r="537" spans="2:13" x14ac:dyDescent="0.3">
      <c r="B537" s="1">
        <f>BDD!C540</f>
        <v>0</v>
      </c>
      <c r="C537" s="1">
        <f>BDD!B540</f>
        <v>0</v>
      </c>
      <c r="D537" s="1">
        <f>BDD!A540</f>
        <v>0</v>
      </c>
      <c r="E537" s="1">
        <f>BDD!D540</f>
        <v>0</v>
      </c>
      <c r="F537" s="1">
        <f>BDD!F540</f>
        <v>0</v>
      </c>
      <c r="G537" s="25">
        <f>'ButsMPG + Var'!$I$39*IF(C537="A",COUNTIF(BDD!H540:AR540,10)*'ButsMPG + Var'!$K$12+COUNTIF(BDD!H540:AR540,9)*'ButsMPG + Var'!$K$11+COUNTIF(BDD!H540:AR540,8)*'ButsMPG + Var'!$K$10+COUNTIF(BDD!H540:AR540,7)*'ButsMPG + Var'!$K$9+COUNTIF(BDD!H540:AR540,6)*'ButsMPG + Var'!$K$8+COUNTIF(BDD!H540:AR540,5)*'ButsMPG + Var'!$K$7+COUNTIF(BDD!H540:AR540,4)*'ButsMPG + Var'!$K$6+COUNTIF(BDD!H540:AR540,3)*'ButsMPG + Var'!$K$5+COUNTIF(BDD!H540:AR540,2)*'ButsMPG + Var'!$K$4+COUNTIF(BDD!H540:AR540,1)*'ButsMPG + Var'!$K$3,IF(C537="M",COUNTIF(BDD!H540:AR540,10)*'ButsMPG + Var'!$K$22+COUNTIF(BDD!H540:AR540,9)*'ButsMPG + Var'!$K$21+COUNTIF(BDD!H540:AR540,8)*'ButsMPG + Var'!$K$20+COUNTIF(BDD!H540:AR540,7)*'ButsMPG + Var'!$K$19+COUNTIF(BDD!H540:AR540,6)*'ButsMPG + Var'!$K$18+COUNTIF(BDD!H540:AR540,5)*'ButsMPG + Var'!$K$17+COUNTIF(BDD!H540:AR540,4)*'ButsMPG + Var'!$K$16+COUNTIF(BDD!H540:AR540,3)*'ButsMPG + Var'!$K$15+COUNTIF(BDD!H540:AR540,2)*'ButsMPG + Var'!$K$14+COUNTIF(BDD!H540:AR540,1)*'ButsMPG + Var'!$K$13,IF(C537="D",COUNTIF(BDD!H540:AR540,10)*'ButsMPG + Var'!$K$32+COUNTIF(BDD!H540:AR540,9)*'ButsMPG + Var'!$K$31+COUNTIF(BDD!H540:AR540,8)*'ButsMPG + Var'!$K$30+COUNTIF(BDD!H540:AR540,7)*'ButsMPG + Var'!$K$29+COUNTIF(BDD!H540:AR540,6)*'ButsMPG + Var'!$K$28+COUNTIF(BDD!H540:AR540,5)*'ButsMPG + Var'!$K$27+COUNTIF(BDD!H540:AR540,4)*'ButsMPG + Var'!$K$26+COUNTIF(BDD!H540:AR540,3)*'ButsMPG + Var'!$K$25+COUNTIF(BDD!H540:AR540,2)*'ButsMPG + Var'!$K$24+COUNTIF(BDD!H540:AR540,1)*'ButsMPG + Var'!$K$23,0)))</f>
        <v>0</v>
      </c>
      <c r="H537" s="25">
        <f t="shared" si="9"/>
        <v>0</v>
      </c>
      <c r="I537" s="25">
        <f>BDD!G540</f>
        <v>0</v>
      </c>
      <c r="J537" s="25">
        <f>SUMPRODUCT(BDD!H540:AS540,'ButsMPG + Var'!$B$46:$AM$46)</f>
        <v>0</v>
      </c>
      <c r="K537" s="25" t="e">
        <f>10*('ButsMPG + Var'!$H$37*J537/MAX(J:J)+'ButsMPG + Var'!$G$37*H537/MAX(H:H))</f>
        <v>#DIV/0!</v>
      </c>
      <c r="L537" s="1">
        <f>IF(ISNA(VLOOKUP(B537,PrixMini!$B$3:$E$573,4,FALSE)),1,VLOOKUP(B537,PrixMini!$B$3:$E$573,4,FALSE))</f>
        <v>1</v>
      </c>
      <c r="M537" s="25" t="e">
        <f>IF(ROUND(CalculCotation!$D$3*EXP(CalculCotation!$C$3*K537)-CalculCotation!$D$3+1,0)&gt;L537,ROUND(CalculCotation!$D$3*EXP(CalculCotation!$C$3*K537)-CalculCotation!$D$3+1,0),L537)</f>
        <v>#DIV/0!</v>
      </c>
    </row>
    <row r="538" spans="2:13" x14ac:dyDescent="0.3">
      <c r="B538" s="1">
        <f>BDD!C541</f>
        <v>0</v>
      </c>
      <c r="C538" s="1">
        <f>BDD!B541</f>
        <v>0</v>
      </c>
      <c r="D538" s="1">
        <f>BDD!A541</f>
        <v>0</v>
      </c>
      <c r="E538" s="1">
        <f>BDD!D541</f>
        <v>0</v>
      </c>
      <c r="F538" s="1">
        <f>BDD!F541</f>
        <v>0</v>
      </c>
      <c r="G538" s="25">
        <f>'ButsMPG + Var'!$I$39*IF(C538="A",COUNTIF(BDD!H541:AR541,10)*'ButsMPG + Var'!$K$12+COUNTIF(BDD!H541:AR541,9)*'ButsMPG + Var'!$K$11+COUNTIF(BDD!H541:AR541,8)*'ButsMPG + Var'!$K$10+COUNTIF(BDD!H541:AR541,7)*'ButsMPG + Var'!$K$9+COUNTIF(BDD!H541:AR541,6)*'ButsMPG + Var'!$K$8+COUNTIF(BDD!H541:AR541,5)*'ButsMPG + Var'!$K$7+COUNTIF(BDD!H541:AR541,4)*'ButsMPG + Var'!$K$6+COUNTIF(BDD!H541:AR541,3)*'ButsMPG + Var'!$K$5+COUNTIF(BDD!H541:AR541,2)*'ButsMPG + Var'!$K$4+COUNTIF(BDD!H541:AR541,1)*'ButsMPG + Var'!$K$3,IF(C538="M",COUNTIF(BDD!H541:AR541,10)*'ButsMPG + Var'!$K$22+COUNTIF(BDD!H541:AR541,9)*'ButsMPG + Var'!$K$21+COUNTIF(BDD!H541:AR541,8)*'ButsMPG + Var'!$K$20+COUNTIF(BDD!H541:AR541,7)*'ButsMPG + Var'!$K$19+COUNTIF(BDD!H541:AR541,6)*'ButsMPG + Var'!$K$18+COUNTIF(BDD!H541:AR541,5)*'ButsMPG + Var'!$K$17+COUNTIF(BDD!H541:AR541,4)*'ButsMPG + Var'!$K$16+COUNTIF(BDD!H541:AR541,3)*'ButsMPG + Var'!$K$15+COUNTIF(BDD!H541:AR541,2)*'ButsMPG + Var'!$K$14+COUNTIF(BDD!H541:AR541,1)*'ButsMPG + Var'!$K$13,IF(C538="D",COUNTIF(BDD!H541:AR541,10)*'ButsMPG + Var'!$K$32+COUNTIF(BDD!H541:AR541,9)*'ButsMPG + Var'!$K$31+COUNTIF(BDD!H541:AR541,8)*'ButsMPG + Var'!$K$30+COUNTIF(BDD!H541:AR541,7)*'ButsMPG + Var'!$K$29+COUNTIF(BDD!H541:AR541,6)*'ButsMPG + Var'!$K$28+COUNTIF(BDD!H541:AR541,5)*'ButsMPG + Var'!$K$27+COUNTIF(BDD!H541:AR541,4)*'ButsMPG + Var'!$K$26+COUNTIF(BDD!H541:AR541,3)*'ButsMPG + Var'!$K$25+COUNTIF(BDD!H541:AR541,2)*'ButsMPG + Var'!$K$24+COUNTIF(BDD!H541:AR541,1)*'ButsMPG + Var'!$K$23,0)))</f>
        <v>0</v>
      </c>
      <c r="H538" s="25">
        <f t="shared" si="9"/>
        <v>0</v>
      </c>
      <c r="I538" s="25">
        <f>BDD!G541</f>
        <v>0</v>
      </c>
      <c r="J538" s="25">
        <f>SUMPRODUCT(BDD!H541:AS541,'ButsMPG + Var'!$B$46:$AM$46)</f>
        <v>0</v>
      </c>
      <c r="K538" s="25" t="e">
        <f>10*('ButsMPG + Var'!$H$37*J538/MAX(J:J)+'ButsMPG + Var'!$G$37*H538/MAX(H:H))</f>
        <v>#DIV/0!</v>
      </c>
      <c r="L538" s="1">
        <f>IF(ISNA(VLOOKUP(B538,PrixMini!$B$3:$E$573,4,FALSE)),1,VLOOKUP(B538,PrixMini!$B$3:$E$573,4,FALSE))</f>
        <v>1</v>
      </c>
      <c r="M538" s="25" t="e">
        <f>IF(ROUND(CalculCotation!$D$3*EXP(CalculCotation!$C$3*K538)-CalculCotation!$D$3+1,0)&gt;L538,ROUND(CalculCotation!$D$3*EXP(CalculCotation!$C$3*K538)-CalculCotation!$D$3+1,0),L538)</f>
        <v>#DIV/0!</v>
      </c>
    </row>
    <row r="539" spans="2:13" x14ac:dyDescent="0.3">
      <c r="B539" s="1">
        <f>BDD!C542</f>
        <v>0</v>
      </c>
      <c r="C539" s="1">
        <f>BDD!B542</f>
        <v>0</v>
      </c>
      <c r="D539" s="1">
        <f>BDD!A542</f>
        <v>0</v>
      </c>
      <c r="E539" s="1">
        <f>BDD!D542</f>
        <v>0</v>
      </c>
      <c r="F539" s="1">
        <f>BDD!F542</f>
        <v>0</v>
      </c>
      <c r="G539" s="25">
        <f>'ButsMPG + Var'!$I$39*IF(C539="A",COUNTIF(BDD!H542:AR542,10)*'ButsMPG + Var'!$K$12+COUNTIF(BDD!H542:AR542,9)*'ButsMPG + Var'!$K$11+COUNTIF(BDD!H542:AR542,8)*'ButsMPG + Var'!$K$10+COUNTIF(BDD!H542:AR542,7)*'ButsMPG + Var'!$K$9+COUNTIF(BDD!H542:AR542,6)*'ButsMPG + Var'!$K$8+COUNTIF(BDD!H542:AR542,5)*'ButsMPG + Var'!$K$7+COUNTIF(BDD!H542:AR542,4)*'ButsMPG + Var'!$K$6+COUNTIF(BDD!H542:AR542,3)*'ButsMPG + Var'!$K$5+COUNTIF(BDD!H542:AR542,2)*'ButsMPG + Var'!$K$4+COUNTIF(BDD!H542:AR542,1)*'ButsMPG + Var'!$K$3,IF(C539="M",COUNTIF(BDD!H542:AR542,10)*'ButsMPG + Var'!$K$22+COUNTIF(BDD!H542:AR542,9)*'ButsMPG + Var'!$K$21+COUNTIF(BDD!H542:AR542,8)*'ButsMPG + Var'!$K$20+COUNTIF(BDD!H542:AR542,7)*'ButsMPG + Var'!$K$19+COUNTIF(BDD!H542:AR542,6)*'ButsMPG + Var'!$K$18+COUNTIF(BDD!H542:AR542,5)*'ButsMPG + Var'!$K$17+COUNTIF(BDD!H542:AR542,4)*'ButsMPG + Var'!$K$16+COUNTIF(BDD!H542:AR542,3)*'ButsMPG + Var'!$K$15+COUNTIF(BDD!H542:AR542,2)*'ButsMPG + Var'!$K$14+COUNTIF(BDD!H542:AR542,1)*'ButsMPG + Var'!$K$13,IF(C539="D",COUNTIF(BDD!H542:AR542,10)*'ButsMPG + Var'!$K$32+COUNTIF(BDD!H542:AR542,9)*'ButsMPG + Var'!$K$31+COUNTIF(BDD!H542:AR542,8)*'ButsMPG + Var'!$K$30+COUNTIF(BDD!H542:AR542,7)*'ButsMPG + Var'!$K$29+COUNTIF(BDD!H542:AR542,6)*'ButsMPG + Var'!$K$28+COUNTIF(BDD!H542:AR542,5)*'ButsMPG + Var'!$K$27+COUNTIF(BDD!H542:AR542,4)*'ButsMPG + Var'!$K$26+COUNTIF(BDD!H542:AR542,3)*'ButsMPG + Var'!$K$25+COUNTIF(BDD!H542:AR542,2)*'ButsMPG + Var'!$K$24+COUNTIF(BDD!H542:AR542,1)*'ButsMPG + Var'!$K$23,0)))</f>
        <v>0</v>
      </c>
      <c r="H539" s="25">
        <f t="shared" si="9"/>
        <v>0</v>
      </c>
      <c r="I539" s="25">
        <f>BDD!G542</f>
        <v>0</v>
      </c>
      <c r="J539" s="25">
        <f>SUMPRODUCT(BDD!H542:AS542,'ButsMPG + Var'!$B$46:$AM$46)</f>
        <v>0</v>
      </c>
      <c r="K539" s="25" t="e">
        <f>10*('ButsMPG + Var'!$H$37*J539/MAX(J:J)+'ButsMPG + Var'!$G$37*H539/MAX(H:H))</f>
        <v>#DIV/0!</v>
      </c>
      <c r="L539" s="1">
        <f>IF(ISNA(VLOOKUP(B539,PrixMini!$B$3:$E$573,4,FALSE)),1,VLOOKUP(B539,PrixMini!$B$3:$E$573,4,FALSE))</f>
        <v>1</v>
      </c>
      <c r="M539" s="25" t="e">
        <f>IF(ROUND(CalculCotation!$D$3*EXP(CalculCotation!$C$3*K539)-CalculCotation!$D$3+1,0)&gt;L539,ROUND(CalculCotation!$D$3*EXP(CalculCotation!$C$3*K539)-CalculCotation!$D$3+1,0),L539)</f>
        <v>#DIV/0!</v>
      </c>
    </row>
    <row r="540" spans="2:13" x14ac:dyDescent="0.3">
      <c r="B540" s="1">
        <f>BDD!C543</f>
        <v>0</v>
      </c>
      <c r="C540" s="1">
        <f>BDD!B543</f>
        <v>0</v>
      </c>
      <c r="D540" s="1">
        <f>BDD!A543</f>
        <v>0</v>
      </c>
      <c r="E540" s="1">
        <f>BDD!D543</f>
        <v>0</v>
      </c>
      <c r="F540" s="1">
        <f>BDD!F543</f>
        <v>0</v>
      </c>
      <c r="G540" s="25">
        <f>'ButsMPG + Var'!$I$39*IF(C540="A",COUNTIF(BDD!H543:AR543,10)*'ButsMPG + Var'!$K$12+COUNTIF(BDD!H543:AR543,9)*'ButsMPG + Var'!$K$11+COUNTIF(BDD!H543:AR543,8)*'ButsMPG + Var'!$K$10+COUNTIF(BDD!H543:AR543,7)*'ButsMPG + Var'!$K$9+COUNTIF(BDD!H543:AR543,6)*'ButsMPG + Var'!$K$8+COUNTIF(BDD!H543:AR543,5)*'ButsMPG + Var'!$K$7+COUNTIF(BDD!H543:AR543,4)*'ButsMPG + Var'!$K$6+COUNTIF(BDD!H543:AR543,3)*'ButsMPG + Var'!$K$5+COUNTIF(BDD!H543:AR543,2)*'ButsMPG + Var'!$K$4+COUNTIF(BDD!H543:AR543,1)*'ButsMPG + Var'!$K$3,IF(C540="M",COUNTIF(BDD!H543:AR543,10)*'ButsMPG + Var'!$K$22+COUNTIF(BDD!H543:AR543,9)*'ButsMPG + Var'!$K$21+COUNTIF(BDD!H543:AR543,8)*'ButsMPG + Var'!$K$20+COUNTIF(BDD!H543:AR543,7)*'ButsMPG + Var'!$K$19+COUNTIF(BDD!H543:AR543,6)*'ButsMPG + Var'!$K$18+COUNTIF(BDD!H543:AR543,5)*'ButsMPG + Var'!$K$17+COUNTIF(BDD!H543:AR543,4)*'ButsMPG + Var'!$K$16+COUNTIF(BDD!H543:AR543,3)*'ButsMPG + Var'!$K$15+COUNTIF(BDD!H543:AR543,2)*'ButsMPG + Var'!$K$14+COUNTIF(BDD!H543:AR543,1)*'ButsMPG + Var'!$K$13,IF(C540="D",COUNTIF(BDD!H543:AR543,10)*'ButsMPG + Var'!$K$32+COUNTIF(BDD!H543:AR543,9)*'ButsMPG + Var'!$K$31+COUNTIF(BDD!H543:AR543,8)*'ButsMPG + Var'!$K$30+COUNTIF(BDD!H543:AR543,7)*'ButsMPG + Var'!$K$29+COUNTIF(BDD!H543:AR543,6)*'ButsMPG + Var'!$K$28+COUNTIF(BDD!H543:AR543,5)*'ButsMPG + Var'!$K$27+COUNTIF(BDD!H543:AR543,4)*'ButsMPG + Var'!$K$26+COUNTIF(BDD!H543:AR543,3)*'ButsMPG + Var'!$K$25+COUNTIF(BDD!H543:AR543,2)*'ButsMPG + Var'!$K$24+COUNTIF(BDD!H543:AR543,1)*'ButsMPG + Var'!$K$23,0)))</f>
        <v>0</v>
      </c>
      <c r="H540" s="25">
        <f t="shared" si="9"/>
        <v>0</v>
      </c>
      <c r="I540" s="25">
        <f>BDD!G543</f>
        <v>0</v>
      </c>
      <c r="J540" s="25">
        <f>SUMPRODUCT(BDD!H543:AS543,'ButsMPG + Var'!$B$46:$AM$46)</f>
        <v>0</v>
      </c>
      <c r="K540" s="25" t="e">
        <f>10*('ButsMPG + Var'!$H$37*J540/MAX(J:J)+'ButsMPG + Var'!$G$37*H540/MAX(H:H))</f>
        <v>#DIV/0!</v>
      </c>
      <c r="L540" s="1">
        <f>IF(ISNA(VLOOKUP(B540,PrixMini!$B$3:$E$573,4,FALSE)),1,VLOOKUP(B540,PrixMini!$B$3:$E$573,4,FALSE))</f>
        <v>1</v>
      </c>
      <c r="M540" s="25" t="e">
        <f>IF(ROUND(CalculCotation!$D$3*EXP(CalculCotation!$C$3*K540)-CalculCotation!$D$3+1,0)&gt;L540,ROUND(CalculCotation!$D$3*EXP(CalculCotation!$C$3*K540)-CalculCotation!$D$3+1,0),L540)</f>
        <v>#DIV/0!</v>
      </c>
    </row>
    <row r="541" spans="2:13" x14ac:dyDescent="0.3">
      <c r="B541" s="1">
        <f>BDD!C544</f>
        <v>0</v>
      </c>
      <c r="C541" s="1">
        <f>BDD!B544</f>
        <v>0</v>
      </c>
      <c r="D541" s="1">
        <f>BDD!A544</f>
        <v>0</v>
      </c>
      <c r="E541" s="1">
        <f>BDD!D544</f>
        <v>0</v>
      </c>
      <c r="F541" s="1">
        <f>BDD!F544</f>
        <v>0</v>
      </c>
      <c r="G541" s="25">
        <f>'ButsMPG + Var'!$I$39*IF(C541="A",COUNTIF(BDD!H544:AR544,10)*'ButsMPG + Var'!$K$12+COUNTIF(BDD!H544:AR544,9)*'ButsMPG + Var'!$K$11+COUNTIF(BDD!H544:AR544,8)*'ButsMPG + Var'!$K$10+COUNTIF(BDD!H544:AR544,7)*'ButsMPG + Var'!$K$9+COUNTIF(BDD!H544:AR544,6)*'ButsMPG + Var'!$K$8+COUNTIF(BDD!H544:AR544,5)*'ButsMPG + Var'!$K$7+COUNTIF(BDD!H544:AR544,4)*'ButsMPG + Var'!$K$6+COUNTIF(BDD!H544:AR544,3)*'ButsMPG + Var'!$K$5+COUNTIF(BDD!H544:AR544,2)*'ButsMPG + Var'!$K$4+COUNTIF(BDD!H544:AR544,1)*'ButsMPG + Var'!$K$3,IF(C541="M",COUNTIF(BDD!H544:AR544,10)*'ButsMPG + Var'!$K$22+COUNTIF(BDD!H544:AR544,9)*'ButsMPG + Var'!$K$21+COUNTIF(BDD!H544:AR544,8)*'ButsMPG + Var'!$K$20+COUNTIF(BDD!H544:AR544,7)*'ButsMPG + Var'!$K$19+COUNTIF(BDD!H544:AR544,6)*'ButsMPG + Var'!$K$18+COUNTIF(BDD!H544:AR544,5)*'ButsMPG + Var'!$K$17+COUNTIF(BDD!H544:AR544,4)*'ButsMPG + Var'!$K$16+COUNTIF(BDD!H544:AR544,3)*'ButsMPG + Var'!$K$15+COUNTIF(BDD!H544:AR544,2)*'ButsMPG + Var'!$K$14+COUNTIF(BDD!H544:AR544,1)*'ButsMPG + Var'!$K$13,IF(C541="D",COUNTIF(BDD!H544:AR544,10)*'ButsMPG + Var'!$K$32+COUNTIF(BDD!H544:AR544,9)*'ButsMPG + Var'!$K$31+COUNTIF(BDD!H544:AR544,8)*'ButsMPG + Var'!$K$30+COUNTIF(BDD!H544:AR544,7)*'ButsMPG + Var'!$K$29+COUNTIF(BDD!H544:AR544,6)*'ButsMPG + Var'!$K$28+COUNTIF(BDD!H544:AR544,5)*'ButsMPG + Var'!$K$27+COUNTIF(BDD!H544:AR544,4)*'ButsMPG + Var'!$K$26+COUNTIF(BDD!H544:AR544,3)*'ButsMPG + Var'!$K$25+COUNTIF(BDD!H544:AR544,2)*'ButsMPG + Var'!$K$24+COUNTIF(BDD!H544:AR544,1)*'ButsMPG + Var'!$K$23,0)))</f>
        <v>0</v>
      </c>
      <c r="H541" s="25">
        <f t="shared" si="9"/>
        <v>0</v>
      </c>
      <c r="I541" s="25">
        <f>BDD!G544</f>
        <v>0</v>
      </c>
      <c r="J541" s="25">
        <f>SUMPRODUCT(BDD!H544:AS544,'ButsMPG + Var'!$B$46:$AM$46)</f>
        <v>0</v>
      </c>
      <c r="K541" s="25" t="e">
        <f>10*('ButsMPG + Var'!$H$37*J541/MAX(J:J)+'ButsMPG + Var'!$G$37*H541/MAX(H:H))</f>
        <v>#DIV/0!</v>
      </c>
      <c r="L541" s="1">
        <f>IF(ISNA(VLOOKUP(B541,PrixMini!$B$3:$E$573,4,FALSE)),1,VLOOKUP(B541,PrixMini!$B$3:$E$573,4,FALSE))</f>
        <v>1</v>
      </c>
      <c r="M541" s="25" t="e">
        <f>IF(ROUND(CalculCotation!$D$3*EXP(CalculCotation!$C$3*K541)-CalculCotation!$D$3+1,0)&gt;L541,ROUND(CalculCotation!$D$3*EXP(CalculCotation!$C$3*K541)-CalculCotation!$D$3+1,0),L541)</f>
        <v>#DIV/0!</v>
      </c>
    </row>
    <row r="542" spans="2:13" x14ac:dyDescent="0.3">
      <c r="B542" s="1">
        <f>BDD!C545</f>
        <v>0</v>
      </c>
      <c r="C542" s="1">
        <f>BDD!B545</f>
        <v>0</v>
      </c>
      <c r="D542" s="1">
        <f>BDD!A545</f>
        <v>0</v>
      </c>
      <c r="E542" s="1">
        <f>BDD!D545</f>
        <v>0</v>
      </c>
      <c r="F542" s="1">
        <f>BDD!F545</f>
        <v>0</v>
      </c>
      <c r="G542" s="25">
        <f>'ButsMPG + Var'!$I$39*IF(C542="A",COUNTIF(BDD!H545:AR545,10)*'ButsMPG + Var'!$K$12+COUNTIF(BDD!H545:AR545,9)*'ButsMPG + Var'!$K$11+COUNTIF(BDD!H545:AR545,8)*'ButsMPG + Var'!$K$10+COUNTIF(BDD!H545:AR545,7)*'ButsMPG + Var'!$K$9+COUNTIF(BDD!H545:AR545,6)*'ButsMPG + Var'!$K$8+COUNTIF(BDD!H545:AR545,5)*'ButsMPG + Var'!$K$7+COUNTIF(BDD!H545:AR545,4)*'ButsMPG + Var'!$K$6+COUNTIF(BDD!H545:AR545,3)*'ButsMPG + Var'!$K$5+COUNTIF(BDD!H545:AR545,2)*'ButsMPG + Var'!$K$4+COUNTIF(BDD!H545:AR545,1)*'ButsMPG + Var'!$K$3,IF(C542="M",COUNTIF(BDD!H545:AR545,10)*'ButsMPG + Var'!$K$22+COUNTIF(BDD!H545:AR545,9)*'ButsMPG + Var'!$K$21+COUNTIF(BDD!H545:AR545,8)*'ButsMPG + Var'!$K$20+COUNTIF(BDD!H545:AR545,7)*'ButsMPG + Var'!$K$19+COUNTIF(BDD!H545:AR545,6)*'ButsMPG + Var'!$K$18+COUNTIF(BDD!H545:AR545,5)*'ButsMPG + Var'!$K$17+COUNTIF(BDD!H545:AR545,4)*'ButsMPG + Var'!$K$16+COUNTIF(BDD!H545:AR545,3)*'ButsMPG + Var'!$K$15+COUNTIF(BDD!H545:AR545,2)*'ButsMPG + Var'!$K$14+COUNTIF(BDD!H545:AR545,1)*'ButsMPG + Var'!$K$13,IF(C542="D",COUNTIF(BDD!H545:AR545,10)*'ButsMPG + Var'!$K$32+COUNTIF(BDD!H545:AR545,9)*'ButsMPG + Var'!$K$31+COUNTIF(BDD!H545:AR545,8)*'ButsMPG + Var'!$K$30+COUNTIF(BDD!H545:AR545,7)*'ButsMPG + Var'!$K$29+COUNTIF(BDD!H545:AR545,6)*'ButsMPG + Var'!$K$28+COUNTIF(BDD!H545:AR545,5)*'ButsMPG + Var'!$K$27+COUNTIF(BDD!H545:AR545,4)*'ButsMPG + Var'!$K$26+COUNTIF(BDD!H545:AR545,3)*'ButsMPG + Var'!$K$25+COUNTIF(BDD!H545:AR545,2)*'ButsMPG + Var'!$K$24+COUNTIF(BDD!H545:AR545,1)*'ButsMPG + Var'!$K$23,0)))</f>
        <v>0</v>
      </c>
      <c r="H542" s="25">
        <f t="shared" si="9"/>
        <v>0</v>
      </c>
      <c r="I542" s="25">
        <f>BDD!G545</f>
        <v>0</v>
      </c>
      <c r="J542" s="25">
        <f>SUMPRODUCT(BDD!H545:AS545,'ButsMPG + Var'!$B$46:$AM$46)</f>
        <v>0</v>
      </c>
      <c r="K542" s="25" t="e">
        <f>10*('ButsMPG + Var'!$H$37*J542/MAX(J:J)+'ButsMPG + Var'!$G$37*H542/MAX(H:H))</f>
        <v>#DIV/0!</v>
      </c>
      <c r="L542" s="1">
        <f>IF(ISNA(VLOOKUP(B542,PrixMini!$B$3:$E$573,4,FALSE)),1,VLOOKUP(B542,PrixMini!$B$3:$E$573,4,FALSE))</f>
        <v>1</v>
      </c>
      <c r="M542" s="25" t="e">
        <f>IF(ROUND(CalculCotation!$D$3*EXP(CalculCotation!$C$3*K542)-CalculCotation!$D$3+1,0)&gt;L542,ROUND(CalculCotation!$D$3*EXP(CalculCotation!$C$3*K542)-CalculCotation!$D$3+1,0),L542)</f>
        <v>#DIV/0!</v>
      </c>
    </row>
    <row r="543" spans="2:13" x14ac:dyDescent="0.3">
      <c r="B543" s="1">
        <f>BDD!C546</f>
        <v>0</v>
      </c>
      <c r="C543" s="1">
        <f>BDD!B546</f>
        <v>0</v>
      </c>
      <c r="D543" s="1">
        <f>BDD!A546</f>
        <v>0</v>
      </c>
      <c r="E543" s="1">
        <f>BDD!D546</f>
        <v>0</v>
      </c>
      <c r="F543" s="1">
        <f>BDD!F546</f>
        <v>0</v>
      </c>
      <c r="G543" s="25">
        <f>'ButsMPG + Var'!$I$39*IF(C543="A",COUNTIF(BDD!H546:AR546,10)*'ButsMPG + Var'!$K$12+COUNTIF(BDD!H546:AR546,9)*'ButsMPG + Var'!$K$11+COUNTIF(BDD!H546:AR546,8)*'ButsMPG + Var'!$K$10+COUNTIF(BDD!H546:AR546,7)*'ButsMPG + Var'!$K$9+COUNTIF(BDD!H546:AR546,6)*'ButsMPG + Var'!$K$8+COUNTIF(BDD!H546:AR546,5)*'ButsMPG + Var'!$K$7+COUNTIF(BDD!H546:AR546,4)*'ButsMPG + Var'!$K$6+COUNTIF(BDD!H546:AR546,3)*'ButsMPG + Var'!$K$5+COUNTIF(BDD!H546:AR546,2)*'ButsMPG + Var'!$K$4+COUNTIF(BDD!H546:AR546,1)*'ButsMPG + Var'!$K$3,IF(C543="M",COUNTIF(BDD!H546:AR546,10)*'ButsMPG + Var'!$K$22+COUNTIF(BDD!H546:AR546,9)*'ButsMPG + Var'!$K$21+COUNTIF(BDD!H546:AR546,8)*'ButsMPG + Var'!$K$20+COUNTIF(BDD!H546:AR546,7)*'ButsMPG + Var'!$K$19+COUNTIF(BDD!H546:AR546,6)*'ButsMPG + Var'!$K$18+COUNTIF(BDD!H546:AR546,5)*'ButsMPG + Var'!$K$17+COUNTIF(BDD!H546:AR546,4)*'ButsMPG + Var'!$K$16+COUNTIF(BDD!H546:AR546,3)*'ButsMPG + Var'!$K$15+COUNTIF(BDD!H546:AR546,2)*'ButsMPG + Var'!$K$14+COUNTIF(BDD!H546:AR546,1)*'ButsMPG + Var'!$K$13,IF(C543="D",COUNTIF(BDD!H546:AR546,10)*'ButsMPG + Var'!$K$32+COUNTIF(BDD!H546:AR546,9)*'ButsMPG + Var'!$K$31+COUNTIF(BDD!H546:AR546,8)*'ButsMPG + Var'!$K$30+COUNTIF(BDD!H546:AR546,7)*'ButsMPG + Var'!$K$29+COUNTIF(BDD!H546:AR546,6)*'ButsMPG + Var'!$K$28+COUNTIF(BDD!H546:AR546,5)*'ButsMPG + Var'!$K$27+COUNTIF(BDD!H546:AR546,4)*'ButsMPG + Var'!$K$26+COUNTIF(BDD!H546:AR546,3)*'ButsMPG + Var'!$K$25+COUNTIF(BDD!H546:AR546,2)*'ButsMPG + Var'!$K$24+COUNTIF(BDD!H546:AR546,1)*'ButsMPG + Var'!$K$23,0)))</f>
        <v>0</v>
      </c>
      <c r="H543" s="25">
        <f t="shared" si="9"/>
        <v>0</v>
      </c>
      <c r="I543" s="25">
        <f>BDD!G546</f>
        <v>0</v>
      </c>
      <c r="J543" s="25">
        <f>SUMPRODUCT(BDD!H546:AS546,'ButsMPG + Var'!$B$46:$AM$46)</f>
        <v>0</v>
      </c>
      <c r="K543" s="25" t="e">
        <f>10*('ButsMPG + Var'!$H$37*J543/MAX(J:J)+'ButsMPG + Var'!$G$37*H543/MAX(H:H))</f>
        <v>#DIV/0!</v>
      </c>
      <c r="L543" s="1">
        <f>IF(ISNA(VLOOKUP(B543,PrixMini!$B$3:$E$573,4,FALSE)),1,VLOOKUP(B543,PrixMini!$B$3:$E$573,4,FALSE))</f>
        <v>1</v>
      </c>
      <c r="M543" s="25" t="e">
        <f>IF(ROUND(CalculCotation!$D$3*EXP(CalculCotation!$C$3*K543)-CalculCotation!$D$3+1,0)&gt;L543,ROUND(CalculCotation!$D$3*EXP(CalculCotation!$C$3*K543)-CalculCotation!$D$3+1,0),L543)</f>
        <v>#DIV/0!</v>
      </c>
    </row>
    <row r="544" spans="2:13" x14ac:dyDescent="0.3">
      <c r="B544" s="1">
        <f>BDD!C547</f>
        <v>0</v>
      </c>
      <c r="C544" s="1">
        <f>BDD!B547</f>
        <v>0</v>
      </c>
      <c r="D544" s="1">
        <f>BDD!A547</f>
        <v>0</v>
      </c>
      <c r="E544" s="1">
        <f>BDD!D547</f>
        <v>0</v>
      </c>
      <c r="F544" s="1">
        <f>BDD!F547</f>
        <v>0</v>
      </c>
      <c r="G544" s="25">
        <f>'ButsMPG + Var'!$I$39*IF(C544="A",COUNTIF(BDD!H547:AR547,10)*'ButsMPG + Var'!$K$12+COUNTIF(BDD!H547:AR547,9)*'ButsMPG + Var'!$K$11+COUNTIF(BDD!H547:AR547,8)*'ButsMPG + Var'!$K$10+COUNTIF(BDD!H547:AR547,7)*'ButsMPG + Var'!$K$9+COUNTIF(BDD!H547:AR547,6)*'ButsMPG + Var'!$K$8+COUNTIF(BDD!H547:AR547,5)*'ButsMPG + Var'!$K$7+COUNTIF(BDD!H547:AR547,4)*'ButsMPG + Var'!$K$6+COUNTIF(BDD!H547:AR547,3)*'ButsMPG + Var'!$K$5+COUNTIF(BDD!H547:AR547,2)*'ButsMPG + Var'!$K$4+COUNTIF(BDD!H547:AR547,1)*'ButsMPG + Var'!$K$3,IF(C544="M",COUNTIF(BDD!H547:AR547,10)*'ButsMPG + Var'!$K$22+COUNTIF(BDD!H547:AR547,9)*'ButsMPG + Var'!$K$21+COUNTIF(BDD!H547:AR547,8)*'ButsMPG + Var'!$K$20+COUNTIF(BDD!H547:AR547,7)*'ButsMPG + Var'!$K$19+COUNTIF(BDD!H547:AR547,6)*'ButsMPG + Var'!$K$18+COUNTIF(BDD!H547:AR547,5)*'ButsMPG + Var'!$K$17+COUNTIF(BDD!H547:AR547,4)*'ButsMPG + Var'!$K$16+COUNTIF(BDD!H547:AR547,3)*'ButsMPG + Var'!$K$15+COUNTIF(BDD!H547:AR547,2)*'ButsMPG + Var'!$K$14+COUNTIF(BDD!H547:AR547,1)*'ButsMPG + Var'!$K$13,IF(C544="D",COUNTIF(BDD!H547:AR547,10)*'ButsMPG + Var'!$K$32+COUNTIF(BDD!H547:AR547,9)*'ButsMPG + Var'!$K$31+COUNTIF(BDD!H547:AR547,8)*'ButsMPG + Var'!$K$30+COUNTIF(BDD!H547:AR547,7)*'ButsMPG + Var'!$K$29+COUNTIF(BDD!H547:AR547,6)*'ButsMPG + Var'!$K$28+COUNTIF(BDD!H547:AR547,5)*'ButsMPG + Var'!$K$27+COUNTIF(BDD!H547:AR547,4)*'ButsMPG + Var'!$K$26+COUNTIF(BDD!H547:AR547,3)*'ButsMPG + Var'!$K$25+COUNTIF(BDD!H547:AR547,2)*'ButsMPG + Var'!$K$24+COUNTIF(BDD!H547:AR547,1)*'ButsMPG + Var'!$K$23,0)))</f>
        <v>0</v>
      </c>
      <c r="H544" s="25">
        <f t="shared" si="9"/>
        <v>0</v>
      </c>
      <c r="I544" s="25">
        <f>BDD!G547</f>
        <v>0</v>
      </c>
      <c r="J544" s="25">
        <f>SUMPRODUCT(BDD!H547:AS547,'ButsMPG + Var'!$B$46:$AM$46)</f>
        <v>0</v>
      </c>
      <c r="K544" s="25" t="e">
        <f>10*('ButsMPG + Var'!$H$37*J544/MAX(J:J)+'ButsMPG + Var'!$G$37*H544/MAX(H:H))</f>
        <v>#DIV/0!</v>
      </c>
      <c r="L544" s="1">
        <f>IF(ISNA(VLOOKUP(B544,PrixMini!$B$3:$E$573,4,FALSE)),1,VLOOKUP(B544,PrixMini!$B$3:$E$573,4,FALSE))</f>
        <v>1</v>
      </c>
      <c r="M544" s="25" t="e">
        <f>IF(ROUND(CalculCotation!$D$3*EXP(CalculCotation!$C$3*K544)-CalculCotation!$D$3+1,0)&gt;L544,ROUND(CalculCotation!$D$3*EXP(CalculCotation!$C$3*K544)-CalculCotation!$D$3+1,0),L544)</f>
        <v>#DIV/0!</v>
      </c>
    </row>
    <row r="545" spans="2:13" x14ac:dyDescent="0.3">
      <c r="B545" s="1">
        <f>BDD!C548</f>
        <v>0</v>
      </c>
      <c r="C545" s="1">
        <f>BDD!B548</f>
        <v>0</v>
      </c>
      <c r="D545" s="1">
        <f>BDD!A548</f>
        <v>0</v>
      </c>
      <c r="E545" s="1">
        <f>BDD!D548</f>
        <v>0</v>
      </c>
      <c r="F545" s="1">
        <f>BDD!F548</f>
        <v>0</v>
      </c>
      <c r="G545" s="25">
        <f>'ButsMPG + Var'!$I$39*IF(C545="A",COUNTIF(BDD!H548:AR548,10)*'ButsMPG + Var'!$K$12+COUNTIF(BDD!H548:AR548,9)*'ButsMPG + Var'!$K$11+COUNTIF(BDD!H548:AR548,8)*'ButsMPG + Var'!$K$10+COUNTIF(BDD!H548:AR548,7)*'ButsMPG + Var'!$K$9+COUNTIF(BDD!H548:AR548,6)*'ButsMPG + Var'!$K$8+COUNTIF(BDD!H548:AR548,5)*'ButsMPG + Var'!$K$7+COUNTIF(BDD!H548:AR548,4)*'ButsMPG + Var'!$K$6+COUNTIF(BDD!H548:AR548,3)*'ButsMPG + Var'!$K$5+COUNTIF(BDD!H548:AR548,2)*'ButsMPG + Var'!$K$4+COUNTIF(BDD!H548:AR548,1)*'ButsMPG + Var'!$K$3,IF(C545="M",COUNTIF(BDD!H548:AR548,10)*'ButsMPG + Var'!$K$22+COUNTIF(BDD!H548:AR548,9)*'ButsMPG + Var'!$K$21+COUNTIF(BDD!H548:AR548,8)*'ButsMPG + Var'!$K$20+COUNTIF(BDD!H548:AR548,7)*'ButsMPG + Var'!$K$19+COUNTIF(BDD!H548:AR548,6)*'ButsMPG + Var'!$K$18+COUNTIF(BDD!H548:AR548,5)*'ButsMPG + Var'!$K$17+COUNTIF(BDD!H548:AR548,4)*'ButsMPG + Var'!$K$16+COUNTIF(BDD!H548:AR548,3)*'ButsMPG + Var'!$K$15+COUNTIF(BDD!H548:AR548,2)*'ButsMPG + Var'!$K$14+COUNTIF(BDD!H548:AR548,1)*'ButsMPG + Var'!$K$13,IF(C545="D",COUNTIF(BDD!H548:AR548,10)*'ButsMPG + Var'!$K$32+COUNTIF(BDD!H548:AR548,9)*'ButsMPG + Var'!$K$31+COUNTIF(BDD!H548:AR548,8)*'ButsMPG + Var'!$K$30+COUNTIF(BDD!H548:AR548,7)*'ButsMPG + Var'!$K$29+COUNTIF(BDD!H548:AR548,6)*'ButsMPG + Var'!$K$28+COUNTIF(BDD!H548:AR548,5)*'ButsMPG + Var'!$K$27+COUNTIF(BDD!H548:AR548,4)*'ButsMPG + Var'!$K$26+COUNTIF(BDD!H548:AR548,3)*'ButsMPG + Var'!$K$25+COUNTIF(BDD!H548:AR548,2)*'ButsMPG + Var'!$K$24+COUNTIF(BDD!H548:AR548,1)*'ButsMPG + Var'!$K$23,0)))</f>
        <v>0</v>
      </c>
      <c r="H545" s="25">
        <f t="shared" si="9"/>
        <v>0</v>
      </c>
      <c r="I545" s="25">
        <f>BDD!G548</f>
        <v>0</v>
      </c>
      <c r="J545" s="25">
        <f>SUMPRODUCT(BDD!H548:AS548,'ButsMPG + Var'!$B$46:$AM$46)</f>
        <v>0</v>
      </c>
      <c r="K545" s="25" t="e">
        <f>10*('ButsMPG + Var'!$H$37*J545/MAX(J:J)+'ButsMPG + Var'!$G$37*H545/MAX(H:H))</f>
        <v>#DIV/0!</v>
      </c>
      <c r="L545" s="1">
        <f>IF(ISNA(VLOOKUP(B545,PrixMini!$B$3:$E$573,4,FALSE)),1,VLOOKUP(B545,PrixMini!$B$3:$E$573,4,FALSE))</f>
        <v>1</v>
      </c>
      <c r="M545" s="25" t="e">
        <f>IF(ROUND(CalculCotation!$D$3*EXP(CalculCotation!$C$3*K545)-CalculCotation!$D$3+1,0)&gt;L545,ROUND(CalculCotation!$D$3*EXP(CalculCotation!$C$3*K545)-CalculCotation!$D$3+1,0),L545)</f>
        <v>#DIV/0!</v>
      </c>
    </row>
    <row r="546" spans="2:13" x14ac:dyDescent="0.3">
      <c r="B546" s="1">
        <f>BDD!C549</f>
        <v>0</v>
      </c>
      <c r="C546" s="1">
        <f>BDD!B549</f>
        <v>0</v>
      </c>
      <c r="D546" s="1">
        <f>BDD!A549</f>
        <v>0</v>
      </c>
      <c r="E546" s="1">
        <f>BDD!D549</f>
        <v>0</v>
      </c>
      <c r="F546" s="1">
        <f>BDD!F549</f>
        <v>0</v>
      </c>
      <c r="G546" s="25">
        <f>'ButsMPG + Var'!$I$39*IF(C546="A",COUNTIF(BDD!H549:AR549,10)*'ButsMPG + Var'!$K$12+COUNTIF(BDD!H549:AR549,9)*'ButsMPG + Var'!$K$11+COUNTIF(BDD!H549:AR549,8)*'ButsMPG + Var'!$K$10+COUNTIF(BDD!H549:AR549,7)*'ButsMPG + Var'!$K$9+COUNTIF(BDD!H549:AR549,6)*'ButsMPG + Var'!$K$8+COUNTIF(BDD!H549:AR549,5)*'ButsMPG + Var'!$K$7+COUNTIF(BDD!H549:AR549,4)*'ButsMPG + Var'!$K$6+COUNTIF(BDD!H549:AR549,3)*'ButsMPG + Var'!$K$5+COUNTIF(BDD!H549:AR549,2)*'ButsMPG + Var'!$K$4+COUNTIF(BDD!H549:AR549,1)*'ButsMPG + Var'!$K$3,IF(C546="M",COUNTIF(BDD!H549:AR549,10)*'ButsMPG + Var'!$K$22+COUNTIF(BDD!H549:AR549,9)*'ButsMPG + Var'!$K$21+COUNTIF(BDD!H549:AR549,8)*'ButsMPG + Var'!$K$20+COUNTIF(BDD!H549:AR549,7)*'ButsMPG + Var'!$K$19+COUNTIF(BDD!H549:AR549,6)*'ButsMPG + Var'!$K$18+COUNTIF(BDD!H549:AR549,5)*'ButsMPG + Var'!$K$17+COUNTIF(BDD!H549:AR549,4)*'ButsMPG + Var'!$K$16+COUNTIF(BDD!H549:AR549,3)*'ButsMPG + Var'!$K$15+COUNTIF(BDD!H549:AR549,2)*'ButsMPG + Var'!$K$14+COUNTIF(BDD!H549:AR549,1)*'ButsMPG + Var'!$K$13,IF(C546="D",COUNTIF(BDD!H549:AR549,10)*'ButsMPG + Var'!$K$32+COUNTIF(BDD!H549:AR549,9)*'ButsMPG + Var'!$K$31+COUNTIF(BDD!H549:AR549,8)*'ButsMPG + Var'!$K$30+COUNTIF(BDD!H549:AR549,7)*'ButsMPG + Var'!$K$29+COUNTIF(BDD!H549:AR549,6)*'ButsMPG + Var'!$K$28+COUNTIF(BDD!H549:AR549,5)*'ButsMPG + Var'!$K$27+COUNTIF(BDD!H549:AR549,4)*'ButsMPG + Var'!$K$26+COUNTIF(BDD!H549:AR549,3)*'ButsMPG + Var'!$K$25+COUNTIF(BDD!H549:AR549,2)*'ButsMPG + Var'!$K$24+COUNTIF(BDD!H549:AR549,1)*'ButsMPG + Var'!$K$23,0)))</f>
        <v>0</v>
      </c>
      <c r="H546" s="25">
        <f t="shared" si="9"/>
        <v>0</v>
      </c>
      <c r="I546" s="25">
        <f>BDD!G549</f>
        <v>0</v>
      </c>
      <c r="J546" s="25">
        <f>SUMPRODUCT(BDD!H549:AS549,'ButsMPG + Var'!$B$46:$AM$46)</f>
        <v>0</v>
      </c>
      <c r="K546" s="25" t="e">
        <f>10*('ButsMPG + Var'!$H$37*J546/MAX(J:J)+'ButsMPG + Var'!$G$37*H546/MAX(H:H))</f>
        <v>#DIV/0!</v>
      </c>
      <c r="L546" s="1">
        <f>IF(ISNA(VLOOKUP(B546,PrixMini!$B$3:$E$573,4,FALSE)),1,VLOOKUP(B546,PrixMini!$B$3:$E$573,4,FALSE))</f>
        <v>1</v>
      </c>
      <c r="M546" s="25" t="e">
        <f>IF(ROUND(CalculCotation!$D$3*EXP(CalculCotation!$C$3*K546)-CalculCotation!$D$3+1,0)&gt;L546,ROUND(CalculCotation!$D$3*EXP(CalculCotation!$C$3*K546)-CalculCotation!$D$3+1,0),L546)</f>
        <v>#DIV/0!</v>
      </c>
    </row>
    <row r="547" spans="2:13" x14ac:dyDescent="0.3">
      <c r="B547" s="1">
        <f>BDD!C550</f>
        <v>0</v>
      </c>
      <c r="C547" s="1">
        <f>BDD!B550</f>
        <v>0</v>
      </c>
      <c r="D547" s="1">
        <f>BDD!A550</f>
        <v>0</v>
      </c>
      <c r="E547" s="1">
        <f>BDD!D550</f>
        <v>0</v>
      </c>
      <c r="F547" s="1">
        <f>BDD!F550</f>
        <v>0</v>
      </c>
      <c r="G547" s="25">
        <f>'ButsMPG + Var'!$I$39*IF(C547="A",COUNTIF(BDD!H550:AR550,10)*'ButsMPG + Var'!$K$12+COUNTIF(BDD!H550:AR550,9)*'ButsMPG + Var'!$K$11+COUNTIF(BDD!H550:AR550,8)*'ButsMPG + Var'!$K$10+COUNTIF(BDD!H550:AR550,7)*'ButsMPG + Var'!$K$9+COUNTIF(BDD!H550:AR550,6)*'ButsMPG + Var'!$K$8+COUNTIF(BDD!H550:AR550,5)*'ButsMPG + Var'!$K$7+COUNTIF(BDD!H550:AR550,4)*'ButsMPG + Var'!$K$6+COUNTIF(BDD!H550:AR550,3)*'ButsMPG + Var'!$K$5+COUNTIF(BDD!H550:AR550,2)*'ButsMPG + Var'!$K$4+COUNTIF(BDD!H550:AR550,1)*'ButsMPG + Var'!$K$3,IF(C547="M",COUNTIF(BDD!H550:AR550,10)*'ButsMPG + Var'!$K$22+COUNTIF(BDD!H550:AR550,9)*'ButsMPG + Var'!$K$21+COUNTIF(BDD!H550:AR550,8)*'ButsMPG + Var'!$K$20+COUNTIF(BDD!H550:AR550,7)*'ButsMPG + Var'!$K$19+COUNTIF(BDD!H550:AR550,6)*'ButsMPG + Var'!$K$18+COUNTIF(BDD!H550:AR550,5)*'ButsMPG + Var'!$K$17+COUNTIF(BDD!H550:AR550,4)*'ButsMPG + Var'!$K$16+COUNTIF(BDD!H550:AR550,3)*'ButsMPG + Var'!$K$15+COUNTIF(BDD!H550:AR550,2)*'ButsMPG + Var'!$K$14+COUNTIF(BDD!H550:AR550,1)*'ButsMPG + Var'!$K$13,IF(C547="D",COUNTIF(BDD!H550:AR550,10)*'ButsMPG + Var'!$K$32+COUNTIF(BDD!H550:AR550,9)*'ButsMPG + Var'!$K$31+COUNTIF(BDD!H550:AR550,8)*'ButsMPG + Var'!$K$30+COUNTIF(BDD!H550:AR550,7)*'ButsMPG + Var'!$K$29+COUNTIF(BDD!H550:AR550,6)*'ButsMPG + Var'!$K$28+COUNTIF(BDD!H550:AR550,5)*'ButsMPG + Var'!$K$27+COUNTIF(BDD!H550:AR550,4)*'ButsMPG + Var'!$K$26+COUNTIF(BDD!H550:AR550,3)*'ButsMPG + Var'!$K$25+COUNTIF(BDD!H550:AR550,2)*'ButsMPG + Var'!$K$24+COUNTIF(BDD!H550:AR550,1)*'ButsMPG + Var'!$K$23,0)))</f>
        <v>0</v>
      </c>
      <c r="H547" s="25">
        <f t="shared" si="9"/>
        <v>0</v>
      </c>
      <c r="I547" s="25">
        <f>BDD!G550</f>
        <v>0</v>
      </c>
      <c r="J547" s="25">
        <f>SUMPRODUCT(BDD!H550:AS550,'ButsMPG + Var'!$B$46:$AM$46)</f>
        <v>0</v>
      </c>
      <c r="K547" s="25" t="e">
        <f>10*('ButsMPG + Var'!$H$37*J547/MAX(J:J)+'ButsMPG + Var'!$G$37*H547/MAX(H:H))</f>
        <v>#DIV/0!</v>
      </c>
      <c r="L547" s="1">
        <f>IF(ISNA(VLOOKUP(B547,PrixMini!$B$3:$E$573,4,FALSE)),1,VLOOKUP(B547,PrixMini!$B$3:$E$573,4,FALSE))</f>
        <v>1</v>
      </c>
      <c r="M547" s="25" t="e">
        <f>IF(ROUND(CalculCotation!$D$3*EXP(CalculCotation!$C$3*K547)-CalculCotation!$D$3+1,0)&gt;L547,ROUND(CalculCotation!$D$3*EXP(CalculCotation!$C$3*K547)-CalculCotation!$D$3+1,0),L547)</f>
        <v>#DIV/0!</v>
      </c>
    </row>
    <row r="548" spans="2:13" x14ac:dyDescent="0.3">
      <c r="B548" s="1">
        <f>BDD!C551</f>
        <v>0</v>
      </c>
      <c r="C548" s="1">
        <f>BDD!B551</f>
        <v>0</v>
      </c>
      <c r="D548" s="1">
        <f>BDD!A551</f>
        <v>0</v>
      </c>
      <c r="E548" s="1">
        <f>BDD!D551</f>
        <v>0</v>
      </c>
      <c r="F548" s="1">
        <f>BDD!F551</f>
        <v>0</v>
      </c>
      <c r="G548" s="25">
        <f>'ButsMPG + Var'!$I$39*IF(C548="A",COUNTIF(BDD!H551:AR551,10)*'ButsMPG + Var'!$K$12+COUNTIF(BDD!H551:AR551,9)*'ButsMPG + Var'!$K$11+COUNTIF(BDD!H551:AR551,8)*'ButsMPG + Var'!$K$10+COUNTIF(BDD!H551:AR551,7)*'ButsMPG + Var'!$K$9+COUNTIF(BDD!H551:AR551,6)*'ButsMPG + Var'!$K$8+COUNTIF(BDD!H551:AR551,5)*'ButsMPG + Var'!$K$7+COUNTIF(BDD!H551:AR551,4)*'ButsMPG + Var'!$K$6+COUNTIF(BDD!H551:AR551,3)*'ButsMPG + Var'!$K$5+COUNTIF(BDD!H551:AR551,2)*'ButsMPG + Var'!$K$4+COUNTIF(BDD!H551:AR551,1)*'ButsMPG + Var'!$K$3,IF(C548="M",COUNTIF(BDD!H551:AR551,10)*'ButsMPG + Var'!$K$22+COUNTIF(BDD!H551:AR551,9)*'ButsMPG + Var'!$K$21+COUNTIF(BDD!H551:AR551,8)*'ButsMPG + Var'!$K$20+COUNTIF(BDD!H551:AR551,7)*'ButsMPG + Var'!$K$19+COUNTIF(BDD!H551:AR551,6)*'ButsMPG + Var'!$K$18+COUNTIF(BDD!H551:AR551,5)*'ButsMPG + Var'!$K$17+COUNTIF(BDD!H551:AR551,4)*'ButsMPG + Var'!$K$16+COUNTIF(BDD!H551:AR551,3)*'ButsMPG + Var'!$K$15+COUNTIF(BDD!H551:AR551,2)*'ButsMPG + Var'!$K$14+COUNTIF(BDD!H551:AR551,1)*'ButsMPG + Var'!$K$13,IF(C548="D",COUNTIF(BDD!H551:AR551,10)*'ButsMPG + Var'!$K$32+COUNTIF(BDD!H551:AR551,9)*'ButsMPG + Var'!$K$31+COUNTIF(BDD!H551:AR551,8)*'ButsMPG + Var'!$K$30+COUNTIF(BDD!H551:AR551,7)*'ButsMPG + Var'!$K$29+COUNTIF(BDD!H551:AR551,6)*'ButsMPG + Var'!$K$28+COUNTIF(BDD!H551:AR551,5)*'ButsMPG + Var'!$K$27+COUNTIF(BDD!H551:AR551,4)*'ButsMPG + Var'!$K$26+COUNTIF(BDD!H551:AR551,3)*'ButsMPG + Var'!$K$25+COUNTIF(BDD!H551:AR551,2)*'ButsMPG + Var'!$K$24+COUNTIF(BDD!H551:AR551,1)*'ButsMPG + Var'!$K$23,0)))</f>
        <v>0</v>
      </c>
      <c r="H548" s="25">
        <f t="shared" si="9"/>
        <v>0</v>
      </c>
      <c r="I548" s="25">
        <f>BDD!G551</f>
        <v>0</v>
      </c>
      <c r="J548" s="25">
        <f>SUMPRODUCT(BDD!H551:AS551,'ButsMPG + Var'!$B$46:$AM$46)</f>
        <v>0</v>
      </c>
      <c r="K548" s="25" t="e">
        <f>10*('ButsMPG + Var'!$H$37*J548/MAX(J:J)+'ButsMPG + Var'!$G$37*H548/MAX(H:H))</f>
        <v>#DIV/0!</v>
      </c>
      <c r="L548" s="1">
        <f>IF(ISNA(VLOOKUP(B548,PrixMini!$B$3:$E$573,4,FALSE)),1,VLOOKUP(B548,PrixMini!$B$3:$E$573,4,FALSE))</f>
        <v>1</v>
      </c>
      <c r="M548" s="25" t="e">
        <f>IF(ROUND(CalculCotation!$D$3*EXP(CalculCotation!$C$3*K548)-CalculCotation!$D$3+1,0)&gt;L548,ROUND(CalculCotation!$D$3*EXP(CalculCotation!$C$3*K548)-CalculCotation!$D$3+1,0),L548)</f>
        <v>#DIV/0!</v>
      </c>
    </row>
    <row r="549" spans="2:13" x14ac:dyDescent="0.3">
      <c r="B549" s="1">
        <f>BDD!C552</f>
        <v>0</v>
      </c>
      <c r="C549" s="1">
        <f>BDD!B552</f>
        <v>0</v>
      </c>
      <c r="D549" s="1">
        <f>BDD!A552</f>
        <v>0</v>
      </c>
      <c r="E549" s="1">
        <f>BDD!D552</f>
        <v>0</v>
      </c>
      <c r="F549" s="1">
        <f>BDD!F552</f>
        <v>0</v>
      </c>
      <c r="G549" s="25">
        <f>'ButsMPG + Var'!$I$39*IF(C549="A",COUNTIF(BDD!H552:AR552,10)*'ButsMPG + Var'!$K$12+COUNTIF(BDD!H552:AR552,9)*'ButsMPG + Var'!$K$11+COUNTIF(BDD!H552:AR552,8)*'ButsMPG + Var'!$K$10+COUNTIF(BDD!H552:AR552,7)*'ButsMPG + Var'!$K$9+COUNTIF(BDD!H552:AR552,6)*'ButsMPG + Var'!$K$8+COUNTIF(BDD!H552:AR552,5)*'ButsMPG + Var'!$K$7+COUNTIF(BDD!H552:AR552,4)*'ButsMPG + Var'!$K$6+COUNTIF(BDD!H552:AR552,3)*'ButsMPG + Var'!$K$5+COUNTIF(BDD!H552:AR552,2)*'ButsMPG + Var'!$K$4+COUNTIF(BDD!H552:AR552,1)*'ButsMPG + Var'!$K$3,IF(C549="M",COUNTIF(BDD!H552:AR552,10)*'ButsMPG + Var'!$K$22+COUNTIF(BDD!H552:AR552,9)*'ButsMPG + Var'!$K$21+COUNTIF(BDD!H552:AR552,8)*'ButsMPG + Var'!$K$20+COUNTIF(BDD!H552:AR552,7)*'ButsMPG + Var'!$K$19+COUNTIF(BDD!H552:AR552,6)*'ButsMPG + Var'!$K$18+COUNTIF(BDD!H552:AR552,5)*'ButsMPG + Var'!$K$17+COUNTIF(BDD!H552:AR552,4)*'ButsMPG + Var'!$K$16+COUNTIF(BDD!H552:AR552,3)*'ButsMPG + Var'!$K$15+COUNTIF(BDD!H552:AR552,2)*'ButsMPG + Var'!$K$14+COUNTIF(BDD!H552:AR552,1)*'ButsMPG + Var'!$K$13,IF(C549="D",COUNTIF(BDD!H552:AR552,10)*'ButsMPG + Var'!$K$32+COUNTIF(BDD!H552:AR552,9)*'ButsMPG + Var'!$K$31+COUNTIF(BDD!H552:AR552,8)*'ButsMPG + Var'!$K$30+COUNTIF(BDD!H552:AR552,7)*'ButsMPG + Var'!$K$29+COUNTIF(BDD!H552:AR552,6)*'ButsMPG + Var'!$K$28+COUNTIF(BDD!H552:AR552,5)*'ButsMPG + Var'!$K$27+COUNTIF(BDD!H552:AR552,4)*'ButsMPG + Var'!$K$26+COUNTIF(BDD!H552:AR552,3)*'ButsMPG + Var'!$K$25+COUNTIF(BDD!H552:AR552,2)*'ButsMPG + Var'!$K$24+COUNTIF(BDD!H552:AR552,1)*'ButsMPG + Var'!$K$23,0)))</f>
        <v>0</v>
      </c>
      <c r="H549" s="25">
        <f t="shared" si="9"/>
        <v>0</v>
      </c>
      <c r="I549" s="25">
        <f>BDD!G552</f>
        <v>0</v>
      </c>
      <c r="J549" s="25">
        <f>SUMPRODUCT(BDD!H552:AS552,'ButsMPG + Var'!$B$46:$AM$46)</f>
        <v>0</v>
      </c>
      <c r="K549" s="25" t="e">
        <f>10*('ButsMPG + Var'!$H$37*J549/MAX(J:J)+'ButsMPG + Var'!$G$37*H549/MAX(H:H))</f>
        <v>#DIV/0!</v>
      </c>
      <c r="L549" s="1">
        <f>IF(ISNA(VLOOKUP(B549,PrixMini!$B$3:$E$573,4,FALSE)),1,VLOOKUP(B549,PrixMini!$B$3:$E$573,4,FALSE))</f>
        <v>1</v>
      </c>
      <c r="M549" s="25" t="e">
        <f>IF(ROUND(CalculCotation!$D$3*EXP(CalculCotation!$C$3*K549)-CalculCotation!$D$3+1,0)&gt;L549,ROUND(CalculCotation!$D$3*EXP(CalculCotation!$C$3*K549)-CalculCotation!$D$3+1,0),L549)</f>
        <v>#DIV/0!</v>
      </c>
    </row>
    <row r="550" spans="2:13" x14ac:dyDescent="0.3">
      <c r="B550" s="1">
        <f>BDD!C553</f>
        <v>0</v>
      </c>
      <c r="C550" s="1">
        <f>BDD!B553</f>
        <v>0</v>
      </c>
      <c r="D550" s="1">
        <f>BDD!A553</f>
        <v>0</v>
      </c>
      <c r="E550" s="1">
        <f>BDD!D553</f>
        <v>0</v>
      </c>
      <c r="F550" s="1">
        <f>BDD!F553</f>
        <v>0</v>
      </c>
      <c r="G550" s="25">
        <f>'ButsMPG + Var'!$I$39*IF(C550="A",COUNTIF(BDD!H553:AR553,10)*'ButsMPG + Var'!$K$12+COUNTIF(BDD!H553:AR553,9)*'ButsMPG + Var'!$K$11+COUNTIF(BDD!H553:AR553,8)*'ButsMPG + Var'!$K$10+COUNTIF(BDD!H553:AR553,7)*'ButsMPG + Var'!$K$9+COUNTIF(BDD!H553:AR553,6)*'ButsMPG + Var'!$K$8+COUNTIF(BDD!H553:AR553,5)*'ButsMPG + Var'!$K$7+COUNTIF(BDD!H553:AR553,4)*'ButsMPG + Var'!$K$6+COUNTIF(BDD!H553:AR553,3)*'ButsMPG + Var'!$K$5+COUNTIF(BDD!H553:AR553,2)*'ButsMPG + Var'!$K$4+COUNTIF(BDD!H553:AR553,1)*'ButsMPG + Var'!$K$3,IF(C550="M",COUNTIF(BDD!H553:AR553,10)*'ButsMPG + Var'!$K$22+COUNTIF(BDD!H553:AR553,9)*'ButsMPG + Var'!$K$21+COUNTIF(BDD!H553:AR553,8)*'ButsMPG + Var'!$K$20+COUNTIF(BDD!H553:AR553,7)*'ButsMPG + Var'!$K$19+COUNTIF(BDD!H553:AR553,6)*'ButsMPG + Var'!$K$18+COUNTIF(BDD!H553:AR553,5)*'ButsMPG + Var'!$K$17+COUNTIF(BDD!H553:AR553,4)*'ButsMPG + Var'!$K$16+COUNTIF(BDD!H553:AR553,3)*'ButsMPG + Var'!$K$15+COUNTIF(BDD!H553:AR553,2)*'ButsMPG + Var'!$K$14+COUNTIF(BDD!H553:AR553,1)*'ButsMPG + Var'!$K$13,IF(C550="D",COUNTIF(BDD!H553:AR553,10)*'ButsMPG + Var'!$K$32+COUNTIF(BDD!H553:AR553,9)*'ButsMPG + Var'!$K$31+COUNTIF(BDD!H553:AR553,8)*'ButsMPG + Var'!$K$30+COUNTIF(BDD!H553:AR553,7)*'ButsMPG + Var'!$K$29+COUNTIF(BDD!H553:AR553,6)*'ButsMPG + Var'!$K$28+COUNTIF(BDD!H553:AR553,5)*'ButsMPG + Var'!$K$27+COUNTIF(BDD!H553:AR553,4)*'ButsMPG + Var'!$K$26+COUNTIF(BDD!H553:AR553,3)*'ButsMPG + Var'!$K$25+COUNTIF(BDD!H553:AR553,2)*'ButsMPG + Var'!$K$24+COUNTIF(BDD!H553:AR553,1)*'ButsMPG + Var'!$K$23,0)))</f>
        <v>0</v>
      </c>
      <c r="H550" s="25">
        <f t="shared" si="9"/>
        <v>0</v>
      </c>
      <c r="I550" s="25">
        <f>BDD!G553</f>
        <v>0</v>
      </c>
      <c r="J550" s="25">
        <f>SUMPRODUCT(BDD!H553:AS553,'ButsMPG + Var'!$B$46:$AM$46)</f>
        <v>0</v>
      </c>
      <c r="K550" s="25" t="e">
        <f>10*('ButsMPG + Var'!$H$37*J550/MAX(J:J)+'ButsMPG + Var'!$G$37*H550/MAX(H:H))</f>
        <v>#DIV/0!</v>
      </c>
      <c r="L550" s="1">
        <f>IF(ISNA(VLOOKUP(B550,PrixMini!$B$3:$E$573,4,FALSE)),1,VLOOKUP(B550,PrixMini!$B$3:$E$573,4,FALSE))</f>
        <v>1</v>
      </c>
      <c r="M550" s="25" t="e">
        <f>IF(ROUND(CalculCotation!$D$3*EXP(CalculCotation!$C$3*K550)-CalculCotation!$D$3+1,0)&gt;L550,ROUND(CalculCotation!$D$3*EXP(CalculCotation!$C$3*K550)-CalculCotation!$D$3+1,0),L550)</f>
        <v>#DIV/0!</v>
      </c>
    </row>
    <row r="551" spans="2:13" x14ac:dyDescent="0.3">
      <c r="B551" s="1">
        <f>BDD!C554</f>
        <v>0</v>
      </c>
      <c r="C551" s="1">
        <f>BDD!B554</f>
        <v>0</v>
      </c>
      <c r="D551" s="1">
        <f>BDD!A554</f>
        <v>0</v>
      </c>
      <c r="E551" s="1">
        <f>BDD!D554</f>
        <v>0</v>
      </c>
      <c r="F551" s="1">
        <f>BDD!F554</f>
        <v>0</v>
      </c>
      <c r="G551" s="25">
        <f>'ButsMPG + Var'!$I$39*IF(C551="A",COUNTIF(BDD!H554:AR554,10)*'ButsMPG + Var'!$K$12+COUNTIF(BDD!H554:AR554,9)*'ButsMPG + Var'!$K$11+COUNTIF(BDD!H554:AR554,8)*'ButsMPG + Var'!$K$10+COUNTIF(BDD!H554:AR554,7)*'ButsMPG + Var'!$K$9+COUNTIF(BDD!H554:AR554,6)*'ButsMPG + Var'!$K$8+COUNTIF(BDD!H554:AR554,5)*'ButsMPG + Var'!$K$7+COUNTIF(BDD!H554:AR554,4)*'ButsMPG + Var'!$K$6+COUNTIF(BDD!H554:AR554,3)*'ButsMPG + Var'!$K$5+COUNTIF(BDD!H554:AR554,2)*'ButsMPG + Var'!$K$4+COUNTIF(BDD!H554:AR554,1)*'ButsMPG + Var'!$K$3,IF(C551="M",COUNTIF(BDD!H554:AR554,10)*'ButsMPG + Var'!$K$22+COUNTIF(BDD!H554:AR554,9)*'ButsMPG + Var'!$K$21+COUNTIF(BDD!H554:AR554,8)*'ButsMPG + Var'!$K$20+COUNTIF(BDD!H554:AR554,7)*'ButsMPG + Var'!$K$19+COUNTIF(BDD!H554:AR554,6)*'ButsMPG + Var'!$K$18+COUNTIF(BDD!H554:AR554,5)*'ButsMPG + Var'!$K$17+COUNTIF(BDD!H554:AR554,4)*'ButsMPG + Var'!$K$16+COUNTIF(BDD!H554:AR554,3)*'ButsMPG + Var'!$K$15+COUNTIF(BDD!H554:AR554,2)*'ButsMPG + Var'!$K$14+COUNTIF(BDD!H554:AR554,1)*'ButsMPG + Var'!$K$13,IF(C551="D",COUNTIF(BDD!H554:AR554,10)*'ButsMPG + Var'!$K$32+COUNTIF(BDD!H554:AR554,9)*'ButsMPG + Var'!$K$31+COUNTIF(BDD!H554:AR554,8)*'ButsMPG + Var'!$K$30+COUNTIF(BDD!H554:AR554,7)*'ButsMPG + Var'!$K$29+COUNTIF(BDD!H554:AR554,6)*'ButsMPG + Var'!$K$28+COUNTIF(BDD!H554:AR554,5)*'ButsMPG + Var'!$K$27+COUNTIF(BDD!H554:AR554,4)*'ButsMPG + Var'!$K$26+COUNTIF(BDD!H554:AR554,3)*'ButsMPG + Var'!$K$25+COUNTIF(BDD!H554:AR554,2)*'ButsMPG + Var'!$K$24+COUNTIF(BDD!H554:AR554,1)*'ButsMPG + Var'!$K$23,0)))</f>
        <v>0</v>
      </c>
      <c r="H551" s="25">
        <f t="shared" si="9"/>
        <v>0</v>
      </c>
      <c r="I551" s="25">
        <f>BDD!G554</f>
        <v>0</v>
      </c>
      <c r="J551" s="25">
        <f>SUMPRODUCT(BDD!H554:AS554,'ButsMPG + Var'!$B$46:$AM$46)</f>
        <v>0</v>
      </c>
      <c r="K551" s="25" t="e">
        <f>10*('ButsMPG + Var'!$H$37*J551/MAX(J:J)+'ButsMPG + Var'!$G$37*H551/MAX(H:H))</f>
        <v>#DIV/0!</v>
      </c>
      <c r="L551" s="1">
        <f>IF(ISNA(VLOOKUP(B551,PrixMini!$B$3:$E$573,4,FALSE)),1,VLOOKUP(B551,PrixMini!$B$3:$E$573,4,FALSE))</f>
        <v>1</v>
      </c>
      <c r="M551" s="25" t="e">
        <f>IF(ROUND(CalculCotation!$D$3*EXP(CalculCotation!$C$3*K551)-CalculCotation!$D$3+1,0)&gt;L551,ROUND(CalculCotation!$D$3*EXP(CalculCotation!$C$3*K551)-CalculCotation!$D$3+1,0),L551)</f>
        <v>#DIV/0!</v>
      </c>
    </row>
    <row r="552" spans="2:13" x14ac:dyDescent="0.3">
      <c r="B552" s="1">
        <f>BDD!C555</f>
        <v>0</v>
      </c>
      <c r="C552" s="1">
        <f>BDD!B555</f>
        <v>0</v>
      </c>
      <c r="D552" s="1">
        <f>BDD!A555</f>
        <v>0</v>
      </c>
      <c r="E552" s="1">
        <f>BDD!D555</f>
        <v>0</v>
      </c>
      <c r="F552" s="1">
        <f>BDD!F555</f>
        <v>0</v>
      </c>
      <c r="G552" s="25">
        <f>'ButsMPG + Var'!$I$39*IF(C552="A",COUNTIF(BDD!H555:AR555,10)*'ButsMPG + Var'!$K$12+COUNTIF(BDD!H555:AR555,9)*'ButsMPG + Var'!$K$11+COUNTIF(BDD!H555:AR555,8)*'ButsMPG + Var'!$K$10+COUNTIF(BDD!H555:AR555,7)*'ButsMPG + Var'!$K$9+COUNTIF(BDD!H555:AR555,6)*'ButsMPG + Var'!$K$8+COUNTIF(BDD!H555:AR555,5)*'ButsMPG + Var'!$K$7+COUNTIF(BDD!H555:AR555,4)*'ButsMPG + Var'!$K$6+COUNTIF(BDD!H555:AR555,3)*'ButsMPG + Var'!$K$5+COUNTIF(BDD!H555:AR555,2)*'ButsMPG + Var'!$K$4+COUNTIF(BDD!H555:AR555,1)*'ButsMPG + Var'!$K$3,IF(C552="M",COUNTIF(BDD!H555:AR555,10)*'ButsMPG + Var'!$K$22+COUNTIF(BDD!H555:AR555,9)*'ButsMPG + Var'!$K$21+COUNTIF(BDD!H555:AR555,8)*'ButsMPG + Var'!$K$20+COUNTIF(BDD!H555:AR555,7)*'ButsMPG + Var'!$K$19+COUNTIF(BDD!H555:AR555,6)*'ButsMPG + Var'!$K$18+COUNTIF(BDD!H555:AR555,5)*'ButsMPG + Var'!$K$17+COUNTIF(BDD!H555:AR555,4)*'ButsMPG + Var'!$K$16+COUNTIF(BDD!H555:AR555,3)*'ButsMPG + Var'!$K$15+COUNTIF(BDD!H555:AR555,2)*'ButsMPG + Var'!$K$14+COUNTIF(BDD!H555:AR555,1)*'ButsMPG + Var'!$K$13,IF(C552="D",COUNTIF(BDD!H555:AR555,10)*'ButsMPG + Var'!$K$32+COUNTIF(BDD!H555:AR555,9)*'ButsMPG + Var'!$K$31+COUNTIF(BDD!H555:AR555,8)*'ButsMPG + Var'!$K$30+COUNTIF(BDD!H555:AR555,7)*'ButsMPG + Var'!$K$29+COUNTIF(BDD!H555:AR555,6)*'ButsMPG + Var'!$K$28+COUNTIF(BDD!H555:AR555,5)*'ButsMPG + Var'!$K$27+COUNTIF(BDD!H555:AR555,4)*'ButsMPG + Var'!$K$26+COUNTIF(BDD!H555:AR555,3)*'ButsMPG + Var'!$K$25+COUNTIF(BDD!H555:AR555,2)*'ButsMPG + Var'!$K$24+COUNTIF(BDD!H555:AR555,1)*'ButsMPG + Var'!$K$23,0)))</f>
        <v>0</v>
      </c>
      <c r="H552" s="25">
        <f t="shared" si="9"/>
        <v>0</v>
      </c>
      <c r="I552" s="25">
        <f>BDD!G555</f>
        <v>0</v>
      </c>
      <c r="J552" s="25">
        <f>SUMPRODUCT(BDD!H555:AS555,'ButsMPG + Var'!$B$46:$AM$46)</f>
        <v>0</v>
      </c>
      <c r="K552" s="25" t="e">
        <f>10*('ButsMPG + Var'!$H$37*J552/MAX(J:J)+'ButsMPG + Var'!$G$37*H552/MAX(H:H))</f>
        <v>#DIV/0!</v>
      </c>
      <c r="L552" s="1">
        <f>IF(ISNA(VLOOKUP(B552,PrixMini!$B$3:$E$573,4,FALSE)),1,VLOOKUP(B552,PrixMini!$B$3:$E$573,4,FALSE))</f>
        <v>1</v>
      </c>
      <c r="M552" s="25" t="e">
        <f>IF(ROUND(CalculCotation!$D$3*EXP(CalculCotation!$C$3*K552)-CalculCotation!$D$3+1,0)&gt;L552,ROUND(CalculCotation!$D$3*EXP(CalculCotation!$C$3*K552)-CalculCotation!$D$3+1,0),L552)</f>
        <v>#DIV/0!</v>
      </c>
    </row>
    <row r="553" spans="2:13" x14ac:dyDescent="0.3">
      <c r="B553" s="1">
        <f>BDD!C556</f>
        <v>0</v>
      </c>
      <c r="C553" s="1">
        <f>BDD!B556</f>
        <v>0</v>
      </c>
      <c r="D553" s="1">
        <f>BDD!A556</f>
        <v>0</v>
      </c>
      <c r="E553" s="1">
        <f>BDD!D556</f>
        <v>0</v>
      </c>
      <c r="F553" s="1">
        <f>BDD!F556</f>
        <v>0</v>
      </c>
      <c r="G553" s="25">
        <f>'ButsMPG + Var'!$I$39*IF(C553="A",COUNTIF(BDD!H556:AR556,10)*'ButsMPG + Var'!$K$12+COUNTIF(BDD!H556:AR556,9)*'ButsMPG + Var'!$K$11+COUNTIF(BDD!H556:AR556,8)*'ButsMPG + Var'!$K$10+COUNTIF(BDD!H556:AR556,7)*'ButsMPG + Var'!$K$9+COUNTIF(BDD!H556:AR556,6)*'ButsMPG + Var'!$K$8+COUNTIF(BDD!H556:AR556,5)*'ButsMPG + Var'!$K$7+COUNTIF(BDD!H556:AR556,4)*'ButsMPG + Var'!$K$6+COUNTIF(BDD!H556:AR556,3)*'ButsMPG + Var'!$K$5+COUNTIF(BDD!H556:AR556,2)*'ButsMPG + Var'!$K$4+COUNTIF(BDD!H556:AR556,1)*'ButsMPG + Var'!$K$3,IF(C553="M",COUNTIF(BDD!H556:AR556,10)*'ButsMPG + Var'!$K$22+COUNTIF(BDD!H556:AR556,9)*'ButsMPG + Var'!$K$21+COUNTIF(BDD!H556:AR556,8)*'ButsMPG + Var'!$K$20+COUNTIF(BDD!H556:AR556,7)*'ButsMPG + Var'!$K$19+COUNTIF(BDD!H556:AR556,6)*'ButsMPG + Var'!$K$18+COUNTIF(BDD!H556:AR556,5)*'ButsMPG + Var'!$K$17+COUNTIF(BDD!H556:AR556,4)*'ButsMPG + Var'!$K$16+COUNTIF(BDD!H556:AR556,3)*'ButsMPG + Var'!$K$15+COUNTIF(BDD!H556:AR556,2)*'ButsMPG + Var'!$K$14+COUNTIF(BDD!H556:AR556,1)*'ButsMPG + Var'!$K$13,IF(C553="D",COUNTIF(BDD!H556:AR556,10)*'ButsMPG + Var'!$K$32+COUNTIF(BDD!H556:AR556,9)*'ButsMPG + Var'!$K$31+COUNTIF(BDD!H556:AR556,8)*'ButsMPG + Var'!$K$30+COUNTIF(BDD!H556:AR556,7)*'ButsMPG + Var'!$K$29+COUNTIF(BDD!H556:AR556,6)*'ButsMPG + Var'!$K$28+COUNTIF(BDD!H556:AR556,5)*'ButsMPG + Var'!$K$27+COUNTIF(BDD!H556:AR556,4)*'ButsMPG + Var'!$K$26+COUNTIF(BDD!H556:AR556,3)*'ButsMPG + Var'!$K$25+COUNTIF(BDD!H556:AR556,2)*'ButsMPG + Var'!$K$24+COUNTIF(BDD!H556:AR556,1)*'ButsMPG + Var'!$K$23,0)))</f>
        <v>0</v>
      </c>
      <c r="H553" s="25">
        <f t="shared" si="9"/>
        <v>0</v>
      </c>
      <c r="I553" s="25">
        <f>BDD!G556</f>
        <v>0</v>
      </c>
      <c r="J553" s="25">
        <f>SUMPRODUCT(BDD!H556:AS556,'ButsMPG + Var'!$B$46:$AM$46)</f>
        <v>0</v>
      </c>
      <c r="K553" s="25" t="e">
        <f>10*('ButsMPG + Var'!$H$37*J553/MAX(J:J)+'ButsMPG + Var'!$G$37*H553/MAX(H:H))</f>
        <v>#DIV/0!</v>
      </c>
      <c r="L553" s="1">
        <f>IF(ISNA(VLOOKUP(B553,PrixMini!$B$3:$E$573,4,FALSE)),1,VLOOKUP(B553,PrixMini!$B$3:$E$573,4,FALSE))</f>
        <v>1</v>
      </c>
      <c r="M553" s="25" t="e">
        <f>IF(ROUND(CalculCotation!$D$3*EXP(CalculCotation!$C$3*K553)-CalculCotation!$D$3+1,0)&gt;L553,ROUND(CalculCotation!$D$3*EXP(CalculCotation!$C$3*K553)-CalculCotation!$D$3+1,0),L553)</f>
        <v>#DIV/0!</v>
      </c>
    </row>
    <row r="554" spans="2:13" x14ac:dyDescent="0.3">
      <c r="B554" s="1">
        <f>BDD!C557</f>
        <v>0</v>
      </c>
      <c r="C554" s="1">
        <f>BDD!B557</f>
        <v>0</v>
      </c>
      <c r="D554" s="1">
        <f>BDD!A557</f>
        <v>0</v>
      </c>
      <c r="E554" s="1">
        <f>BDD!D557</f>
        <v>0</v>
      </c>
      <c r="F554" s="1">
        <f>BDD!F557</f>
        <v>0</v>
      </c>
      <c r="G554" s="25">
        <f>'ButsMPG + Var'!$I$39*IF(C554="A",COUNTIF(BDD!H557:AR557,10)*'ButsMPG + Var'!$K$12+COUNTIF(BDD!H557:AR557,9)*'ButsMPG + Var'!$K$11+COUNTIF(BDD!H557:AR557,8)*'ButsMPG + Var'!$K$10+COUNTIF(BDD!H557:AR557,7)*'ButsMPG + Var'!$K$9+COUNTIF(BDD!H557:AR557,6)*'ButsMPG + Var'!$K$8+COUNTIF(BDD!H557:AR557,5)*'ButsMPG + Var'!$K$7+COUNTIF(BDD!H557:AR557,4)*'ButsMPG + Var'!$K$6+COUNTIF(BDD!H557:AR557,3)*'ButsMPG + Var'!$K$5+COUNTIF(BDD!H557:AR557,2)*'ButsMPG + Var'!$K$4+COUNTIF(BDD!H557:AR557,1)*'ButsMPG + Var'!$K$3,IF(C554="M",COUNTIF(BDD!H557:AR557,10)*'ButsMPG + Var'!$K$22+COUNTIF(BDD!H557:AR557,9)*'ButsMPG + Var'!$K$21+COUNTIF(BDD!H557:AR557,8)*'ButsMPG + Var'!$K$20+COUNTIF(BDD!H557:AR557,7)*'ButsMPG + Var'!$K$19+COUNTIF(BDD!H557:AR557,6)*'ButsMPG + Var'!$K$18+COUNTIF(BDD!H557:AR557,5)*'ButsMPG + Var'!$K$17+COUNTIF(BDD!H557:AR557,4)*'ButsMPG + Var'!$K$16+COUNTIF(BDD!H557:AR557,3)*'ButsMPG + Var'!$K$15+COUNTIF(BDD!H557:AR557,2)*'ButsMPG + Var'!$K$14+COUNTIF(BDD!H557:AR557,1)*'ButsMPG + Var'!$K$13,IF(C554="D",COUNTIF(BDD!H557:AR557,10)*'ButsMPG + Var'!$K$32+COUNTIF(BDD!H557:AR557,9)*'ButsMPG + Var'!$K$31+COUNTIF(BDD!H557:AR557,8)*'ButsMPG + Var'!$K$30+COUNTIF(BDD!H557:AR557,7)*'ButsMPG + Var'!$K$29+COUNTIF(BDD!H557:AR557,6)*'ButsMPG + Var'!$K$28+COUNTIF(BDD!H557:AR557,5)*'ButsMPG + Var'!$K$27+COUNTIF(BDD!H557:AR557,4)*'ButsMPG + Var'!$K$26+COUNTIF(BDD!H557:AR557,3)*'ButsMPG + Var'!$K$25+COUNTIF(BDD!H557:AR557,2)*'ButsMPG + Var'!$K$24+COUNTIF(BDD!H557:AR557,1)*'ButsMPG + Var'!$K$23,0)))</f>
        <v>0</v>
      </c>
      <c r="H554" s="25">
        <f t="shared" si="9"/>
        <v>0</v>
      </c>
      <c r="I554" s="25">
        <f>BDD!G557</f>
        <v>0</v>
      </c>
      <c r="J554" s="25">
        <f>SUMPRODUCT(BDD!H557:AS557,'ButsMPG + Var'!$B$46:$AM$46)</f>
        <v>0</v>
      </c>
      <c r="K554" s="25" t="e">
        <f>10*('ButsMPG + Var'!$H$37*J554/MAX(J:J)+'ButsMPG + Var'!$G$37*H554/MAX(H:H))</f>
        <v>#DIV/0!</v>
      </c>
      <c r="L554" s="1">
        <f>IF(ISNA(VLOOKUP(B554,PrixMini!$B$3:$E$573,4,FALSE)),1,VLOOKUP(B554,PrixMini!$B$3:$E$573,4,FALSE))</f>
        <v>1</v>
      </c>
      <c r="M554" s="25" t="e">
        <f>IF(ROUND(CalculCotation!$D$3*EXP(CalculCotation!$C$3*K554)-CalculCotation!$D$3+1,0)&gt;L554,ROUND(CalculCotation!$D$3*EXP(CalculCotation!$C$3*K554)-CalculCotation!$D$3+1,0),L554)</f>
        <v>#DIV/0!</v>
      </c>
    </row>
    <row r="555" spans="2:13" x14ac:dyDescent="0.3">
      <c r="B555" s="1">
        <f>BDD!C558</f>
        <v>0</v>
      </c>
      <c r="C555" s="1">
        <f>BDD!B558</f>
        <v>0</v>
      </c>
      <c r="D555" s="1">
        <f>BDD!A558</f>
        <v>0</v>
      </c>
      <c r="E555" s="1">
        <f>BDD!D558</f>
        <v>0</v>
      </c>
      <c r="F555" s="1">
        <f>BDD!F558</f>
        <v>0</v>
      </c>
      <c r="G555" s="25">
        <f>'ButsMPG + Var'!$I$39*IF(C555="A",COUNTIF(BDD!H558:AR558,10)*'ButsMPG + Var'!$K$12+COUNTIF(BDD!H558:AR558,9)*'ButsMPG + Var'!$K$11+COUNTIF(BDD!H558:AR558,8)*'ButsMPG + Var'!$K$10+COUNTIF(BDD!H558:AR558,7)*'ButsMPG + Var'!$K$9+COUNTIF(BDD!H558:AR558,6)*'ButsMPG + Var'!$K$8+COUNTIF(BDD!H558:AR558,5)*'ButsMPG + Var'!$K$7+COUNTIF(BDD!H558:AR558,4)*'ButsMPG + Var'!$K$6+COUNTIF(BDD!H558:AR558,3)*'ButsMPG + Var'!$K$5+COUNTIF(BDD!H558:AR558,2)*'ButsMPG + Var'!$K$4+COUNTIF(BDD!H558:AR558,1)*'ButsMPG + Var'!$K$3,IF(C555="M",COUNTIF(BDD!H558:AR558,10)*'ButsMPG + Var'!$K$22+COUNTIF(BDD!H558:AR558,9)*'ButsMPG + Var'!$K$21+COUNTIF(BDD!H558:AR558,8)*'ButsMPG + Var'!$K$20+COUNTIF(BDD!H558:AR558,7)*'ButsMPG + Var'!$K$19+COUNTIF(BDD!H558:AR558,6)*'ButsMPG + Var'!$K$18+COUNTIF(BDD!H558:AR558,5)*'ButsMPG + Var'!$K$17+COUNTIF(BDD!H558:AR558,4)*'ButsMPG + Var'!$K$16+COUNTIF(BDD!H558:AR558,3)*'ButsMPG + Var'!$K$15+COUNTIF(BDD!H558:AR558,2)*'ButsMPG + Var'!$K$14+COUNTIF(BDD!H558:AR558,1)*'ButsMPG + Var'!$K$13,IF(C555="D",COUNTIF(BDD!H558:AR558,10)*'ButsMPG + Var'!$K$32+COUNTIF(BDD!H558:AR558,9)*'ButsMPG + Var'!$K$31+COUNTIF(BDD!H558:AR558,8)*'ButsMPG + Var'!$K$30+COUNTIF(BDD!H558:AR558,7)*'ButsMPG + Var'!$K$29+COUNTIF(BDD!H558:AR558,6)*'ButsMPG + Var'!$K$28+COUNTIF(BDD!H558:AR558,5)*'ButsMPG + Var'!$K$27+COUNTIF(BDD!H558:AR558,4)*'ButsMPG + Var'!$K$26+COUNTIF(BDD!H558:AR558,3)*'ButsMPG + Var'!$K$25+COUNTIF(BDD!H558:AR558,2)*'ButsMPG + Var'!$K$24+COUNTIF(BDD!H558:AR558,1)*'ButsMPG + Var'!$K$23,0)))</f>
        <v>0</v>
      </c>
      <c r="H555" s="25">
        <f t="shared" si="9"/>
        <v>0</v>
      </c>
      <c r="I555" s="25">
        <f>BDD!G558</f>
        <v>0</v>
      </c>
      <c r="J555" s="25">
        <f>SUMPRODUCT(BDD!H558:AS558,'ButsMPG + Var'!$B$46:$AM$46)</f>
        <v>0</v>
      </c>
      <c r="K555" s="25" t="e">
        <f>10*('ButsMPG + Var'!$H$37*J555/MAX(J:J)+'ButsMPG + Var'!$G$37*H555/MAX(H:H))</f>
        <v>#DIV/0!</v>
      </c>
      <c r="L555" s="1">
        <f>IF(ISNA(VLOOKUP(B555,PrixMini!$B$3:$E$573,4,FALSE)),1,VLOOKUP(B555,PrixMini!$B$3:$E$573,4,FALSE))</f>
        <v>1</v>
      </c>
      <c r="M555" s="25" t="e">
        <f>IF(ROUND(CalculCotation!$D$3*EXP(CalculCotation!$C$3*K555)-CalculCotation!$D$3+1,0)&gt;L555,ROUND(CalculCotation!$D$3*EXP(CalculCotation!$C$3*K555)-CalculCotation!$D$3+1,0),L555)</f>
        <v>#DIV/0!</v>
      </c>
    </row>
    <row r="556" spans="2:13" x14ac:dyDescent="0.3">
      <c r="B556" s="1">
        <f>BDD!C559</f>
        <v>0</v>
      </c>
      <c r="C556" s="1">
        <f>BDD!B559</f>
        <v>0</v>
      </c>
      <c r="D556" s="1">
        <f>BDD!A559</f>
        <v>0</v>
      </c>
      <c r="E556" s="1">
        <f>BDD!D559</f>
        <v>0</v>
      </c>
      <c r="F556" s="1">
        <f>BDD!F559</f>
        <v>0</v>
      </c>
      <c r="G556" s="25">
        <f>'ButsMPG + Var'!$I$39*IF(C556="A",COUNTIF(BDD!H559:AR559,10)*'ButsMPG + Var'!$K$12+COUNTIF(BDD!H559:AR559,9)*'ButsMPG + Var'!$K$11+COUNTIF(BDD!H559:AR559,8)*'ButsMPG + Var'!$K$10+COUNTIF(BDD!H559:AR559,7)*'ButsMPG + Var'!$K$9+COUNTIF(BDD!H559:AR559,6)*'ButsMPG + Var'!$K$8+COUNTIF(BDD!H559:AR559,5)*'ButsMPG + Var'!$K$7+COUNTIF(BDD!H559:AR559,4)*'ButsMPG + Var'!$K$6+COUNTIF(BDD!H559:AR559,3)*'ButsMPG + Var'!$K$5+COUNTIF(BDD!H559:AR559,2)*'ButsMPG + Var'!$K$4+COUNTIF(BDD!H559:AR559,1)*'ButsMPG + Var'!$K$3,IF(C556="M",COUNTIF(BDD!H559:AR559,10)*'ButsMPG + Var'!$K$22+COUNTIF(BDD!H559:AR559,9)*'ButsMPG + Var'!$K$21+COUNTIF(BDD!H559:AR559,8)*'ButsMPG + Var'!$K$20+COUNTIF(BDD!H559:AR559,7)*'ButsMPG + Var'!$K$19+COUNTIF(BDD!H559:AR559,6)*'ButsMPG + Var'!$K$18+COUNTIF(BDD!H559:AR559,5)*'ButsMPG + Var'!$K$17+COUNTIF(BDD!H559:AR559,4)*'ButsMPG + Var'!$K$16+COUNTIF(BDD!H559:AR559,3)*'ButsMPG + Var'!$K$15+COUNTIF(BDD!H559:AR559,2)*'ButsMPG + Var'!$K$14+COUNTIF(BDD!H559:AR559,1)*'ButsMPG + Var'!$K$13,IF(C556="D",COUNTIF(BDD!H559:AR559,10)*'ButsMPG + Var'!$K$32+COUNTIF(BDD!H559:AR559,9)*'ButsMPG + Var'!$K$31+COUNTIF(BDD!H559:AR559,8)*'ButsMPG + Var'!$K$30+COUNTIF(BDD!H559:AR559,7)*'ButsMPG + Var'!$K$29+COUNTIF(BDD!H559:AR559,6)*'ButsMPG + Var'!$K$28+COUNTIF(BDD!H559:AR559,5)*'ButsMPG + Var'!$K$27+COUNTIF(BDD!H559:AR559,4)*'ButsMPG + Var'!$K$26+COUNTIF(BDD!H559:AR559,3)*'ButsMPG + Var'!$K$25+COUNTIF(BDD!H559:AR559,2)*'ButsMPG + Var'!$K$24+COUNTIF(BDD!H559:AR559,1)*'ButsMPG + Var'!$K$23,0)))</f>
        <v>0</v>
      </c>
      <c r="H556" s="25">
        <f t="shared" si="9"/>
        <v>0</v>
      </c>
      <c r="I556" s="25">
        <f>BDD!G559</f>
        <v>0</v>
      </c>
      <c r="J556" s="25">
        <f>SUMPRODUCT(BDD!H559:AS559,'ButsMPG + Var'!$B$46:$AM$46)</f>
        <v>0</v>
      </c>
      <c r="K556" s="25" t="e">
        <f>10*('ButsMPG + Var'!$H$37*J556/MAX(J:J)+'ButsMPG + Var'!$G$37*H556/MAX(H:H))</f>
        <v>#DIV/0!</v>
      </c>
      <c r="L556" s="1">
        <f>IF(ISNA(VLOOKUP(B556,PrixMini!$B$3:$E$573,4,FALSE)),1,VLOOKUP(B556,PrixMini!$B$3:$E$573,4,FALSE))</f>
        <v>1</v>
      </c>
      <c r="M556" s="25" t="e">
        <f>IF(ROUND(CalculCotation!$D$3*EXP(CalculCotation!$C$3*K556)-CalculCotation!$D$3+1,0)&gt;L556,ROUND(CalculCotation!$D$3*EXP(CalculCotation!$C$3*K556)-CalculCotation!$D$3+1,0),L556)</f>
        <v>#DIV/0!</v>
      </c>
    </row>
    <row r="557" spans="2:13" x14ac:dyDescent="0.3">
      <c r="B557" s="1">
        <f>BDD!C560</f>
        <v>0</v>
      </c>
      <c r="C557" s="1">
        <f>BDD!B560</f>
        <v>0</v>
      </c>
      <c r="D557" s="1">
        <f>BDD!A560</f>
        <v>0</v>
      </c>
      <c r="E557" s="1">
        <f>BDD!D560</f>
        <v>0</v>
      </c>
      <c r="F557" s="1">
        <f>BDD!F560</f>
        <v>0</v>
      </c>
      <c r="G557" s="25">
        <f>'ButsMPG + Var'!$I$39*IF(C557="A",COUNTIF(BDD!H560:AR560,10)*'ButsMPG + Var'!$K$12+COUNTIF(BDD!H560:AR560,9)*'ButsMPG + Var'!$K$11+COUNTIF(BDD!H560:AR560,8)*'ButsMPG + Var'!$K$10+COUNTIF(BDD!H560:AR560,7)*'ButsMPG + Var'!$K$9+COUNTIF(BDD!H560:AR560,6)*'ButsMPG + Var'!$K$8+COUNTIF(BDD!H560:AR560,5)*'ButsMPG + Var'!$K$7+COUNTIF(BDD!H560:AR560,4)*'ButsMPG + Var'!$K$6+COUNTIF(BDD!H560:AR560,3)*'ButsMPG + Var'!$K$5+COUNTIF(BDD!H560:AR560,2)*'ButsMPG + Var'!$K$4+COUNTIF(BDD!H560:AR560,1)*'ButsMPG + Var'!$K$3,IF(C557="M",COUNTIF(BDD!H560:AR560,10)*'ButsMPG + Var'!$K$22+COUNTIF(BDD!H560:AR560,9)*'ButsMPG + Var'!$K$21+COUNTIF(BDD!H560:AR560,8)*'ButsMPG + Var'!$K$20+COUNTIF(BDD!H560:AR560,7)*'ButsMPG + Var'!$K$19+COUNTIF(BDD!H560:AR560,6)*'ButsMPG + Var'!$K$18+COUNTIF(BDD!H560:AR560,5)*'ButsMPG + Var'!$K$17+COUNTIF(BDD!H560:AR560,4)*'ButsMPG + Var'!$K$16+COUNTIF(BDD!H560:AR560,3)*'ButsMPG + Var'!$K$15+COUNTIF(BDD!H560:AR560,2)*'ButsMPG + Var'!$K$14+COUNTIF(BDD!H560:AR560,1)*'ButsMPG + Var'!$K$13,IF(C557="D",COUNTIF(BDD!H560:AR560,10)*'ButsMPG + Var'!$K$32+COUNTIF(BDD!H560:AR560,9)*'ButsMPG + Var'!$K$31+COUNTIF(BDD!H560:AR560,8)*'ButsMPG + Var'!$K$30+COUNTIF(BDD!H560:AR560,7)*'ButsMPG + Var'!$K$29+COUNTIF(BDD!H560:AR560,6)*'ButsMPG + Var'!$K$28+COUNTIF(BDD!H560:AR560,5)*'ButsMPG + Var'!$K$27+COUNTIF(BDD!H560:AR560,4)*'ButsMPG + Var'!$K$26+COUNTIF(BDD!H560:AR560,3)*'ButsMPG + Var'!$K$25+COUNTIF(BDD!H560:AR560,2)*'ButsMPG + Var'!$K$24+COUNTIF(BDD!H560:AR560,1)*'ButsMPG + Var'!$K$23,0)))</f>
        <v>0</v>
      </c>
      <c r="H557" s="25">
        <f t="shared" si="9"/>
        <v>0</v>
      </c>
      <c r="I557" s="25">
        <f>BDD!G560</f>
        <v>0</v>
      </c>
      <c r="J557" s="25">
        <f>SUMPRODUCT(BDD!H560:AS560,'ButsMPG + Var'!$B$46:$AM$46)</f>
        <v>0</v>
      </c>
      <c r="K557" s="25" t="e">
        <f>10*('ButsMPG + Var'!$H$37*J557/MAX(J:J)+'ButsMPG + Var'!$G$37*H557/MAX(H:H))</f>
        <v>#DIV/0!</v>
      </c>
      <c r="L557" s="1">
        <f>IF(ISNA(VLOOKUP(B557,PrixMini!$B$3:$E$573,4,FALSE)),1,VLOOKUP(B557,PrixMini!$B$3:$E$573,4,FALSE))</f>
        <v>1</v>
      </c>
      <c r="M557" s="25" t="e">
        <f>IF(ROUND(CalculCotation!$D$3*EXP(CalculCotation!$C$3*K557)-CalculCotation!$D$3+1,0)&gt;L557,ROUND(CalculCotation!$D$3*EXP(CalculCotation!$C$3*K557)-CalculCotation!$D$3+1,0),L557)</f>
        <v>#DIV/0!</v>
      </c>
    </row>
    <row r="558" spans="2:13" x14ac:dyDescent="0.3">
      <c r="B558" s="1">
        <f>BDD!C561</f>
        <v>0</v>
      </c>
      <c r="C558" s="1">
        <f>BDD!B561</f>
        <v>0</v>
      </c>
      <c r="D558" s="1">
        <f>BDD!A561</f>
        <v>0</v>
      </c>
      <c r="E558" s="1">
        <f>BDD!D561</f>
        <v>0</v>
      </c>
      <c r="F558" s="1">
        <f>BDD!F561</f>
        <v>0</v>
      </c>
      <c r="G558" s="25">
        <f>'ButsMPG + Var'!$I$39*IF(C558="A",COUNTIF(BDD!H561:AR561,10)*'ButsMPG + Var'!$K$12+COUNTIF(BDD!H561:AR561,9)*'ButsMPG + Var'!$K$11+COUNTIF(BDD!H561:AR561,8)*'ButsMPG + Var'!$K$10+COUNTIF(BDD!H561:AR561,7)*'ButsMPG + Var'!$K$9+COUNTIF(BDD!H561:AR561,6)*'ButsMPG + Var'!$K$8+COUNTIF(BDD!H561:AR561,5)*'ButsMPG + Var'!$K$7+COUNTIF(BDD!H561:AR561,4)*'ButsMPG + Var'!$K$6+COUNTIF(BDD!H561:AR561,3)*'ButsMPG + Var'!$K$5+COUNTIF(BDD!H561:AR561,2)*'ButsMPG + Var'!$K$4+COUNTIF(BDD!H561:AR561,1)*'ButsMPG + Var'!$K$3,IF(C558="M",COUNTIF(BDD!H561:AR561,10)*'ButsMPG + Var'!$K$22+COUNTIF(BDD!H561:AR561,9)*'ButsMPG + Var'!$K$21+COUNTIF(BDD!H561:AR561,8)*'ButsMPG + Var'!$K$20+COUNTIF(BDD!H561:AR561,7)*'ButsMPG + Var'!$K$19+COUNTIF(BDD!H561:AR561,6)*'ButsMPG + Var'!$K$18+COUNTIF(BDD!H561:AR561,5)*'ButsMPG + Var'!$K$17+COUNTIF(BDD!H561:AR561,4)*'ButsMPG + Var'!$K$16+COUNTIF(BDD!H561:AR561,3)*'ButsMPG + Var'!$K$15+COUNTIF(BDD!H561:AR561,2)*'ButsMPG + Var'!$K$14+COUNTIF(BDD!H561:AR561,1)*'ButsMPG + Var'!$K$13,IF(C558="D",COUNTIF(BDD!H561:AR561,10)*'ButsMPG + Var'!$K$32+COUNTIF(BDD!H561:AR561,9)*'ButsMPG + Var'!$K$31+COUNTIF(BDD!H561:AR561,8)*'ButsMPG + Var'!$K$30+COUNTIF(BDD!H561:AR561,7)*'ButsMPG + Var'!$K$29+COUNTIF(BDD!H561:AR561,6)*'ButsMPG + Var'!$K$28+COUNTIF(BDD!H561:AR561,5)*'ButsMPG + Var'!$K$27+COUNTIF(BDD!H561:AR561,4)*'ButsMPG + Var'!$K$26+COUNTIF(BDD!H561:AR561,3)*'ButsMPG + Var'!$K$25+COUNTIF(BDD!H561:AR561,2)*'ButsMPG + Var'!$K$24+COUNTIF(BDD!H561:AR561,1)*'ButsMPG + Var'!$K$23,0)))</f>
        <v>0</v>
      </c>
      <c r="H558" s="25">
        <f t="shared" si="9"/>
        <v>0</v>
      </c>
      <c r="I558" s="25">
        <f>BDD!G561</f>
        <v>0</v>
      </c>
      <c r="J558" s="25">
        <f>SUMPRODUCT(BDD!H561:AS561,'ButsMPG + Var'!$B$46:$AM$46)</f>
        <v>0</v>
      </c>
      <c r="K558" s="25" t="e">
        <f>10*('ButsMPG + Var'!$H$37*J558/MAX(J:J)+'ButsMPG + Var'!$G$37*H558/MAX(H:H))</f>
        <v>#DIV/0!</v>
      </c>
      <c r="L558" s="1">
        <f>IF(ISNA(VLOOKUP(B558,PrixMini!$B$3:$E$573,4,FALSE)),1,VLOOKUP(B558,PrixMini!$B$3:$E$573,4,FALSE))</f>
        <v>1</v>
      </c>
      <c r="M558" s="25" t="e">
        <f>IF(ROUND(CalculCotation!$D$3*EXP(CalculCotation!$C$3*K558)-CalculCotation!$D$3+1,0)&gt;L558,ROUND(CalculCotation!$D$3*EXP(CalculCotation!$C$3*K558)-CalculCotation!$D$3+1,0),L558)</f>
        <v>#DIV/0!</v>
      </c>
    </row>
    <row r="559" spans="2:13" x14ac:dyDescent="0.3">
      <c r="B559" s="1">
        <f>BDD!C562</f>
        <v>0</v>
      </c>
      <c r="C559" s="1">
        <f>BDD!B562</f>
        <v>0</v>
      </c>
      <c r="D559" s="1">
        <f>BDD!A562</f>
        <v>0</v>
      </c>
      <c r="E559" s="1">
        <f>BDD!D562</f>
        <v>0</v>
      </c>
      <c r="F559" s="1">
        <f>BDD!F562</f>
        <v>0</v>
      </c>
      <c r="G559" s="25">
        <f>'ButsMPG + Var'!$I$39*IF(C559="A",COUNTIF(BDD!H562:AR562,10)*'ButsMPG + Var'!$K$12+COUNTIF(BDD!H562:AR562,9)*'ButsMPG + Var'!$K$11+COUNTIF(BDD!H562:AR562,8)*'ButsMPG + Var'!$K$10+COUNTIF(BDD!H562:AR562,7)*'ButsMPG + Var'!$K$9+COUNTIF(BDD!H562:AR562,6)*'ButsMPG + Var'!$K$8+COUNTIF(BDD!H562:AR562,5)*'ButsMPG + Var'!$K$7+COUNTIF(BDD!H562:AR562,4)*'ButsMPG + Var'!$K$6+COUNTIF(BDD!H562:AR562,3)*'ButsMPG + Var'!$K$5+COUNTIF(BDD!H562:AR562,2)*'ButsMPG + Var'!$K$4+COUNTIF(BDD!H562:AR562,1)*'ButsMPG + Var'!$K$3,IF(C559="M",COUNTIF(BDD!H562:AR562,10)*'ButsMPG + Var'!$K$22+COUNTIF(BDD!H562:AR562,9)*'ButsMPG + Var'!$K$21+COUNTIF(BDD!H562:AR562,8)*'ButsMPG + Var'!$K$20+COUNTIF(BDD!H562:AR562,7)*'ButsMPG + Var'!$K$19+COUNTIF(BDD!H562:AR562,6)*'ButsMPG + Var'!$K$18+COUNTIF(BDD!H562:AR562,5)*'ButsMPG + Var'!$K$17+COUNTIF(BDD!H562:AR562,4)*'ButsMPG + Var'!$K$16+COUNTIF(BDD!H562:AR562,3)*'ButsMPG + Var'!$K$15+COUNTIF(BDD!H562:AR562,2)*'ButsMPG + Var'!$K$14+COUNTIF(BDD!H562:AR562,1)*'ButsMPG + Var'!$K$13,IF(C559="D",COUNTIF(BDD!H562:AR562,10)*'ButsMPG + Var'!$K$32+COUNTIF(BDD!H562:AR562,9)*'ButsMPG + Var'!$K$31+COUNTIF(BDD!H562:AR562,8)*'ButsMPG + Var'!$K$30+COUNTIF(BDD!H562:AR562,7)*'ButsMPG + Var'!$K$29+COUNTIF(BDD!H562:AR562,6)*'ButsMPG + Var'!$K$28+COUNTIF(BDD!H562:AR562,5)*'ButsMPG + Var'!$K$27+COUNTIF(BDD!H562:AR562,4)*'ButsMPG + Var'!$K$26+COUNTIF(BDD!H562:AR562,3)*'ButsMPG + Var'!$K$25+COUNTIF(BDD!H562:AR562,2)*'ButsMPG + Var'!$K$24+COUNTIF(BDD!H562:AR562,1)*'ButsMPG + Var'!$K$23,0)))</f>
        <v>0</v>
      </c>
      <c r="H559" s="25">
        <f t="shared" si="9"/>
        <v>0</v>
      </c>
      <c r="I559" s="25">
        <f>BDD!G562</f>
        <v>0</v>
      </c>
      <c r="J559" s="25">
        <f>SUMPRODUCT(BDD!H562:AS562,'ButsMPG + Var'!$B$46:$AM$46)</f>
        <v>0</v>
      </c>
      <c r="K559" s="25" t="e">
        <f>10*('ButsMPG + Var'!$H$37*J559/MAX(J:J)+'ButsMPG + Var'!$G$37*H559/MAX(H:H))</f>
        <v>#DIV/0!</v>
      </c>
      <c r="L559" s="1">
        <f>IF(ISNA(VLOOKUP(B559,PrixMini!$B$3:$E$573,4,FALSE)),1,VLOOKUP(B559,PrixMini!$B$3:$E$573,4,FALSE))</f>
        <v>1</v>
      </c>
      <c r="M559" s="25" t="e">
        <f>IF(ROUND(CalculCotation!$D$3*EXP(CalculCotation!$C$3*K559)-CalculCotation!$D$3+1,0)&gt;L559,ROUND(CalculCotation!$D$3*EXP(CalculCotation!$C$3*K559)-CalculCotation!$D$3+1,0),L559)</f>
        <v>#DIV/0!</v>
      </c>
    </row>
    <row r="560" spans="2:13" x14ac:dyDescent="0.3">
      <c r="B560" s="1">
        <f>BDD!C563</f>
        <v>0</v>
      </c>
      <c r="C560" s="1">
        <f>BDD!B563</f>
        <v>0</v>
      </c>
      <c r="D560" s="1">
        <f>BDD!A563</f>
        <v>0</v>
      </c>
      <c r="E560" s="1">
        <f>BDD!D563</f>
        <v>0</v>
      </c>
      <c r="F560" s="1">
        <f>BDD!F563</f>
        <v>0</v>
      </c>
      <c r="G560" s="25">
        <f>'ButsMPG + Var'!$I$39*IF(C560="A",COUNTIF(BDD!H563:AR563,10)*'ButsMPG + Var'!$K$12+COUNTIF(BDD!H563:AR563,9)*'ButsMPG + Var'!$K$11+COUNTIF(BDD!H563:AR563,8)*'ButsMPG + Var'!$K$10+COUNTIF(BDD!H563:AR563,7)*'ButsMPG + Var'!$K$9+COUNTIF(BDD!H563:AR563,6)*'ButsMPG + Var'!$K$8+COUNTIF(BDD!H563:AR563,5)*'ButsMPG + Var'!$K$7+COUNTIF(BDD!H563:AR563,4)*'ButsMPG + Var'!$K$6+COUNTIF(BDD!H563:AR563,3)*'ButsMPG + Var'!$K$5+COUNTIF(BDD!H563:AR563,2)*'ButsMPG + Var'!$K$4+COUNTIF(BDD!H563:AR563,1)*'ButsMPG + Var'!$K$3,IF(C560="M",COUNTIF(BDD!H563:AR563,10)*'ButsMPG + Var'!$K$22+COUNTIF(BDD!H563:AR563,9)*'ButsMPG + Var'!$K$21+COUNTIF(BDD!H563:AR563,8)*'ButsMPG + Var'!$K$20+COUNTIF(BDD!H563:AR563,7)*'ButsMPG + Var'!$K$19+COUNTIF(BDD!H563:AR563,6)*'ButsMPG + Var'!$K$18+COUNTIF(BDD!H563:AR563,5)*'ButsMPG + Var'!$K$17+COUNTIF(BDD!H563:AR563,4)*'ButsMPG + Var'!$K$16+COUNTIF(BDD!H563:AR563,3)*'ButsMPG + Var'!$K$15+COUNTIF(BDD!H563:AR563,2)*'ButsMPG + Var'!$K$14+COUNTIF(BDD!H563:AR563,1)*'ButsMPG + Var'!$K$13,IF(C560="D",COUNTIF(BDD!H563:AR563,10)*'ButsMPG + Var'!$K$32+COUNTIF(BDD!H563:AR563,9)*'ButsMPG + Var'!$K$31+COUNTIF(BDD!H563:AR563,8)*'ButsMPG + Var'!$K$30+COUNTIF(BDD!H563:AR563,7)*'ButsMPG + Var'!$K$29+COUNTIF(BDD!H563:AR563,6)*'ButsMPG + Var'!$K$28+COUNTIF(BDD!H563:AR563,5)*'ButsMPG + Var'!$K$27+COUNTIF(BDD!H563:AR563,4)*'ButsMPG + Var'!$K$26+COUNTIF(BDD!H563:AR563,3)*'ButsMPG + Var'!$K$25+COUNTIF(BDD!H563:AR563,2)*'ButsMPG + Var'!$K$24+COUNTIF(BDD!H563:AR563,1)*'ButsMPG + Var'!$K$23,0)))</f>
        <v>0</v>
      </c>
      <c r="H560" s="25">
        <f t="shared" si="9"/>
        <v>0</v>
      </c>
      <c r="I560" s="25">
        <f>BDD!G563</f>
        <v>0</v>
      </c>
      <c r="J560" s="25">
        <f>SUMPRODUCT(BDD!H563:AS563,'ButsMPG + Var'!$B$46:$AM$46)</f>
        <v>0</v>
      </c>
      <c r="K560" s="25" t="e">
        <f>10*('ButsMPG + Var'!$H$37*J560/MAX(J:J)+'ButsMPG + Var'!$G$37*H560/MAX(H:H))</f>
        <v>#DIV/0!</v>
      </c>
      <c r="L560" s="1">
        <f>IF(ISNA(VLOOKUP(B560,PrixMini!$B$3:$E$573,4,FALSE)),1,VLOOKUP(B560,PrixMini!$B$3:$E$573,4,FALSE))</f>
        <v>1</v>
      </c>
      <c r="M560" s="25" t="e">
        <f>IF(ROUND(CalculCotation!$D$3*EXP(CalculCotation!$C$3*K560)-CalculCotation!$D$3+1,0)&gt;L560,ROUND(CalculCotation!$D$3*EXP(CalculCotation!$C$3*K560)-CalculCotation!$D$3+1,0),L560)</f>
        <v>#DIV/0!</v>
      </c>
    </row>
    <row r="561" spans="2:13" x14ac:dyDescent="0.3">
      <c r="B561" s="1">
        <f>BDD!C564</f>
        <v>0</v>
      </c>
      <c r="C561" s="1">
        <f>BDD!B564</f>
        <v>0</v>
      </c>
      <c r="D561" s="1">
        <f>BDD!A564</f>
        <v>0</v>
      </c>
      <c r="E561" s="1">
        <f>BDD!D564</f>
        <v>0</v>
      </c>
      <c r="F561" s="1">
        <f>BDD!F564</f>
        <v>0</v>
      </c>
      <c r="G561" s="25">
        <f>'ButsMPG + Var'!$I$39*IF(C561="A",COUNTIF(BDD!H564:AR564,10)*'ButsMPG + Var'!$K$12+COUNTIF(BDD!H564:AR564,9)*'ButsMPG + Var'!$K$11+COUNTIF(BDD!H564:AR564,8)*'ButsMPG + Var'!$K$10+COUNTIF(BDD!H564:AR564,7)*'ButsMPG + Var'!$K$9+COUNTIF(BDD!H564:AR564,6)*'ButsMPG + Var'!$K$8+COUNTIF(BDD!H564:AR564,5)*'ButsMPG + Var'!$K$7+COUNTIF(BDD!H564:AR564,4)*'ButsMPG + Var'!$K$6+COUNTIF(BDD!H564:AR564,3)*'ButsMPG + Var'!$K$5+COUNTIF(BDD!H564:AR564,2)*'ButsMPG + Var'!$K$4+COUNTIF(BDD!H564:AR564,1)*'ButsMPG + Var'!$K$3,IF(C561="M",COUNTIF(BDD!H564:AR564,10)*'ButsMPG + Var'!$K$22+COUNTIF(BDD!H564:AR564,9)*'ButsMPG + Var'!$K$21+COUNTIF(BDD!H564:AR564,8)*'ButsMPG + Var'!$K$20+COUNTIF(BDD!H564:AR564,7)*'ButsMPG + Var'!$K$19+COUNTIF(BDD!H564:AR564,6)*'ButsMPG + Var'!$K$18+COUNTIF(BDD!H564:AR564,5)*'ButsMPG + Var'!$K$17+COUNTIF(BDD!H564:AR564,4)*'ButsMPG + Var'!$K$16+COUNTIF(BDD!H564:AR564,3)*'ButsMPG + Var'!$K$15+COUNTIF(BDD!H564:AR564,2)*'ButsMPG + Var'!$K$14+COUNTIF(BDD!H564:AR564,1)*'ButsMPG + Var'!$K$13,IF(C561="D",COUNTIF(BDD!H564:AR564,10)*'ButsMPG + Var'!$K$32+COUNTIF(BDD!H564:AR564,9)*'ButsMPG + Var'!$K$31+COUNTIF(BDD!H564:AR564,8)*'ButsMPG + Var'!$K$30+COUNTIF(BDD!H564:AR564,7)*'ButsMPG + Var'!$K$29+COUNTIF(BDD!H564:AR564,6)*'ButsMPG + Var'!$K$28+COUNTIF(BDD!H564:AR564,5)*'ButsMPG + Var'!$K$27+COUNTIF(BDD!H564:AR564,4)*'ButsMPG + Var'!$K$26+COUNTIF(BDD!H564:AR564,3)*'ButsMPG + Var'!$K$25+COUNTIF(BDD!H564:AR564,2)*'ButsMPG + Var'!$K$24+COUNTIF(BDD!H564:AR564,1)*'ButsMPG + Var'!$K$23,0)))</f>
        <v>0</v>
      </c>
      <c r="H561" s="25">
        <f t="shared" si="9"/>
        <v>0</v>
      </c>
      <c r="I561" s="25">
        <f>BDD!G564</f>
        <v>0</v>
      </c>
      <c r="J561" s="25">
        <f>SUMPRODUCT(BDD!H564:AS564,'ButsMPG + Var'!$B$46:$AM$46)</f>
        <v>0</v>
      </c>
      <c r="K561" s="25" t="e">
        <f>10*('ButsMPG + Var'!$H$37*J561/MAX(J:J)+'ButsMPG + Var'!$G$37*H561/MAX(H:H))</f>
        <v>#DIV/0!</v>
      </c>
      <c r="L561" s="1">
        <f>IF(ISNA(VLOOKUP(B561,PrixMini!$B$3:$E$573,4,FALSE)),1,VLOOKUP(B561,PrixMini!$B$3:$E$573,4,FALSE))</f>
        <v>1</v>
      </c>
      <c r="M561" s="25" t="e">
        <f>IF(ROUND(CalculCotation!$D$3*EXP(CalculCotation!$C$3*K561)-CalculCotation!$D$3+1,0)&gt;L561,ROUND(CalculCotation!$D$3*EXP(CalculCotation!$C$3*K561)-CalculCotation!$D$3+1,0),L561)</f>
        <v>#DIV/0!</v>
      </c>
    </row>
    <row r="562" spans="2:13" x14ac:dyDescent="0.3">
      <c r="B562" s="1">
        <f>BDD!C565</f>
        <v>0</v>
      </c>
      <c r="C562" s="1">
        <f>BDD!B565</f>
        <v>0</v>
      </c>
      <c r="D562" s="1">
        <f>BDD!A565</f>
        <v>0</v>
      </c>
      <c r="E562" s="1">
        <f>BDD!D565</f>
        <v>0</v>
      </c>
      <c r="F562" s="1">
        <f>BDD!F565</f>
        <v>0</v>
      </c>
      <c r="G562" s="25">
        <f>'ButsMPG + Var'!$I$39*IF(C562="A",COUNTIF(BDD!H565:AR565,10)*'ButsMPG + Var'!$K$12+COUNTIF(BDD!H565:AR565,9)*'ButsMPG + Var'!$K$11+COUNTIF(BDD!H565:AR565,8)*'ButsMPG + Var'!$K$10+COUNTIF(BDD!H565:AR565,7)*'ButsMPG + Var'!$K$9+COUNTIF(BDD!H565:AR565,6)*'ButsMPG + Var'!$K$8+COUNTIF(BDD!H565:AR565,5)*'ButsMPG + Var'!$K$7+COUNTIF(BDD!H565:AR565,4)*'ButsMPG + Var'!$K$6+COUNTIF(BDD!H565:AR565,3)*'ButsMPG + Var'!$K$5+COUNTIF(BDD!H565:AR565,2)*'ButsMPG + Var'!$K$4+COUNTIF(BDD!H565:AR565,1)*'ButsMPG + Var'!$K$3,IF(C562="M",COUNTIF(BDD!H565:AR565,10)*'ButsMPG + Var'!$K$22+COUNTIF(BDD!H565:AR565,9)*'ButsMPG + Var'!$K$21+COUNTIF(BDD!H565:AR565,8)*'ButsMPG + Var'!$K$20+COUNTIF(BDD!H565:AR565,7)*'ButsMPG + Var'!$K$19+COUNTIF(BDD!H565:AR565,6)*'ButsMPG + Var'!$K$18+COUNTIF(BDD!H565:AR565,5)*'ButsMPG + Var'!$K$17+COUNTIF(BDD!H565:AR565,4)*'ButsMPG + Var'!$K$16+COUNTIF(BDD!H565:AR565,3)*'ButsMPG + Var'!$K$15+COUNTIF(BDD!H565:AR565,2)*'ButsMPG + Var'!$K$14+COUNTIF(BDD!H565:AR565,1)*'ButsMPG + Var'!$K$13,IF(C562="D",COUNTIF(BDD!H565:AR565,10)*'ButsMPG + Var'!$K$32+COUNTIF(BDD!H565:AR565,9)*'ButsMPG + Var'!$K$31+COUNTIF(BDD!H565:AR565,8)*'ButsMPG + Var'!$K$30+COUNTIF(BDD!H565:AR565,7)*'ButsMPG + Var'!$K$29+COUNTIF(BDD!H565:AR565,6)*'ButsMPG + Var'!$K$28+COUNTIF(BDD!H565:AR565,5)*'ButsMPG + Var'!$K$27+COUNTIF(BDD!H565:AR565,4)*'ButsMPG + Var'!$K$26+COUNTIF(BDD!H565:AR565,3)*'ButsMPG + Var'!$K$25+COUNTIF(BDD!H565:AR565,2)*'ButsMPG + Var'!$K$24+COUNTIF(BDD!H565:AR565,1)*'ButsMPG + Var'!$K$23,0)))</f>
        <v>0</v>
      </c>
      <c r="H562" s="25">
        <f t="shared" si="9"/>
        <v>0</v>
      </c>
      <c r="I562" s="25">
        <f>BDD!G565</f>
        <v>0</v>
      </c>
      <c r="J562" s="25">
        <f>SUMPRODUCT(BDD!H565:AS565,'ButsMPG + Var'!$B$46:$AM$46)</f>
        <v>0</v>
      </c>
      <c r="K562" s="25" t="e">
        <f>10*('ButsMPG + Var'!$H$37*J562/MAX(J:J)+'ButsMPG + Var'!$G$37*H562/MAX(H:H))</f>
        <v>#DIV/0!</v>
      </c>
      <c r="L562" s="1">
        <f>IF(ISNA(VLOOKUP(B562,PrixMini!$B$3:$E$573,4,FALSE)),1,VLOOKUP(B562,PrixMini!$B$3:$E$573,4,FALSE))</f>
        <v>1</v>
      </c>
      <c r="M562" s="25" t="e">
        <f>IF(ROUND(CalculCotation!$D$3*EXP(CalculCotation!$C$3*K562)-CalculCotation!$D$3+1,0)&gt;L562,ROUND(CalculCotation!$D$3*EXP(CalculCotation!$C$3*K562)-CalculCotation!$D$3+1,0),L562)</f>
        <v>#DIV/0!</v>
      </c>
    </row>
    <row r="563" spans="2:13" x14ac:dyDescent="0.3">
      <c r="B563" s="1">
        <f>BDD!C566</f>
        <v>0</v>
      </c>
      <c r="C563" s="1">
        <f>BDD!B566</f>
        <v>0</v>
      </c>
      <c r="D563" s="1">
        <f>BDD!A566</f>
        <v>0</v>
      </c>
      <c r="E563" s="1">
        <f>BDD!D566</f>
        <v>0</v>
      </c>
      <c r="F563" s="1">
        <f>BDD!F566</f>
        <v>0</v>
      </c>
      <c r="G563" s="25">
        <f>'ButsMPG + Var'!$I$39*IF(C563="A",COUNTIF(BDD!H566:AR566,10)*'ButsMPG + Var'!$K$12+COUNTIF(BDD!H566:AR566,9)*'ButsMPG + Var'!$K$11+COUNTIF(BDD!H566:AR566,8)*'ButsMPG + Var'!$K$10+COUNTIF(BDD!H566:AR566,7)*'ButsMPG + Var'!$K$9+COUNTIF(BDD!H566:AR566,6)*'ButsMPG + Var'!$K$8+COUNTIF(BDD!H566:AR566,5)*'ButsMPG + Var'!$K$7+COUNTIF(BDD!H566:AR566,4)*'ButsMPG + Var'!$K$6+COUNTIF(BDD!H566:AR566,3)*'ButsMPG + Var'!$K$5+COUNTIF(BDD!H566:AR566,2)*'ButsMPG + Var'!$K$4+COUNTIF(BDD!H566:AR566,1)*'ButsMPG + Var'!$K$3,IF(C563="M",COUNTIF(BDD!H566:AR566,10)*'ButsMPG + Var'!$K$22+COUNTIF(BDD!H566:AR566,9)*'ButsMPG + Var'!$K$21+COUNTIF(BDD!H566:AR566,8)*'ButsMPG + Var'!$K$20+COUNTIF(BDD!H566:AR566,7)*'ButsMPG + Var'!$K$19+COUNTIF(BDD!H566:AR566,6)*'ButsMPG + Var'!$K$18+COUNTIF(BDD!H566:AR566,5)*'ButsMPG + Var'!$K$17+COUNTIF(BDD!H566:AR566,4)*'ButsMPG + Var'!$K$16+COUNTIF(BDD!H566:AR566,3)*'ButsMPG + Var'!$K$15+COUNTIF(BDD!H566:AR566,2)*'ButsMPG + Var'!$K$14+COUNTIF(BDD!H566:AR566,1)*'ButsMPG + Var'!$K$13,IF(C563="D",COUNTIF(BDD!H566:AR566,10)*'ButsMPG + Var'!$K$32+COUNTIF(BDD!H566:AR566,9)*'ButsMPG + Var'!$K$31+COUNTIF(BDD!H566:AR566,8)*'ButsMPG + Var'!$K$30+COUNTIF(BDD!H566:AR566,7)*'ButsMPG + Var'!$K$29+COUNTIF(BDD!H566:AR566,6)*'ButsMPG + Var'!$K$28+COUNTIF(BDD!H566:AR566,5)*'ButsMPG + Var'!$K$27+COUNTIF(BDD!H566:AR566,4)*'ButsMPG + Var'!$K$26+COUNTIF(BDD!H566:AR566,3)*'ButsMPG + Var'!$K$25+COUNTIF(BDD!H566:AR566,2)*'ButsMPG + Var'!$K$24+COUNTIF(BDD!H566:AR566,1)*'ButsMPG + Var'!$K$23,0)))</f>
        <v>0</v>
      </c>
      <c r="H563" s="25">
        <f t="shared" si="9"/>
        <v>0</v>
      </c>
      <c r="I563" s="25">
        <f>BDD!G566</f>
        <v>0</v>
      </c>
      <c r="J563" s="25">
        <f>SUMPRODUCT(BDD!H566:AS566,'ButsMPG + Var'!$B$46:$AM$46)</f>
        <v>0</v>
      </c>
      <c r="K563" s="25" t="e">
        <f>10*('ButsMPG + Var'!$H$37*J563/MAX(J:J)+'ButsMPG + Var'!$G$37*H563/MAX(H:H))</f>
        <v>#DIV/0!</v>
      </c>
      <c r="L563" s="1">
        <f>IF(ISNA(VLOOKUP(B563,PrixMini!$B$3:$E$573,4,FALSE)),1,VLOOKUP(B563,PrixMini!$B$3:$E$573,4,FALSE))</f>
        <v>1</v>
      </c>
      <c r="M563" s="25" t="e">
        <f>IF(ROUND(CalculCotation!$D$3*EXP(CalculCotation!$C$3*K563)-CalculCotation!$D$3+1,0)&gt;L563,ROUND(CalculCotation!$D$3*EXP(CalculCotation!$C$3*K563)-CalculCotation!$D$3+1,0),L563)</f>
        <v>#DIV/0!</v>
      </c>
    </row>
    <row r="564" spans="2:13" x14ac:dyDescent="0.3">
      <c r="B564" s="1">
        <f>BDD!C567</f>
        <v>0</v>
      </c>
      <c r="C564" s="1">
        <f>BDD!B567</f>
        <v>0</v>
      </c>
      <c r="D564" s="1">
        <f>BDD!A567</f>
        <v>0</v>
      </c>
      <c r="E564" s="1">
        <f>BDD!D567</f>
        <v>0</v>
      </c>
      <c r="F564" s="1">
        <f>BDD!F567</f>
        <v>0</v>
      </c>
      <c r="G564" s="25">
        <f>'ButsMPG + Var'!$I$39*IF(C564="A",COUNTIF(BDD!H567:AR567,10)*'ButsMPG + Var'!$K$12+COUNTIF(BDD!H567:AR567,9)*'ButsMPG + Var'!$K$11+COUNTIF(BDD!H567:AR567,8)*'ButsMPG + Var'!$K$10+COUNTIF(BDD!H567:AR567,7)*'ButsMPG + Var'!$K$9+COUNTIF(BDD!H567:AR567,6)*'ButsMPG + Var'!$K$8+COUNTIF(BDD!H567:AR567,5)*'ButsMPG + Var'!$K$7+COUNTIF(BDD!H567:AR567,4)*'ButsMPG + Var'!$K$6+COUNTIF(BDD!H567:AR567,3)*'ButsMPG + Var'!$K$5+COUNTIF(BDD!H567:AR567,2)*'ButsMPG + Var'!$K$4+COUNTIF(BDD!H567:AR567,1)*'ButsMPG + Var'!$K$3,IF(C564="M",COUNTIF(BDD!H567:AR567,10)*'ButsMPG + Var'!$K$22+COUNTIF(BDD!H567:AR567,9)*'ButsMPG + Var'!$K$21+COUNTIF(BDD!H567:AR567,8)*'ButsMPG + Var'!$K$20+COUNTIF(BDD!H567:AR567,7)*'ButsMPG + Var'!$K$19+COUNTIF(BDD!H567:AR567,6)*'ButsMPG + Var'!$K$18+COUNTIF(BDD!H567:AR567,5)*'ButsMPG + Var'!$K$17+COUNTIF(BDD!H567:AR567,4)*'ButsMPG + Var'!$K$16+COUNTIF(BDD!H567:AR567,3)*'ButsMPG + Var'!$K$15+COUNTIF(BDD!H567:AR567,2)*'ButsMPG + Var'!$K$14+COUNTIF(BDD!H567:AR567,1)*'ButsMPG + Var'!$K$13,IF(C564="D",COUNTIF(BDD!H567:AR567,10)*'ButsMPG + Var'!$K$32+COUNTIF(BDD!H567:AR567,9)*'ButsMPG + Var'!$K$31+COUNTIF(BDD!H567:AR567,8)*'ButsMPG + Var'!$K$30+COUNTIF(BDD!H567:AR567,7)*'ButsMPG + Var'!$K$29+COUNTIF(BDD!H567:AR567,6)*'ButsMPG + Var'!$K$28+COUNTIF(BDD!H567:AR567,5)*'ButsMPG + Var'!$K$27+COUNTIF(BDD!H567:AR567,4)*'ButsMPG + Var'!$K$26+COUNTIF(BDD!H567:AR567,3)*'ButsMPG + Var'!$K$25+COUNTIF(BDD!H567:AR567,2)*'ButsMPG + Var'!$K$24+COUNTIF(BDD!H567:AR567,1)*'ButsMPG + Var'!$K$23,0)))</f>
        <v>0</v>
      </c>
      <c r="H564" s="25">
        <f t="shared" si="9"/>
        <v>0</v>
      </c>
      <c r="I564" s="25">
        <f>BDD!G567</f>
        <v>0</v>
      </c>
      <c r="J564" s="25">
        <f>SUMPRODUCT(BDD!H567:AS567,'ButsMPG + Var'!$B$46:$AM$46)</f>
        <v>0</v>
      </c>
      <c r="K564" s="25" t="e">
        <f>10*('ButsMPG + Var'!$H$37*J564/MAX(J:J)+'ButsMPG + Var'!$G$37*H564/MAX(H:H))</f>
        <v>#DIV/0!</v>
      </c>
      <c r="L564" s="1">
        <f>IF(ISNA(VLOOKUP(B564,PrixMini!$B$3:$E$573,4,FALSE)),1,VLOOKUP(B564,PrixMini!$B$3:$E$573,4,FALSE))</f>
        <v>1</v>
      </c>
      <c r="M564" s="25" t="e">
        <f>IF(ROUND(CalculCotation!$D$3*EXP(CalculCotation!$C$3*K564)-CalculCotation!$D$3+1,0)&gt;L564,ROUND(CalculCotation!$D$3*EXP(CalculCotation!$C$3*K564)-CalculCotation!$D$3+1,0),L564)</f>
        <v>#DIV/0!</v>
      </c>
    </row>
    <row r="565" spans="2:13" x14ac:dyDescent="0.3">
      <c r="B565" s="1">
        <f>BDD!C568</f>
        <v>0</v>
      </c>
      <c r="C565" s="1">
        <f>BDD!B568</f>
        <v>0</v>
      </c>
      <c r="D565" s="1">
        <f>BDD!A568</f>
        <v>0</v>
      </c>
      <c r="E565" s="1">
        <f>BDD!D568</f>
        <v>0</v>
      </c>
      <c r="F565" s="1">
        <f>BDD!F568</f>
        <v>0</v>
      </c>
      <c r="G565" s="25">
        <f>'ButsMPG + Var'!$I$39*IF(C565="A",COUNTIF(BDD!H568:AR568,10)*'ButsMPG + Var'!$K$12+COUNTIF(BDD!H568:AR568,9)*'ButsMPG + Var'!$K$11+COUNTIF(BDD!H568:AR568,8)*'ButsMPG + Var'!$K$10+COUNTIF(BDD!H568:AR568,7)*'ButsMPG + Var'!$K$9+COUNTIF(BDD!H568:AR568,6)*'ButsMPG + Var'!$K$8+COUNTIF(BDD!H568:AR568,5)*'ButsMPG + Var'!$K$7+COUNTIF(BDD!H568:AR568,4)*'ButsMPG + Var'!$K$6+COUNTIF(BDD!H568:AR568,3)*'ButsMPG + Var'!$K$5+COUNTIF(BDD!H568:AR568,2)*'ButsMPG + Var'!$K$4+COUNTIF(BDD!H568:AR568,1)*'ButsMPG + Var'!$K$3,IF(C565="M",COUNTIF(BDD!H568:AR568,10)*'ButsMPG + Var'!$K$22+COUNTIF(BDD!H568:AR568,9)*'ButsMPG + Var'!$K$21+COUNTIF(BDD!H568:AR568,8)*'ButsMPG + Var'!$K$20+COUNTIF(BDD!H568:AR568,7)*'ButsMPG + Var'!$K$19+COUNTIF(BDD!H568:AR568,6)*'ButsMPG + Var'!$K$18+COUNTIF(BDD!H568:AR568,5)*'ButsMPG + Var'!$K$17+COUNTIF(BDD!H568:AR568,4)*'ButsMPG + Var'!$K$16+COUNTIF(BDD!H568:AR568,3)*'ButsMPG + Var'!$K$15+COUNTIF(BDD!H568:AR568,2)*'ButsMPG + Var'!$K$14+COUNTIF(BDD!H568:AR568,1)*'ButsMPG + Var'!$K$13,IF(C565="D",COUNTIF(BDD!H568:AR568,10)*'ButsMPG + Var'!$K$32+COUNTIF(BDD!H568:AR568,9)*'ButsMPG + Var'!$K$31+COUNTIF(BDD!H568:AR568,8)*'ButsMPG + Var'!$K$30+COUNTIF(BDD!H568:AR568,7)*'ButsMPG + Var'!$K$29+COUNTIF(BDD!H568:AR568,6)*'ButsMPG + Var'!$K$28+COUNTIF(BDD!H568:AR568,5)*'ButsMPG + Var'!$K$27+COUNTIF(BDD!H568:AR568,4)*'ButsMPG + Var'!$K$26+COUNTIF(BDD!H568:AR568,3)*'ButsMPG + Var'!$K$25+COUNTIF(BDD!H568:AR568,2)*'ButsMPG + Var'!$K$24+COUNTIF(BDD!H568:AR568,1)*'ButsMPG + Var'!$K$23,0)))</f>
        <v>0</v>
      </c>
      <c r="H565" s="25">
        <f t="shared" si="9"/>
        <v>0</v>
      </c>
      <c r="I565" s="25">
        <f>BDD!G568</f>
        <v>0</v>
      </c>
      <c r="J565" s="25">
        <f>SUMPRODUCT(BDD!H568:AS568,'ButsMPG + Var'!$B$46:$AM$46)</f>
        <v>0</v>
      </c>
      <c r="K565" s="25" t="e">
        <f>10*('ButsMPG + Var'!$H$37*J565/MAX(J:J)+'ButsMPG + Var'!$G$37*H565/MAX(H:H))</f>
        <v>#DIV/0!</v>
      </c>
      <c r="L565" s="1">
        <f>IF(ISNA(VLOOKUP(B565,PrixMini!$B$3:$E$573,4,FALSE)),1,VLOOKUP(B565,PrixMini!$B$3:$E$573,4,FALSE))</f>
        <v>1</v>
      </c>
      <c r="M565" s="25" t="e">
        <f>IF(ROUND(CalculCotation!$D$3*EXP(CalculCotation!$C$3*K565)-CalculCotation!$D$3+1,0)&gt;L565,ROUND(CalculCotation!$D$3*EXP(CalculCotation!$C$3*K565)-CalculCotation!$D$3+1,0),L565)</f>
        <v>#DIV/0!</v>
      </c>
    </row>
    <row r="566" spans="2:13" x14ac:dyDescent="0.3">
      <c r="B566" s="1">
        <f>BDD!C569</f>
        <v>0</v>
      </c>
      <c r="C566" s="1">
        <f>BDD!B569</f>
        <v>0</v>
      </c>
      <c r="D566" s="1">
        <f>BDD!A569</f>
        <v>0</v>
      </c>
      <c r="E566" s="1">
        <f>BDD!D569</f>
        <v>0</v>
      </c>
      <c r="F566" s="1">
        <f>BDD!F569</f>
        <v>0</v>
      </c>
      <c r="G566" s="25">
        <f>'ButsMPG + Var'!$I$39*IF(C566="A",COUNTIF(BDD!H569:AR569,10)*'ButsMPG + Var'!$K$12+COUNTIF(BDD!H569:AR569,9)*'ButsMPG + Var'!$K$11+COUNTIF(BDD!H569:AR569,8)*'ButsMPG + Var'!$K$10+COUNTIF(BDD!H569:AR569,7)*'ButsMPG + Var'!$K$9+COUNTIF(BDD!H569:AR569,6)*'ButsMPG + Var'!$K$8+COUNTIF(BDD!H569:AR569,5)*'ButsMPG + Var'!$K$7+COUNTIF(BDD!H569:AR569,4)*'ButsMPG + Var'!$K$6+COUNTIF(BDD!H569:AR569,3)*'ButsMPG + Var'!$K$5+COUNTIF(BDD!H569:AR569,2)*'ButsMPG + Var'!$K$4+COUNTIF(BDD!H569:AR569,1)*'ButsMPG + Var'!$K$3,IF(C566="M",COUNTIF(BDD!H569:AR569,10)*'ButsMPG + Var'!$K$22+COUNTIF(BDD!H569:AR569,9)*'ButsMPG + Var'!$K$21+COUNTIF(BDD!H569:AR569,8)*'ButsMPG + Var'!$K$20+COUNTIF(BDD!H569:AR569,7)*'ButsMPG + Var'!$K$19+COUNTIF(BDD!H569:AR569,6)*'ButsMPG + Var'!$K$18+COUNTIF(BDD!H569:AR569,5)*'ButsMPG + Var'!$K$17+COUNTIF(BDD!H569:AR569,4)*'ButsMPG + Var'!$K$16+COUNTIF(BDD!H569:AR569,3)*'ButsMPG + Var'!$K$15+COUNTIF(BDD!H569:AR569,2)*'ButsMPG + Var'!$K$14+COUNTIF(BDD!H569:AR569,1)*'ButsMPG + Var'!$K$13,IF(C566="D",COUNTIF(BDD!H569:AR569,10)*'ButsMPG + Var'!$K$32+COUNTIF(BDD!H569:AR569,9)*'ButsMPG + Var'!$K$31+COUNTIF(BDD!H569:AR569,8)*'ButsMPG + Var'!$K$30+COUNTIF(BDD!H569:AR569,7)*'ButsMPG + Var'!$K$29+COUNTIF(BDD!H569:AR569,6)*'ButsMPG + Var'!$K$28+COUNTIF(BDD!H569:AR569,5)*'ButsMPG + Var'!$K$27+COUNTIF(BDD!H569:AR569,4)*'ButsMPG + Var'!$K$26+COUNTIF(BDD!H569:AR569,3)*'ButsMPG + Var'!$K$25+COUNTIF(BDD!H569:AR569,2)*'ButsMPG + Var'!$K$24+COUNTIF(BDD!H569:AR569,1)*'ButsMPG + Var'!$K$23,0)))</f>
        <v>0</v>
      </c>
      <c r="H566" s="25">
        <f t="shared" si="9"/>
        <v>0</v>
      </c>
      <c r="I566" s="25">
        <f>BDD!G569</f>
        <v>0</v>
      </c>
      <c r="J566" s="25">
        <f>SUMPRODUCT(BDD!H569:AS569,'ButsMPG + Var'!$B$46:$AM$46)</f>
        <v>0</v>
      </c>
      <c r="K566" s="25" t="e">
        <f>10*('ButsMPG + Var'!$H$37*J566/MAX(J:J)+'ButsMPG + Var'!$G$37*H566/MAX(H:H))</f>
        <v>#DIV/0!</v>
      </c>
      <c r="L566" s="1">
        <f>IF(ISNA(VLOOKUP(B566,PrixMini!$B$3:$E$573,4,FALSE)),1,VLOOKUP(B566,PrixMini!$B$3:$E$573,4,FALSE))</f>
        <v>1</v>
      </c>
      <c r="M566" s="25" t="e">
        <f>IF(ROUND(CalculCotation!$D$3*EXP(CalculCotation!$C$3*K566)-CalculCotation!$D$3+1,0)&gt;L566,ROUND(CalculCotation!$D$3*EXP(CalculCotation!$C$3*K566)-CalculCotation!$D$3+1,0),L566)</f>
        <v>#DIV/0!</v>
      </c>
    </row>
    <row r="567" spans="2:13" x14ac:dyDescent="0.3">
      <c r="B567" s="1">
        <f>BDD!C570</f>
        <v>0</v>
      </c>
      <c r="C567" s="1">
        <f>BDD!B570</f>
        <v>0</v>
      </c>
      <c r="D567" s="1">
        <f>BDD!A570</f>
        <v>0</v>
      </c>
      <c r="E567" s="1">
        <f>BDD!D570</f>
        <v>0</v>
      </c>
      <c r="F567" s="1">
        <f>BDD!F570</f>
        <v>0</v>
      </c>
      <c r="G567" s="25">
        <f>'ButsMPG + Var'!$I$39*IF(C567="A",COUNTIF(BDD!H570:AR570,10)*'ButsMPG + Var'!$K$12+COUNTIF(BDD!H570:AR570,9)*'ButsMPG + Var'!$K$11+COUNTIF(BDD!H570:AR570,8)*'ButsMPG + Var'!$K$10+COUNTIF(BDD!H570:AR570,7)*'ButsMPG + Var'!$K$9+COUNTIF(BDD!H570:AR570,6)*'ButsMPG + Var'!$K$8+COUNTIF(BDD!H570:AR570,5)*'ButsMPG + Var'!$K$7+COUNTIF(BDD!H570:AR570,4)*'ButsMPG + Var'!$K$6+COUNTIF(BDD!H570:AR570,3)*'ButsMPG + Var'!$K$5+COUNTIF(BDD!H570:AR570,2)*'ButsMPG + Var'!$K$4+COUNTIF(BDD!H570:AR570,1)*'ButsMPG + Var'!$K$3,IF(C567="M",COUNTIF(BDD!H570:AR570,10)*'ButsMPG + Var'!$K$22+COUNTIF(BDD!H570:AR570,9)*'ButsMPG + Var'!$K$21+COUNTIF(BDD!H570:AR570,8)*'ButsMPG + Var'!$K$20+COUNTIF(BDD!H570:AR570,7)*'ButsMPG + Var'!$K$19+COUNTIF(BDD!H570:AR570,6)*'ButsMPG + Var'!$K$18+COUNTIF(BDD!H570:AR570,5)*'ButsMPG + Var'!$K$17+COUNTIF(BDD!H570:AR570,4)*'ButsMPG + Var'!$K$16+COUNTIF(BDD!H570:AR570,3)*'ButsMPG + Var'!$K$15+COUNTIF(BDD!H570:AR570,2)*'ButsMPG + Var'!$K$14+COUNTIF(BDD!H570:AR570,1)*'ButsMPG + Var'!$K$13,IF(C567="D",COUNTIF(BDD!H570:AR570,10)*'ButsMPG + Var'!$K$32+COUNTIF(BDD!H570:AR570,9)*'ButsMPG + Var'!$K$31+COUNTIF(BDD!H570:AR570,8)*'ButsMPG + Var'!$K$30+COUNTIF(BDD!H570:AR570,7)*'ButsMPG + Var'!$K$29+COUNTIF(BDD!H570:AR570,6)*'ButsMPG + Var'!$K$28+COUNTIF(BDD!H570:AR570,5)*'ButsMPG + Var'!$K$27+COUNTIF(BDD!H570:AR570,4)*'ButsMPG + Var'!$K$26+COUNTIF(BDD!H570:AR570,3)*'ButsMPG + Var'!$K$25+COUNTIF(BDD!H570:AR570,2)*'ButsMPG + Var'!$K$24+COUNTIF(BDD!H570:AR570,1)*'ButsMPG + Var'!$K$23,0)))</f>
        <v>0</v>
      </c>
      <c r="H567" s="25">
        <f t="shared" si="9"/>
        <v>0</v>
      </c>
      <c r="I567" s="25">
        <f>BDD!G570</f>
        <v>0</v>
      </c>
      <c r="J567" s="25">
        <f>SUMPRODUCT(BDD!H570:AS570,'ButsMPG + Var'!$B$46:$AM$46)</f>
        <v>0</v>
      </c>
      <c r="K567" s="25" t="e">
        <f>10*('ButsMPG + Var'!$H$37*J567/MAX(J:J)+'ButsMPG + Var'!$G$37*H567/MAX(H:H))</f>
        <v>#DIV/0!</v>
      </c>
      <c r="L567" s="1">
        <f>IF(ISNA(VLOOKUP(B567,PrixMini!$B$3:$E$573,4,FALSE)),1,VLOOKUP(B567,PrixMini!$B$3:$E$573,4,FALSE))</f>
        <v>1</v>
      </c>
      <c r="M567" s="25" t="e">
        <f>IF(ROUND(CalculCotation!$D$3*EXP(CalculCotation!$C$3*K567)-CalculCotation!$D$3+1,0)&gt;L567,ROUND(CalculCotation!$D$3*EXP(CalculCotation!$C$3*K567)-CalculCotation!$D$3+1,0),L567)</f>
        <v>#DIV/0!</v>
      </c>
    </row>
    <row r="568" spans="2:13" x14ac:dyDescent="0.3">
      <c r="B568" s="1">
        <f>BDD!C571</f>
        <v>0</v>
      </c>
      <c r="C568" s="1">
        <f>BDD!B571</f>
        <v>0</v>
      </c>
      <c r="D568" s="1">
        <f>BDD!A571</f>
        <v>0</v>
      </c>
      <c r="E568" s="1">
        <f>BDD!D571</f>
        <v>0</v>
      </c>
      <c r="F568" s="1">
        <f>BDD!F571</f>
        <v>0</v>
      </c>
      <c r="G568" s="25">
        <f>'ButsMPG + Var'!$I$39*IF(C568="A",COUNTIF(BDD!H571:AR571,10)*'ButsMPG + Var'!$K$12+COUNTIF(BDD!H571:AR571,9)*'ButsMPG + Var'!$K$11+COUNTIF(BDD!H571:AR571,8)*'ButsMPG + Var'!$K$10+COUNTIF(BDD!H571:AR571,7)*'ButsMPG + Var'!$K$9+COUNTIF(BDD!H571:AR571,6)*'ButsMPG + Var'!$K$8+COUNTIF(BDD!H571:AR571,5)*'ButsMPG + Var'!$K$7+COUNTIF(BDD!H571:AR571,4)*'ButsMPG + Var'!$K$6+COUNTIF(BDD!H571:AR571,3)*'ButsMPG + Var'!$K$5+COUNTIF(BDD!H571:AR571,2)*'ButsMPG + Var'!$K$4+COUNTIF(BDD!H571:AR571,1)*'ButsMPG + Var'!$K$3,IF(C568="M",COUNTIF(BDD!H571:AR571,10)*'ButsMPG + Var'!$K$22+COUNTIF(BDD!H571:AR571,9)*'ButsMPG + Var'!$K$21+COUNTIF(BDD!H571:AR571,8)*'ButsMPG + Var'!$K$20+COUNTIF(BDD!H571:AR571,7)*'ButsMPG + Var'!$K$19+COUNTIF(BDD!H571:AR571,6)*'ButsMPG + Var'!$K$18+COUNTIF(BDD!H571:AR571,5)*'ButsMPG + Var'!$K$17+COUNTIF(BDD!H571:AR571,4)*'ButsMPG + Var'!$K$16+COUNTIF(BDD!H571:AR571,3)*'ButsMPG + Var'!$K$15+COUNTIF(BDD!H571:AR571,2)*'ButsMPG + Var'!$K$14+COUNTIF(BDD!H571:AR571,1)*'ButsMPG + Var'!$K$13,IF(C568="D",COUNTIF(BDD!H571:AR571,10)*'ButsMPG + Var'!$K$32+COUNTIF(BDD!H571:AR571,9)*'ButsMPG + Var'!$K$31+COUNTIF(BDD!H571:AR571,8)*'ButsMPG + Var'!$K$30+COUNTIF(BDD!H571:AR571,7)*'ButsMPG + Var'!$K$29+COUNTIF(BDD!H571:AR571,6)*'ButsMPG + Var'!$K$28+COUNTIF(BDD!H571:AR571,5)*'ButsMPG + Var'!$K$27+COUNTIF(BDD!H571:AR571,4)*'ButsMPG + Var'!$K$26+COUNTIF(BDD!H571:AR571,3)*'ButsMPG + Var'!$K$25+COUNTIF(BDD!H571:AR571,2)*'ButsMPG + Var'!$K$24+COUNTIF(BDD!H571:AR571,1)*'ButsMPG + Var'!$K$23,0)))</f>
        <v>0</v>
      </c>
      <c r="H568" s="25">
        <f t="shared" si="9"/>
        <v>0</v>
      </c>
      <c r="I568" s="25">
        <f>BDD!G571</f>
        <v>0</v>
      </c>
      <c r="J568" s="25">
        <f>SUMPRODUCT(BDD!H571:AS571,'ButsMPG + Var'!$B$46:$AM$46)</f>
        <v>0</v>
      </c>
      <c r="K568" s="25" t="e">
        <f>10*('ButsMPG + Var'!$H$37*J568/MAX(J:J)+'ButsMPG + Var'!$G$37*H568/MAX(H:H))</f>
        <v>#DIV/0!</v>
      </c>
      <c r="L568" s="1">
        <f>IF(ISNA(VLOOKUP(B568,PrixMini!$B$3:$E$573,4,FALSE)),1,VLOOKUP(B568,PrixMini!$B$3:$E$573,4,FALSE))</f>
        <v>1</v>
      </c>
      <c r="M568" s="25" t="e">
        <f>IF(ROUND(CalculCotation!$D$3*EXP(CalculCotation!$C$3*K568)-CalculCotation!$D$3+1,0)&gt;L568,ROUND(CalculCotation!$D$3*EXP(CalculCotation!$C$3*K568)-CalculCotation!$D$3+1,0),L568)</f>
        <v>#DIV/0!</v>
      </c>
    </row>
    <row r="569" spans="2:13" x14ac:dyDescent="0.3">
      <c r="B569" s="1">
        <f>BDD!C572</f>
        <v>0</v>
      </c>
      <c r="C569" s="1">
        <f>BDD!B572</f>
        <v>0</v>
      </c>
      <c r="D569" s="1">
        <f>BDD!A572</f>
        <v>0</v>
      </c>
      <c r="E569" s="1">
        <f>BDD!D572</f>
        <v>0</v>
      </c>
      <c r="F569" s="1">
        <f>BDD!F572</f>
        <v>0</v>
      </c>
      <c r="G569" s="25">
        <f>'ButsMPG + Var'!$I$39*IF(C569="A",COUNTIF(BDD!H572:AR572,10)*'ButsMPG + Var'!$K$12+COUNTIF(BDD!H572:AR572,9)*'ButsMPG + Var'!$K$11+COUNTIF(BDD!H572:AR572,8)*'ButsMPG + Var'!$K$10+COUNTIF(BDD!H572:AR572,7)*'ButsMPG + Var'!$K$9+COUNTIF(BDD!H572:AR572,6)*'ButsMPG + Var'!$K$8+COUNTIF(BDD!H572:AR572,5)*'ButsMPG + Var'!$K$7+COUNTIF(BDD!H572:AR572,4)*'ButsMPG + Var'!$K$6+COUNTIF(BDD!H572:AR572,3)*'ButsMPG + Var'!$K$5+COUNTIF(BDD!H572:AR572,2)*'ButsMPG + Var'!$K$4+COUNTIF(BDD!H572:AR572,1)*'ButsMPG + Var'!$K$3,IF(C569="M",COUNTIF(BDD!H572:AR572,10)*'ButsMPG + Var'!$K$22+COUNTIF(BDD!H572:AR572,9)*'ButsMPG + Var'!$K$21+COUNTIF(BDD!H572:AR572,8)*'ButsMPG + Var'!$K$20+COUNTIF(BDD!H572:AR572,7)*'ButsMPG + Var'!$K$19+COUNTIF(BDD!H572:AR572,6)*'ButsMPG + Var'!$K$18+COUNTIF(BDD!H572:AR572,5)*'ButsMPG + Var'!$K$17+COUNTIF(BDD!H572:AR572,4)*'ButsMPG + Var'!$K$16+COUNTIF(BDD!H572:AR572,3)*'ButsMPG + Var'!$K$15+COUNTIF(BDD!H572:AR572,2)*'ButsMPG + Var'!$K$14+COUNTIF(BDD!H572:AR572,1)*'ButsMPG + Var'!$K$13,IF(C569="D",COUNTIF(BDD!H572:AR572,10)*'ButsMPG + Var'!$K$32+COUNTIF(BDD!H572:AR572,9)*'ButsMPG + Var'!$K$31+COUNTIF(BDD!H572:AR572,8)*'ButsMPG + Var'!$K$30+COUNTIF(BDD!H572:AR572,7)*'ButsMPG + Var'!$K$29+COUNTIF(BDD!H572:AR572,6)*'ButsMPG + Var'!$K$28+COUNTIF(BDD!H572:AR572,5)*'ButsMPG + Var'!$K$27+COUNTIF(BDD!H572:AR572,4)*'ButsMPG + Var'!$K$26+COUNTIF(BDD!H572:AR572,3)*'ButsMPG + Var'!$K$25+COUNTIF(BDD!H572:AR572,2)*'ButsMPG + Var'!$K$24+COUNTIF(BDD!H572:AR572,1)*'ButsMPG + Var'!$K$23,0)))</f>
        <v>0</v>
      </c>
      <c r="H569" s="25">
        <f t="shared" si="9"/>
        <v>0</v>
      </c>
      <c r="I569" s="25">
        <f>BDD!G572</f>
        <v>0</v>
      </c>
      <c r="J569" s="25">
        <f>SUMPRODUCT(BDD!H572:AS572,'ButsMPG + Var'!$B$46:$AM$46)</f>
        <v>0</v>
      </c>
      <c r="K569" s="25" t="e">
        <f>10*('ButsMPG + Var'!$H$37*J569/MAX(J:J)+'ButsMPG + Var'!$G$37*H569/MAX(H:H))</f>
        <v>#DIV/0!</v>
      </c>
      <c r="L569" s="1">
        <f>IF(ISNA(VLOOKUP(B569,PrixMini!$B$3:$E$573,4,FALSE)),1,VLOOKUP(B569,PrixMini!$B$3:$E$573,4,FALSE))</f>
        <v>1</v>
      </c>
      <c r="M569" s="25" t="e">
        <f>IF(ROUND(CalculCotation!$D$3*EXP(CalculCotation!$C$3*K569)-CalculCotation!$D$3+1,0)&gt;L569,ROUND(CalculCotation!$D$3*EXP(CalculCotation!$C$3*K569)-CalculCotation!$D$3+1,0),L569)</f>
        <v>#DIV/0!</v>
      </c>
    </row>
    <row r="570" spans="2:13" x14ac:dyDescent="0.3">
      <c r="B570" s="1">
        <f>BDD!C573</f>
        <v>0</v>
      </c>
      <c r="C570" s="1">
        <f>BDD!B573</f>
        <v>0</v>
      </c>
      <c r="D570" s="1">
        <f>BDD!A573</f>
        <v>0</v>
      </c>
      <c r="E570" s="1">
        <f>BDD!D573</f>
        <v>0</v>
      </c>
      <c r="F570" s="1">
        <f>BDD!F573</f>
        <v>0</v>
      </c>
      <c r="G570" s="25">
        <f>'ButsMPG + Var'!$I$39*IF(C570="A",COUNTIF(BDD!H573:AR573,10)*'ButsMPG + Var'!$K$12+COUNTIF(BDD!H573:AR573,9)*'ButsMPG + Var'!$K$11+COUNTIF(BDD!H573:AR573,8)*'ButsMPG + Var'!$K$10+COUNTIF(BDD!H573:AR573,7)*'ButsMPG + Var'!$K$9+COUNTIF(BDD!H573:AR573,6)*'ButsMPG + Var'!$K$8+COUNTIF(BDD!H573:AR573,5)*'ButsMPG + Var'!$K$7+COUNTIF(BDD!H573:AR573,4)*'ButsMPG + Var'!$K$6+COUNTIF(BDD!H573:AR573,3)*'ButsMPG + Var'!$K$5+COUNTIF(BDD!H573:AR573,2)*'ButsMPG + Var'!$K$4+COUNTIF(BDD!H573:AR573,1)*'ButsMPG + Var'!$K$3,IF(C570="M",COUNTIF(BDD!H573:AR573,10)*'ButsMPG + Var'!$K$22+COUNTIF(BDD!H573:AR573,9)*'ButsMPG + Var'!$K$21+COUNTIF(BDD!H573:AR573,8)*'ButsMPG + Var'!$K$20+COUNTIF(BDD!H573:AR573,7)*'ButsMPG + Var'!$K$19+COUNTIF(BDD!H573:AR573,6)*'ButsMPG + Var'!$K$18+COUNTIF(BDD!H573:AR573,5)*'ButsMPG + Var'!$K$17+COUNTIF(BDD!H573:AR573,4)*'ButsMPG + Var'!$K$16+COUNTIF(BDD!H573:AR573,3)*'ButsMPG + Var'!$K$15+COUNTIF(BDD!H573:AR573,2)*'ButsMPG + Var'!$K$14+COUNTIF(BDD!H573:AR573,1)*'ButsMPG + Var'!$K$13,IF(C570="D",COUNTIF(BDD!H573:AR573,10)*'ButsMPG + Var'!$K$32+COUNTIF(BDD!H573:AR573,9)*'ButsMPG + Var'!$K$31+COUNTIF(BDD!H573:AR573,8)*'ButsMPG + Var'!$K$30+COUNTIF(BDD!H573:AR573,7)*'ButsMPG + Var'!$K$29+COUNTIF(BDD!H573:AR573,6)*'ButsMPG + Var'!$K$28+COUNTIF(BDD!H573:AR573,5)*'ButsMPG + Var'!$K$27+COUNTIF(BDD!H573:AR573,4)*'ButsMPG + Var'!$K$26+COUNTIF(BDD!H573:AR573,3)*'ButsMPG + Var'!$K$25+COUNTIF(BDD!H573:AR573,2)*'ButsMPG + Var'!$K$24+COUNTIF(BDD!H573:AR573,1)*'ButsMPG + Var'!$K$23,0)))</f>
        <v>0</v>
      </c>
      <c r="H570" s="25">
        <f t="shared" si="9"/>
        <v>0</v>
      </c>
      <c r="I570" s="25">
        <f>BDD!G573</f>
        <v>0</v>
      </c>
      <c r="J570" s="25">
        <f>SUMPRODUCT(BDD!H573:AS573,'ButsMPG + Var'!$B$46:$AM$46)</f>
        <v>0</v>
      </c>
      <c r="K570" s="25" t="e">
        <f>10*('ButsMPG + Var'!$H$37*J570/MAX(J:J)+'ButsMPG + Var'!$G$37*H570/MAX(H:H))</f>
        <v>#DIV/0!</v>
      </c>
      <c r="L570" s="1">
        <f>IF(ISNA(VLOOKUP(B570,PrixMini!$B$3:$E$573,4,FALSE)),1,VLOOKUP(B570,PrixMini!$B$3:$E$573,4,FALSE))</f>
        <v>1</v>
      </c>
      <c r="M570" s="25" t="e">
        <f>IF(ROUND(CalculCotation!$D$3*EXP(CalculCotation!$C$3*K570)-CalculCotation!$D$3+1,0)&gt;L570,ROUND(CalculCotation!$D$3*EXP(CalculCotation!$C$3*K570)-CalculCotation!$D$3+1,0),L570)</f>
        <v>#DIV/0!</v>
      </c>
    </row>
    <row r="571" spans="2:13" x14ac:dyDescent="0.3">
      <c r="B571" s="1">
        <f>BDD!C574</f>
        <v>0</v>
      </c>
      <c r="C571" s="1">
        <f>BDD!B574</f>
        <v>0</v>
      </c>
      <c r="D571" s="1">
        <f>BDD!A574</f>
        <v>0</v>
      </c>
      <c r="E571" s="1">
        <f>BDD!D574</f>
        <v>0</v>
      </c>
      <c r="F571" s="1">
        <f>BDD!F574</f>
        <v>0</v>
      </c>
      <c r="G571" s="25">
        <f>'ButsMPG + Var'!$I$39*IF(C571="A",COUNTIF(BDD!H574:AR574,10)*'ButsMPG + Var'!$K$12+COUNTIF(BDD!H574:AR574,9)*'ButsMPG + Var'!$K$11+COUNTIF(BDD!H574:AR574,8)*'ButsMPG + Var'!$K$10+COUNTIF(BDD!H574:AR574,7)*'ButsMPG + Var'!$K$9+COUNTIF(BDD!H574:AR574,6)*'ButsMPG + Var'!$K$8+COUNTIF(BDD!H574:AR574,5)*'ButsMPG + Var'!$K$7+COUNTIF(BDD!H574:AR574,4)*'ButsMPG + Var'!$K$6+COUNTIF(BDD!H574:AR574,3)*'ButsMPG + Var'!$K$5+COUNTIF(BDD!H574:AR574,2)*'ButsMPG + Var'!$K$4+COUNTIF(BDD!H574:AR574,1)*'ButsMPG + Var'!$K$3,IF(C571="M",COUNTIF(BDD!H574:AR574,10)*'ButsMPG + Var'!$K$22+COUNTIF(BDD!H574:AR574,9)*'ButsMPG + Var'!$K$21+COUNTIF(BDD!H574:AR574,8)*'ButsMPG + Var'!$K$20+COUNTIF(BDD!H574:AR574,7)*'ButsMPG + Var'!$K$19+COUNTIF(BDD!H574:AR574,6)*'ButsMPG + Var'!$K$18+COUNTIF(BDD!H574:AR574,5)*'ButsMPG + Var'!$K$17+COUNTIF(BDD!H574:AR574,4)*'ButsMPG + Var'!$K$16+COUNTIF(BDD!H574:AR574,3)*'ButsMPG + Var'!$K$15+COUNTIF(BDD!H574:AR574,2)*'ButsMPG + Var'!$K$14+COUNTIF(BDD!H574:AR574,1)*'ButsMPG + Var'!$K$13,IF(C571="D",COUNTIF(BDD!H574:AR574,10)*'ButsMPG + Var'!$K$32+COUNTIF(BDD!H574:AR574,9)*'ButsMPG + Var'!$K$31+COUNTIF(BDD!H574:AR574,8)*'ButsMPG + Var'!$K$30+COUNTIF(BDD!H574:AR574,7)*'ButsMPG + Var'!$K$29+COUNTIF(BDD!H574:AR574,6)*'ButsMPG + Var'!$K$28+COUNTIF(BDD!H574:AR574,5)*'ButsMPG + Var'!$K$27+COUNTIF(BDD!H574:AR574,4)*'ButsMPG + Var'!$K$26+COUNTIF(BDD!H574:AR574,3)*'ButsMPG + Var'!$K$25+COUNTIF(BDD!H574:AR574,2)*'ButsMPG + Var'!$K$24+COUNTIF(BDD!H574:AR574,1)*'ButsMPG + Var'!$K$23,0)))</f>
        <v>0</v>
      </c>
      <c r="H571" s="25">
        <f t="shared" si="9"/>
        <v>0</v>
      </c>
      <c r="I571" s="25">
        <f>BDD!G574</f>
        <v>0</v>
      </c>
      <c r="J571" s="25">
        <f>SUMPRODUCT(BDD!H574:AS574,'ButsMPG + Var'!$B$46:$AM$46)</f>
        <v>0</v>
      </c>
      <c r="K571" s="25" t="e">
        <f>10*('ButsMPG + Var'!$H$37*J571/MAX(J:J)+'ButsMPG + Var'!$G$37*H571/MAX(H:H))</f>
        <v>#DIV/0!</v>
      </c>
      <c r="L571" s="1">
        <f>IF(ISNA(VLOOKUP(B571,PrixMini!$B$3:$E$573,4,FALSE)),1,VLOOKUP(B571,PrixMini!$B$3:$E$573,4,FALSE))</f>
        <v>1</v>
      </c>
      <c r="M571" s="25" t="e">
        <f>IF(ROUND(CalculCotation!$D$3*EXP(CalculCotation!$C$3*K571)-CalculCotation!$D$3+1,0)&gt;L571,ROUND(CalculCotation!$D$3*EXP(CalculCotation!$C$3*K571)-CalculCotation!$D$3+1,0),L571)</f>
        <v>#DIV/0!</v>
      </c>
    </row>
    <row r="572" spans="2:13" x14ac:dyDescent="0.3">
      <c r="B572" s="1">
        <f>BDD!C575</f>
        <v>0</v>
      </c>
      <c r="C572" s="1">
        <f>BDD!B575</f>
        <v>0</v>
      </c>
      <c r="D572" s="1">
        <f>BDD!A575</f>
        <v>0</v>
      </c>
      <c r="E572" s="1">
        <f>BDD!D575</f>
        <v>0</v>
      </c>
      <c r="F572" s="1">
        <f>BDD!F575</f>
        <v>0</v>
      </c>
      <c r="G572" s="25">
        <f>'ButsMPG + Var'!$I$39*IF(C572="A",COUNTIF(BDD!H575:AR575,10)*'ButsMPG + Var'!$K$12+COUNTIF(BDD!H575:AR575,9)*'ButsMPG + Var'!$K$11+COUNTIF(BDD!H575:AR575,8)*'ButsMPG + Var'!$K$10+COUNTIF(BDD!H575:AR575,7)*'ButsMPG + Var'!$K$9+COUNTIF(BDD!H575:AR575,6)*'ButsMPG + Var'!$K$8+COUNTIF(BDD!H575:AR575,5)*'ButsMPG + Var'!$K$7+COUNTIF(BDD!H575:AR575,4)*'ButsMPG + Var'!$K$6+COUNTIF(BDD!H575:AR575,3)*'ButsMPG + Var'!$K$5+COUNTIF(BDD!H575:AR575,2)*'ButsMPG + Var'!$K$4+COUNTIF(BDD!H575:AR575,1)*'ButsMPG + Var'!$K$3,IF(C572="M",COUNTIF(BDD!H575:AR575,10)*'ButsMPG + Var'!$K$22+COUNTIF(BDD!H575:AR575,9)*'ButsMPG + Var'!$K$21+COUNTIF(BDD!H575:AR575,8)*'ButsMPG + Var'!$K$20+COUNTIF(BDD!H575:AR575,7)*'ButsMPG + Var'!$K$19+COUNTIF(BDD!H575:AR575,6)*'ButsMPG + Var'!$K$18+COUNTIF(BDD!H575:AR575,5)*'ButsMPG + Var'!$K$17+COUNTIF(BDD!H575:AR575,4)*'ButsMPG + Var'!$K$16+COUNTIF(BDD!H575:AR575,3)*'ButsMPG + Var'!$K$15+COUNTIF(BDD!H575:AR575,2)*'ButsMPG + Var'!$K$14+COUNTIF(BDD!H575:AR575,1)*'ButsMPG + Var'!$K$13,IF(C572="D",COUNTIF(BDD!H575:AR575,10)*'ButsMPG + Var'!$K$32+COUNTIF(BDD!H575:AR575,9)*'ButsMPG + Var'!$K$31+COUNTIF(BDD!H575:AR575,8)*'ButsMPG + Var'!$K$30+COUNTIF(BDD!H575:AR575,7)*'ButsMPG + Var'!$K$29+COUNTIF(BDD!H575:AR575,6)*'ButsMPG + Var'!$K$28+COUNTIF(BDD!H575:AR575,5)*'ButsMPG + Var'!$K$27+COUNTIF(BDD!H575:AR575,4)*'ButsMPG + Var'!$K$26+COUNTIF(BDD!H575:AR575,3)*'ButsMPG + Var'!$K$25+COUNTIF(BDD!H575:AR575,2)*'ButsMPG + Var'!$K$24+COUNTIF(BDD!H575:AR575,1)*'ButsMPG + Var'!$K$23,0)))</f>
        <v>0</v>
      </c>
      <c r="H572" s="25">
        <f t="shared" si="9"/>
        <v>0</v>
      </c>
      <c r="I572" s="25">
        <f>BDD!G575</f>
        <v>0</v>
      </c>
      <c r="J572" s="25">
        <f>SUMPRODUCT(BDD!H575:AS575,'ButsMPG + Var'!$B$46:$AM$46)</f>
        <v>0</v>
      </c>
      <c r="K572" s="25" t="e">
        <f>10*('ButsMPG + Var'!$H$37*J572/MAX(J:J)+'ButsMPG + Var'!$G$37*H572/MAX(H:H))</f>
        <v>#DIV/0!</v>
      </c>
      <c r="L572" s="1">
        <f>IF(ISNA(VLOOKUP(B572,PrixMini!$B$3:$E$573,4,FALSE)),1,VLOOKUP(B572,PrixMini!$B$3:$E$573,4,FALSE))</f>
        <v>1</v>
      </c>
      <c r="M572" s="25" t="e">
        <f>IF(ROUND(CalculCotation!$D$3*EXP(CalculCotation!$C$3*K572)-CalculCotation!$D$3+1,0)&gt;L572,ROUND(CalculCotation!$D$3*EXP(CalculCotation!$C$3*K572)-CalculCotation!$D$3+1,0),L572)</f>
        <v>#DIV/0!</v>
      </c>
    </row>
    <row r="573" spans="2:13" x14ac:dyDescent="0.3">
      <c r="B573" s="1">
        <f>BDD!C576</f>
        <v>0</v>
      </c>
      <c r="C573" s="1">
        <f>BDD!B576</f>
        <v>0</v>
      </c>
      <c r="D573" s="1">
        <f>BDD!A576</f>
        <v>0</v>
      </c>
      <c r="E573" s="1">
        <f>BDD!D576</f>
        <v>0</v>
      </c>
      <c r="F573" s="1">
        <f>BDD!F576</f>
        <v>0</v>
      </c>
      <c r="G573" s="25">
        <f>'ButsMPG + Var'!$I$39*IF(C573="A",COUNTIF(BDD!H576:AR576,10)*'ButsMPG + Var'!$K$12+COUNTIF(BDD!H576:AR576,9)*'ButsMPG + Var'!$K$11+COUNTIF(BDD!H576:AR576,8)*'ButsMPG + Var'!$K$10+COUNTIF(BDD!H576:AR576,7)*'ButsMPG + Var'!$K$9+COUNTIF(BDD!H576:AR576,6)*'ButsMPG + Var'!$K$8+COUNTIF(BDD!H576:AR576,5)*'ButsMPG + Var'!$K$7+COUNTIF(BDD!H576:AR576,4)*'ButsMPG + Var'!$K$6+COUNTIF(BDD!H576:AR576,3)*'ButsMPG + Var'!$K$5+COUNTIF(BDD!H576:AR576,2)*'ButsMPG + Var'!$K$4+COUNTIF(BDD!H576:AR576,1)*'ButsMPG + Var'!$K$3,IF(C573="M",COUNTIF(BDD!H576:AR576,10)*'ButsMPG + Var'!$K$22+COUNTIF(BDD!H576:AR576,9)*'ButsMPG + Var'!$K$21+COUNTIF(BDD!H576:AR576,8)*'ButsMPG + Var'!$K$20+COUNTIF(BDD!H576:AR576,7)*'ButsMPG + Var'!$K$19+COUNTIF(BDD!H576:AR576,6)*'ButsMPG + Var'!$K$18+COUNTIF(BDD!H576:AR576,5)*'ButsMPG + Var'!$K$17+COUNTIF(BDD!H576:AR576,4)*'ButsMPG + Var'!$K$16+COUNTIF(BDD!H576:AR576,3)*'ButsMPG + Var'!$K$15+COUNTIF(BDD!H576:AR576,2)*'ButsMPG + Var'!$K$14+COUNTIF(BDD!H576:AR576,1)*'ButsMPG + Var'!$K$13,IF(C573="D",COUNTIF(BDD!H576:AR576,10)*'ButsMPG + Var'!$K$32+COUNTIF(BDD!H576:AR576,9)*'ButsMPG + Var'!$K$31+COUNTIF(BDD!H576:AR576,8)*'ButsMPG + Var'!$K$30+COUNTIF(BDD!H576:AR576,7)*'ButsMPG + Var'!$K$29+COUNTIF(BDD!H576:AR576,6)*'ButsMPG + Var'!$K$28+COUNTIF(BDD!H576:AR576,5)*'ButsMPG + Var'!$K$27+COUNTIF(BDD!H576:AR576,4)*'ButsMPG + Var'!$K$26+COUNTIF(BDD!H576:AR576,3)*'ButsMPG + Var'!$K$25+COUNTIF(BDD!H576:AR576,2)*'ButsMPG + Var'!$K$24+COUNTIF(BDD!H576:AR576,1)*'ButsMPG + Var'!$K$23,0)))</f>
        <v>0</v>
      </c>
      <c r="H573" s="25">
        <f t="shared" si="9"/>
        <v>0</v>
      </c>
      <c r="I573" s="25">
        <f>BDD!G576</f>
        <v>0</v>
      </c>
      <c r="J573" s="25">
        <f>SUMPRODUCT(BDD!H576:AS576,'ButsMPG + Var'!$B$46:$AM$46)</f>
        <v>0</v>
      </c>
      <c r="K573" s="25" t="e">
        <f>10*('ButsMPG + Var'!$H$37*J573/MAX(J:J)+'ButsMPG + Var'!$G$37*H573/MAX(H:H))</f>
        <v>#DIV/0!</v>
      </c>
      <c r="L573" s="1">
        <f>IF(ISNA(VLOOKUP(B573,PrixMini!$B$3:$E$573,4,FALSE)),1,VLOOKUP(B573,PrixMini!$B$3:$E$573,4,FALSE))</f>
        <v>1</v>
      </c>
      <c r="M573" s="25" t="e">
        <f>IF(ROUND(CalculCotation!$D$3*EXP(CalculCotation!$C$3*K573)-CalculCotation!$D$3+1,0)&gt;L573,ROUND(CalculCotation!$D$3*EXP(CalculCotation!$C$3*K573)-CalculCotation!$D$3+1,0),L573)</f>
        <v>#DIV/0!</v>
      </c>
    </row>
    <row r="574" spans="2:13" x14ac:dyDescent="0.3">
      <c r="B574" s="1">
        <f>BDD!C577</f>
        <v>0</v>
      </c>
      <c r="C574" s="1">
        <f>BDD!B577</f>
        <v>0</v>
      </c>
      <c r="D574" s="1">
        <f>BDD!A577</f>
        <v>0</v>
      </c>
      <c r="E574" s="1">
        <f>BDD!D577</f>
        <v>0</v>
      </c>
      <c r="F574" s="1">
        <f>BDD!F577</f>
        <v>0</v>
      </c>
      <c r="G574" s="25">
        <f>'ButsMPG + Var'!$I$39*IF(C574="A",COUNTIF(BDD!H577:AR577,10)*'ButsMPG + Var'!$K$12+COUNTIF(BDD!H577:AR577,9)*'ButsMPG + Var'!$K$11+COUNTIF(BDD!H577:AR577,8)*'ButsMPG + Var'!$K$10+COUNTIF(BDD!H577:AR577,7)*'ButsMPG + Var'!$K$9+COUNTIF(BDD!H577:AR577,6)*'ButsMPG + Var'!$K$8+COUNTIF(BDD!H577:AR577,5)*'ButsMPG + Var'!$K$7+COUNTIF(BDD!H577:AR577,4)*'ButsMPG + Var'!$K$6+COUNTIF(BDD!H577:AR577,3)*'ButsMPG + Var'!$K$5+COUNTIF(BDD!H577:AR577,2)*'ButsMPG + Var'!$K$4+COUNTIF(BDD!H577:AR577,1)*'ButsMPG + Var'!$K$3,IF(C574="M",COUNTIF(BDD!H577:AR577,10)*'ButsMPG + Var'!$K$22+COUNTIF(BDD!H577:AR577,9)*'ButsMPG + Var'!$K$21+COUNTIF(BDD!H577:AR577,8)*'ButsMPG + Var'!$K$20+COUNTIF(BDD!H577:AR577,7)*'ButsMPG + Var'!$K$19+COUNTIF(BDD!H577:AR577,6)*'ButsMPG + Var'!$K$18+COUNTIF(BDD!H577:AR577,5)*'ButsMPG + Var'!$K$17+COUNTIF(BDD!H577:AR577,4)*'ButsMPG + Var'!$K$16+COUNTIF(BDD!H577:AR577,3)*'ButsMPG + Var'!$K$15+COUNTIF(BDD!H577:AR577,2)*'ButsMPG + Var'!$K$14+COUNTIF(BDD!H577:AR577,1)*'ButsMPG + Var'!$K$13,IF(C574="D",COUNTIF(BDD!H577:AR577,10)*'ButsMPG + Var'!$K$32+COUNTIF(BDD!H577:AR577,9)*'ButsMPG + Var'!$K$31+COUNTIF(BDD!H577:AR577,8)*'ButsMPG + Var'!$K$30+COUNTIF(BDD!H577:AR577,7)*'ButsMPG + Var'!$K$29+COUNTIF(BDD!H577:AR577,6)*'ButsMPG + Var'!$K$28+COUNTIF(BDD!H577:AR577,5)*'ButsMPG + Var'!$K$27+COUNTIF(BDD!H577:AR577,4)*'ButsMPG + Var'!$K$26+COUNTIF(BDD!H577:AR577,3)*'ButsMPG + Var'!$K$25+COUNTIF(BDD!H577:AR577,2)*'ButsMPG + Var'!$K$24+COUNTIF(BDD!H577:AR577,1)*'ButsMPG + Var'!$K$23,0)))</f>
        <v>0</v>
      </c>
      <c r="H574" s="25">
        <f t="shared" si="9"/>
        <v>0</v>
      </c>
      <c r="I574" s="25">
        <f>BDD!G577</f>
        <v>0</v>
      </c>
      <c r="J574" s="25">
        <f>SUMPRODUCT(BDD!H577:AS577,'ButsMPG + Var'!$B$46:$AM$46)</f>
        <v>0</v>
      </c>
      <c r="K574" s="25" t="e">
        <f>10*('ButsMPG + Var'!$H$37*J574/MAX(J:J)+'ButsMPG + Var'!$G$37*H574/MAX(H:H))</f>
        <v>#DIV/0!</v>
      </c>
      <c r="L574" s="1">
        <f>IF(ISNA(VLOOKUP(B574,PrixMini!$B$3:$E$573,4,FALSE)),1,VLOOKUP(B574,PrixMini!$B$3:$E$573,4,FALSE))</f>
        <v>1</v>
      </c>
      <c r="M574" s="25" t="e">
        <f>IF(ROUND(CalculCotation!$D$3*EXP(CalculCotation!$C$3*K574)-CalculCotation!$D$3+1,0)&gt;L574,ROUND(CalculCotation!$D$3*EXP(CalculCotation!$C$3*K574)-CalculCotation!$D$3+1,0),L574)</f>
        <v>#DIV/0!</v>
      </c>
    </row>
    <row r="575" spans="2:13" x14ac:dyDescent="0.3">
      <c r="B575" s="1">
        <f>BDD!C578</f>
        <v>0</v>
      </c>
      <c r="C575" s="1">
        <f>BDD!B578</f>
        <v>0</v>
      </c>
      <c r="D575" s="1">
        <f>BDD!A578</f>
        <v>0</v>
      </c>
      <c r="E575" s="1">
        <f>BDD!D578</f>
        <v>0</v>
      </c>
      <c r="F575" s="1">
        <f>BDD!F578</f>
        <v>0</v>
      </c>
      <c r="G575" s="25">
        <f>'ButsMPG + Var'!$I$39*IF(C575="A",COUNTIF(BDD!H578:AR578,10)*'ButsMPG + Var'!$K$12+COUNTIF(BDD!H578:AR578,9)*'ButsMPG + Var'!$K$11+COUNTIF(BDD!H578:AR578,8)*'ButsMPG + Var'!$K$10+COUNTIF(BDD!H578:AR578,7)*'ButsMPG + Var'!$K$9+COUNTIF(BDD!H578:AR578,6)*'ButsMPG + Var'!$K$8+COUNTIF(BDD!H578:AR578,5)*'ButsMPG + Var'!$K$7+COUNTIF(BDD!H578:AR578,4)*'ButsMPG + Var'!$K$6+COUNTIF(BDD!H578:AR578,3)*'ButsMPG + Var'!$K$5+COUNTIF(BDD!H578:AR578,2)*'ButsMPG + Var'!$K$4+COUNTIF(BDD!H578:AR578,1)*'ButsMPG + Var'!$K$3,IF(C575="M",COUNTIF(BDD!H578:AR578,10)*'ButsMPG + Var'!$K$22+COUNTIF(BDD!H578:AR578,9)*'ButsMPG + Var'!$K$21+COUNTIF(BDD!H578:AR578,8)*'ButsMPG + Var'!$K$20+COUNTIF(BDD!H578:AR578,7)*'ButsMPG + Var'!$K$19+COUNTIF(BDD!H578:AR578,6)*'ButsMPG + Var'!$K$18+COUNTIF(BDD!H578:AR578,5)*'ButsMPG + Var'!$K$17+COUNTIF(BDD!H578:AR578,4)*'ButsMPG + Var'!$K$16+COUNTIF(BDD!H578:AR578,3)*'ButsMPG + Var'!$K$15+COUNTIF(BDD!H578:AR578,2)*'ButsMPG + Var'!$K$14+COUNTIF(BDD!H578:AR578,1)*'ButsMPG + Var'!$K$13,IF(C575="D",COUNTIF(BDD!H578:AR578,10)*'ButsMPG + Var'!$K$32+COUNTIF(BDD!H578:AR578,9)*'ButsMPG + Var'!$K$31+COUNTIF(BDD!H578:AR578,8)*'ButsMPG + Var'!$K$30+COUNTIF(BDD!H578:AR578,7)*'ButsMPG + Var'!$K$29+COUNTIF(BDD!H578:AR578,6)*'ButsMPG + Var'!$K$28+COUNTIF(BDD!H578:AR578,5)*'ButsMPG + Var'!$K$27+COUNTIF(BDD!H578:AR578,4)*'ButsMPG + Var'!$K$26+COUNTIF(BDD!H578:AR578,3)*'ButsMPG + Var'!$K$25+COUNTIF(BDD!H578:AR578,2)*'ButsMPG + Var'!$K$24+COUNTIF(BDD!H578:AR578,1)*'ButsMPG + Var'!$K$23,0)))</f>
        <v>0</v>
      </c>
      <c r="H575" s="25">
        <f t="shared" si="9"/>
        <v>0</v>
      </c>
      <c r="I575" s="25">
        <f>BDD!G578</f>
        <v>0</v>
      </c>
      <c r="J575" s="25">
        <f>SUMPRODUCT(BDD!H578:AS578,'ButsMPG + Var'!$B$46:$AM$46)</f>
        <v>0</v>
      </c>
      <c r="K575" s="25" t="e">
        <f>10*('ButsMPG + Var'!$H$37*J575/MAX(J:J)+'ButsMPG + Var'!$G$37*H575/MAX(H:H))</f>
        <v>#DIV/0!</v>
      </c>
      <c r="L575" s="1">
        <f>IF(ISNA(VLOOKUP(B575,PrixMini!$B$3:$E$573,4,FALSE)),1,VLOOKUP(B575,PrixMini!$B$3:$E$573,4,FALSE))</f>
        <v>1</v>
      </c>
      <c r="M575" s="25" t="e">
        <f>IF(ROUND(CalculCotation!$D$3*EXP(CalculCotation!$C$3*K575)-CalculCotation!$D$3+1,0)&gt;L575,ROUND(CalculCotation!$D$3*EXP(CalculCotation!$C$3*K575)-CalculCotation!$D$3+1,0),L575)</f>
        <v>#DIV/0!</v>
      </c>
    </row>
    <row r="576" spans="2:13" x14ac:dyDescent="0.3">
      <c r="B576" s="1">
        <f>BDD!C579</f>
        <v>0</v>
      </c>
      <c r="C576" s="1">
        <f>BDD!B579</f>
        <v>0</v>
      </c>
      <c r="D576" s="1">
        <f>BDD!A579</f>
        <v>0</v>
      </c>
      <c r="E576" s="1">
        <f>BDD!D579</f>
        <v>0</v>
      </c>
      <c r="F576" s="1">
        <f>BDD!F579</f>
        <v>0</v>
      </c>
      <c r="G576" s="25">
        <f>'ButsMPG + Var'!$I$39*IF(C576="A",COUNTIF(BDD!H579:AR579,10)*'ButsMPG + Var'!$K$12+COUNTIF(BDD!H579:AR579,9)*'ButsMPG + Var'!$K$11+COUNTIF(BDD!H579:AR579,8)*'ButsMPG + Var'!$K$10+COUNTIF(BDD!H579:AR579,7)*'ButsMPG + Var'!$K$9+COUNTIF(BDD!H579:AR579,6)*'ButsMPG + Var'!$K$8+COUNTIF(BDD!H579:AR579,5)*'ButsMPG + Var'!$K$7+COUNTIF(BDD!H579:AR579,4)*'ButsMPG + Var'!$K$6+COUNTIF(BDD!H579:AR579,3)*'ButsMPG + Var'!$K$5+COUNTIF(BDD!H579:AR579,2)*'ButsMPG + Var'!$K$4+COUNTIF(BDD!H579:AR579,1)*'ButsMPG + Var'!$K$3,IF(C576="M",COUNTIF(BDD!H579:AR579,10)*'ButsMPG + Var'!$K$22+COUNTIF(BDD!H579:AR579,9)*'ButsMPG + Var'!$K$21+COUNTIF(BDD!H579:AR579,8)*'ButsMPG + Var'!$K$20+COUNTIF(BDD!H579:AR579,7)*'ButsMPG + Var'!$K$19+COUNTIF(BDD!H579:AR579,6)*'ButsMPG + Var'!$K$18+COUNTIF(BDD!H579:AR579,5)*'ButsMPG + Var'!$K$17+COUNTIF(BDD!H579:AR579,4)*'ButsMPG + Var'!$K$16+COUNTIF(BDD!H579:AR579,3)*'ButsMPG + Var'!$K$15+COUNTIF(BDD!H579:AR579,2)*'ButsMPG + Var'!$K$14+COUNTIF(BDD!H579:AR579,1)*'ButsMPG + Var'!$K$13,IF(C576="D",COUNTIF(BDD!H579:AR579,10)*'ButsMPG + Var'!$K$32+COUNTIF(BDD!H579:AR579,9)*'ButsMPG + Var'!$K$31+COUNTIF(BDD!H579:AR579,8)*'ButsMPG + Var'!$K$30+COUNTIF(BDD!H579:AR579,7)*'ButsMPG + Var'!$K$29+COUNTIF(BDD!H579:AR579,6)*'ButsMPG + Var'!$K$28+COUNTIF(BDD!H579:AR579,5)*'ButsMPG + Var'!$K$27+COUNTIF(BDD!H579:AR579,4)*'ButsMPG + Var'!$K$26+COUNTIF(BDD!H579:AR579,3)*'ButsMPG + Var'!$K$25+COUNTIF(BDD!H579:AR579,2)*'ButsMPG + Var'!$K$24+COUNTIF(BDD!H579:AR579,1)*'ButsMPG + Var'!$K$23,0)))</f>
        <v>0</v>
      </c>
      <c r="H576" s="25">
        <f t="shared" si="9"/>
        <v>0</v>
      </c>
      <c r="I576" s="25">
        <f>BDD!G579</f>
        <v>0</v>
      </c>
      <c r="J576" s="25">
        <f>SUMPRODUCT(BDD!H579:AS579,'ButsMPG + Var'!$B$46:$AM$46)</f>
        <v>0</v>
      </c>
      <c r="K576" s="25" t="e">
        <f>10*('ButsMPG + Var'!$H$37*J576/MAX(J:J)+'ButsMPG + Var'!$G$37*H576/MAX(H:H))</f>
        <v>#DIV/0!</v>
      </c>
      <c r="L576" s="1">
        <f>IF(ISNA(VLOOKUP(B576,PrixMini!$B$3:$E$573,4,FALSE)),1,VLOOKUP(B576,PrixMini!$B$3:$E$573,4,FALSE))</f>
        <v>1</v>
      </c>
      <c r="M576" s="25" t="e">
        <f>IF(ROUND(CalculCotation!$D$3*EXP(CalculCotation!$C$3*K576)-CalculCotation!$D$3+1,0)&gt;L576,ROUND(CalculCotation!$D$3*EXP(CalculCotation!$C$3*K576)-CalculCotation!$D$3+1,0),L576)</f>
        <v>#DIV/0!</v>
      </c>
    </row>
    <row r="577" spans="2:13" x14ac:dyDescent="0.3">
      <c r="B577" s="1">
        <f>BDD!C580</f>
        <v>0</v>
      </c>
      <c r="C577" s="1">
        <f>BDD!B580</f>
        <v>0</v>
      </c>
      <c r="D577" s="1">
        <f>BDD!A580</f>
        <v>0</v>
      </c>
      <c r="E577" s="1">
        <f>BDD!D580</f>
        <v>0</v>
      </c>
      <c r="F577" s="1">
        <f>BDD!F580</f>
        <v>0</v>
      </c>
      <c r="G577" s="25">
        <f>'ButsMPG + Var'!$I$39*IF(C577="A",COUNTIF(BDD!H580:AR580,10)*'ButsMPG + Var'!$K$12+COUNTIF(BDD!H580:AR580,9)*'ButsMPG + Var'!$K$11+COUNTIF(BDD!H580:AR580,8)*'ButsMPG + Var'!$K$10+COUNTIF(BDD!H580:AR580,7)*'ButsMPG + Var'!$K$9+COUNTIF(BDD!H580:AR580,6)*'ButsMPG + Var'!$K$8+COUNTIF(BDD!H580:AR580,5)*'ButsMPG + Var'!$K$7+COUNTIF(BDD!H580:AR580,4)*'ButsMPG + Var'!$K$6+COUNTIF(BDD!H580:AR580,3)*'ButsMPG + Var'!$K$5+COUNTIF(BDD!H580:AR580,2)*'ButsMPG + Var'!$K$4+COUNTIF(BDD!H580:AR580,1)*'ButsMPG + Var'!$K$3,IF(C577="M",COUNTIF(BDD!H580:AR580,10)*'ButsMPG + Var'!$K$22+COUNTIF(BDD!H580:AR580,9)*'ButsMPG + Var'!$K$21+COUNTIF(BDD!H580:AR580,8)*'ButsMPG + Var'!$K$20+COUNTIF(BDD!H580:AR580,7)*'ButsMPG + Var'!$K$19+COUNTIF(BDD!H580:AR580,6)*'ButsMPG + Var'!$K$18+COUNTIF(BDD!H580:AR580,5)*'ButsMPG + Var'!$K$17+COUNTIF(BDD!H580:AR580,4)*'ButsMPG + Var'!$K$16+COUNTIF(BDD!H580:AR580,3)*'ButsMPG + Var'!$K$15+COUNTIF(BDD!H580:AR580,2)*'ButsMPG + Var'!$K$14+COUNTIF(BDD!H580:AR580,1)*'ButsMPG + Var'!$K$13,IF(C577="D",COUNTIF(BDD!H580:AR580,10)*'ButsMPG + Var'!$K$32+COUNTIF(BDD!H580:AR580,9)*'ButsMPG + Var'!$K$31+COUNTIF(BDD!H580:AR580,8)*'ButsMPG + Var'!$K$30+COUNTIF(BDD!H580:AR580,7)*'ButsMPG + Var'!$K$29+COUNTIF(BDD!H580:AR580,6)*'ButsMPG + Var'!$K$28+COUNTIF(BDD!H580:AR580,5)*'ButsMPG + Var'!$K$27+COUNTIF(BDD!H580:AR580,4)*'ButsMPG + Var'!$K$26+COUNTIF(BDD!H580:AR580,3)*'ButsMPG + Var'!$K$25+COUNTIF(BDD!H580:AR580,2)*'ButsMPG + Var'!$K$24+COUNTIF(BDD!H580:AR580,1)*'ButsMPG + Var'!$K$23,0)))</f>
        <v>0</v>
      </c>
      <c r="H577" s="25">
        <f t="shared" si="9"/>
        <v>0</v>
      </c>
      <c r="I577" s="25">
        <f>BDD!G580</f>
        <v>0</v>
      </c>
      <c r="J577" s="25">
        <f>SUMPRODUCT(BDD!H580:AS580,'ButsMPG + Var'!$B$46:$AM$46)</f>
        <v>0</v>
      </c>
      <c r="K577" s="25" t="e">
        <f>10*('ButsMPG + Var'!$H$37*J577/MAX(J:J)+'ButsMPG + Var'!$G$37*H577/MAX(H:H))</f>
        <v>#DIV/0!</v>
      </c>
      <c r="L577" s="1">
        <f>IF(ISNA(VLOOKUP(B577,PrixMini!$B$3:$E$573,4,FALSE)),1,VLOOKUP(B577,PrixMini!$B$3:$E$573,4,FALSE))</f>
        <v>1</v>
      </c>
      <c r="M577" s="25" t="e">
        <f>IF(ROUND(CalculCotation!$D$3*EXP(CalculCotation!$C$3*K577)-CalculCotation!$D$3+1,0)&gt;L577,ROUND(CalculCotation!$D$3*EXP(CalculCotation!$C$3*K577)-CalculCotation!$D$3+1,0),L577)</f>
        <v>#DIV/0!</v>
      </c>
    </row>
    <row r="578" spans="2:13" x14ac:dyDescent="0.3">
      <c r="B578" s="1">
        <f>BDD!C581</f>
        <v>0</v>
      </c>
      <c r="C578" s="1">
        <f>BDD!B581</f>
        <v>0</v>
      </c>
      <c r="D578" s="1">
        <f>BDD!A581</f>
        <v>0</v>
      </c>
      <c r="E578" s="1">
        <f>BDD!D581</f>
        <v>0</v>
      </c>
      <c r="F578" s="1">
        <f>BDD!F581</f>
        <v>0</v>
      </c>
      <c r="G578" s="25">
        <f>'ButsMPG + Var'!$I$39*IF(C578="A",COUNTIF(BDD!H581:AR581,10)*'ButsMPG + Var'!$K$12+COUNTIF(BDD!H581:AR581,9)*'ButsMPG + Var'!$K$11+COUNTIF(BDD!H581:AR581,8)*'ButsMPG + Var'!$K$10+COUNTIF(BDD!H581:AR581,7)*'ButsMPG + Var'!$K$9+COUNTIF(BDD!H581:AR581,6)*'ButsMPG + Var'!$K$8+COUNTIF(BDD!H581:AR581,5)*'ButsMPG + Var'!$K$7+COUNTIF(BDD!H581:AR581,4)*'ButsMPG + Var'!$K$6+COUNTIF(BDD!H581:AR581,3)*'ButsMPG + Var'!$K$5+COUNTIF(BDD!H581:AR581,2)*'ButsMPG + Var'!$K$4+COUNTIF(BDD!H581:AR581,1)*'ButsMPG + Var'!$K$3,IF(C578="M",COUNTIF(BDD!H581:AR581,10)*'ButsMPG + Var'!$K$22+COUNTIF(BDD!H581:AR581,9)*'ButsMPG + Var'!$K$21+COUNTIF(BDD!H581:AR581,8)*'ButsMPG + Var'!$K$20+COUNTIF(BDD!H581:AR581,7)*'ButsMPG + Var'!$K$19+COUNTIF(BDD!H581:AR581,6)*'ButsMPG + Var'!$K$18+COUNTIF(BDD!H581:AR581,5)*'ButsMPG + Var'!$K$17+COUNTIF(BDD!H581:AR581,4)*'ButsMPG + Var'!$K$16+COUNTIF(BDD!H581:AR581,3)*'ButsMPG + Var'!$K$15+COUNTIF(BDD!H581:AR581,2)*'ButsMPG + Var'!$K$14+COUNTIF(BDD!H581:AR581,1)*'ButsMPG + Var'!$K$13,IF(C578="D",COUNTIF(BDD!H581:AR581,10)*'ButsMPG + Var'!$K$32+COUNTIF(BDD!H581:AR581,9)*'ButsMPG + Var'!$K$31+COUNTIF(BDD!H581:AR581,8)*'ButsMPG + Var'!$K$30+COUNTIF(BDD!H581:AR581,7)*'ButsMPG + Var'!$K$29+COUNTIF(BDD!H581:AR581,6)*'ButsMPG + Var'!$K$28+COUNTIF(BDD!H581:AR581,5)*'ButsMPG + Var'!$K$27+COUNTIF(BDD!H581:AR581,4)*'ButsMPG + Var'!$K$26+COUNTIF(BDD!H581:AR581,3)*'ButsMPG + Var'!$K$25+COUNTIF(BDD!H581:AR581,2)*'ButsMPG + Var'!$K$24+COUNTIF(BDD!H581:AR581,1)*'ButsMPG + Var'!$K$23,0)))</f>
        <v>0</v>
      </c>
      <c r="H578" s="25">
        <f t="shared" si="9"/>
        <v>0</v>
      </c>
      <c r="I578" s="25">
        <f>BDD!G581</f>
        <v>0</v>
      </c>
      <c r="J578" s="25">
        <f>SUMPRODUCT(BDD!H581:AS581,'ButsMPG + Var'!$B$46:$AM$46)</f>
        <v>0</v>
      </c>
      <c r="K578" s="25" t="e">
        <f>10*('ButsMPG + Var'!$H$37*J578/MAX(J:J)+'ButsMPG + Var'!$G$37*H578/MAX(H:H))</f>
        <v>#DIV/0!</v>
      </c>
      <c r="L578" s="1">
        <f>IF(ISNA(VLOOKUP(B578,PrixMini!$B$3:$E$573,4,FALSE)),1,VLOOKUP(B578,PrixMini!$B$3:$E$573,4,FALSE))</f>
        <v>1</v>
      </c>
      <c r="M578" s="25" t="e">
        <f>IF(ROUND(CalculCotation!$D$3*EXP(CalculCotation!$C$3*K578)-CalculCotation!$D$3+1,0)&gt;L578,ROUND(CalculCotation!$D$3*EXP(CalculCotation!$C$3*K578)-CalculCotation!$D$3+1,0),L578)</f>
        <v>#DIV/0!</v>
      </c>
    </row>
    <row r="579" spans="2:13" x14ac:dyDescent="0.3">
      <c r="B579" s="1">
        <f>BDD!C582</f>
        <v>0</v>
      </c>
      <c r="C579" s="1">
        <f>BDD!B582</f>
        <v>0</v>
      </c>
      <c r="D579" s="1">
        <f>BDD!A582</f>
        <v>0</v>
      </c>
      <c r="E579" s="1">
        <f>BDD!D582</f>
        <v>0</v>
      </c>
      <c r="F579" s="1">
        <f>BDD!F582</f>
        <v>0</v>
      </c>
      <c r="G579" s="25">
        <f>'ButsMPG + Var'!$I$39*IF(C579="A",COUNTIF(BDD!H582:AR582,10)*'ButsMPG + Var'!$K$12+COUNTIF(BDD!H582:AR582,9)*'ButsMPG + Var'!$K$11+COUNTIF(BDD!H582:AR582,8)*'ButsMPG + Var'!$K$10+COUNTIF(BDD!H582:AR582,7)*'ButsMPG + Var'!$K$9+COUNTIF(BDD!H582:AR582,6)*'ButsMPG + Var'!$K$8+COUNTIF(BDD!H582:AR582,5)*'ButsMPG + Var'!$K$7+COUNTIF(BDD!H582:AR582,4)*'ButsMPG + Var'!$K$6+COUNTIF(BDD!H582:AR582,3)*'ButsMPG + Var'!$K$5+COUNTIF(BDD!H582:AR582,2)*'ButsMPG + Var'!$K$4+COUNTIF(BDD!H582:AR582,1)*'ButsMPG + Var'!$K$3,IF(C579="M",COUNTIF(BDD!H582:AR582,10)*'ButsMPG + Var'!$K$22+COUNTIF(BDD!H582:AR582,9)*'ButsMPG + Var'!$K$21+COUNTIF(BDD!H582:AR582,8)*'ButsMPG + Var'!$K$20+COUNTIF(BDD!H582:AR582,7)*'ButsMPG + Var'!$K$19+COUNTIF(BDD!H582:AR582,6)*'ButsMPG + Var'!$K$18+COUNTIF(BDD!H582:AR582,5)*'ButsMPG + Var'!$K$17+COUNTIF(BDD!H582:AR582,4)*'ButsMPG + Var'!$K$16+COUNTIF(BDD!H582:AR582,3)*'ButsMPG + Var'!$K$15+COUNTIF(BDD!H582:AR582,2)*'ButsMPG + Var'!$K$14+COUNTIF(BDD!H582:AR582,1)*'ButsMPG + Var'!$K$13,IF(C579="D",COUNTIF(BDD!H582:AR582,10)*'ButsMPG + Var'!$K$32+COUNTIF(BDD!H582:AR582,9)*'ButsMPG + Var'!$K$31+COUNTIF(BDD!H582:AR582,8)*'ButsMPG + Var'!$K$30+COUNTIF(BDD!H582:AR582,7)*'ButsMPG + Var'!$K$29+COUNTIF(BDD!H582:AR582,6)*'ButsMPG + Var'!$K$28+COUNTIF(BDD!H582:AR582,5)*'ButsMPG + Var'!$K$27+COUNTIF(BDD!H582:AR582,4)*'ButsMPG + Var'!$K$26+COUNTIF(BDD!H582:AR582,3)*'ButsMPG + Var'!$K$25+COUNTIF(BDD!H582:AR582,2)*'ButsMPG + Var'!$K$24+COUNTIF(BDD!H582:AR582,1)*'ButsMPG + Var'!$K$23,0)))</f>
        <v>0</v>
      </c>
      <c r="H579" s="25">
        <f t="shared" si="9"/>
        <v>0</v>
      </c>
      <c r="I579" s="25">
        <f>BDD!G582</f>
        <v>0</v>
      </c>
      <c r="J579" s="25">
        <f>SUMPRODUCT(BDD!H582:AS582,'ButsMPG + Var'!$B$46:$AM$46)</f>
        <v>0</v>
      </c>
      <c r="K579" s="25" t="e">
        <f>10*('ButsMPG + Var'!$H$37*J579/MAX(J:J)+'ButsMPG + Var'!$G$37*H579/MAX(H:H))</f>
        <v>#DIV/0!</v>
      </c>
      <c r="L579" s="1">
        <f>IF(ISNA(VLOOKUP(B579,PrixMini!$B$3:$E$573,4,FALSE)),1,VLOOKUP(B579,PrixMini!$B$3:$E$573,4,FALSE))</f>
        <v>1</v>
      </c>
      <c r="M579" s="25" t="e">
        <f>IF(ROUND(CalculCotation!$D$3*EXP(CalculCotation!$C$3*K579)-CalculCotation!$D$3+1,0)&gt;L579,ROUND(CalculCotation!$D$3*EXP(CalculCotation!$C$3*K579)-CalculCotation!$D$3+1,0),L579)</f>
        <v>#DIV/0!</v>
      </c>
    </row>
    <row r="580" spans="2:13" x14ac:dyDescent="0.3">
      <c r="B580" s="1">
        <f>BDD!C583</f>
        <v>0</v>
      </c>
      <c r="C580" s="1">
        <f>BDD!B583</f>
        <v>0</v>
      </c>
      <c r="D580" s="1">
        <f>BDD!A583</f>
        <v>0</v>
      </c>
      <c r="E580" s="1">
        <f>BDD!D583</f>
        <v>0</v>
      </c>
      <c r="F580" s="1">
        <f>BDD!F583</f>
        <v>0</v>
      </c>
      <c r="G580" s="25">
        <f>'ButsMPG + Var'!$I$39*IF(C580="A",COUNTIF(BDD!H583:AR583,10)*'ButsMPG + Var'!$K$12+COUNTIF(BDD!H583:AR583,9)*'ButsMPG + Var'!$K$11+COUNTIF(BDD!H583:AR583,8)*'ButsMPG + Var'!$K$10+COUNTIF(BDD!H583:AR583,7)*'ButsMPG + Var'!$K$9+COUNTIF(BDD!H583:AR583,6)*'ButsMPG + Var'!$K$8+COUNTIF(BDD!H583:AR583,5)*'ButsMPG + Var'!$K$7+COUNTIF(BDD!H583:AR583,4)*'ButsMPG + Var'!$K$6+COUNTIF(BDD!H583:AR583,3)*'ButsMPG + Var'!$K$5+COUNTIF(BDD!H583:AR583,2)*'ButsMPG + Var'!$K$4+COUNTIF(BDD!H583:AR583,1)*'ButsMPG + Var'!$K$3,IF(C580="M",COUNTIF(BDD!H583:AR583,10)*'ButsMPG + Var'!$K$22+COUNTIF(BDD!H583:AR583,9)*'ButsMPG + Var'!$K$21+COUNTIF(BDD!H583:AR583,8)*'ButsMPG + Var'!$K$20+COUNTIF(BDD!H583:AR583,7)*'ButsMPG + Var'!$K$19+COUNTIF(BDD!H583:AR583,6)*'ButsMPG + Var'!$K$18+COUNTIF(BDD!H583:AR583,5)*'ButsMPG + Var'!$K$17+COUNTIF(BDD!H583:AR583,4)*'ButsMPG + Var'!$K$16+COUNTIF(BDD!H583:AR583,3)*'ButsMPG + Var'!$K$15+COUNTIF(BDD!H583:AR583,2)*'ButsMPG + Var'!$K$14+COUNTIF(BDD!H583:AR583,1)*'ButsMPG + Var'!$K$13,IF(C580="D",COUNTIF(BDD!H583:AR583,10)*'ButsMPG + Var'!$K$32+COUNTIF(BDD!H583:AR583,9)*'ButsMPG + Var'!$K$31+COUNTIF(BDD!H583:AR583,8)*'ButsMPG + Var'!$K$30+COUNTIF(BDD!H583:AR583,7)*'ButsMPG + Var'!$K$29+COUNTIF(BDD!H583:AR583,6)*'ButsMPG + Var'!$K$28+COUNTIF(BDD!H583:AR583,5)*'ButsMPG + Var'!$K$27+COUNTIF(BDD!H583:AR583,4)*'ButsMPG + Var'!$K$26+COUNTIF(BDD!H583:AR583,3)*'ButsMPG + Var'!$K$25+COUNTIF(BDD!H583:AR583,2)*'ButsMPG + Var'!$K$24+COUNTIF(BDD!H583:AR583,1)*'ButsMPG + Var'!$K$23,0)))</f>
        <v>0</v>
      </c>
      <c r="H580" s="25">
        <f t="shared" ref="H580:H643" si="10">SUM(F580:G580)</f>
        <v>0</v>
      </c>
      <c r="I580" s="25">
        <f>BDD!G583</f>
        <v>0</v>
      </c>
      <c r="J580" s="25">
        <f>SUMPRODUCT(BDD!H583:AS583,'ButsMPG + Var'!$B$46:$AM$46)</f>
        <v>0</v>
      </c>
      <c r="K580" s="25" t="e">
        <f>10*('ButsMPG + Var'!$H$37*J580/MAX(J:J)+'ButsMPG + Var'!$G$37*H580/MAX(H:H))</f>
        <v>#DIV/0!</v>
      </c>
      <c r="L580" s="1">
        <f>IF(ISNA(VLOOKUP(B580,PrixMini!$B$3:$E$573,4,FALSE)),1,VLOOKUP(B580,PrixMini!$B$3:$E$573,4,FALSE))</f>
        <v>1</v>
      </c>
      <c r="M580" s="25" t="e">
        <f>IF(ROUND(CalculCotation!$D$3*EXP(CalculCotation!$C$3*K580)-CalculCotation!$D$3+1,0)&gt;L580,ROUND(CalculCotation!$D$3*EXP(CalculCotation!$C$3*K580)-CalculCotation!$D$3+1,0),L580)</f>
        <v>#DIV/0!</v>
      </c>
    </row>
    <row r="581" spans="2:13" x14ac:dyDescent="0.3">
      <c r="B581" s="1">
        <f>BDD!C584</f>
        <v>0</v>
      </c>
      <c r="C581" s="1">
        <f>BDD!B584</f>
        <v>0</v>
      </c>
      <c r="D581" s="1">
        <f>BDD!A584</f>
        <v>0</v>
      </c>
      <c r="E581" s="1">
        <f>BDD!D584</f>
        <v>0</v>
      </c>
      <c r="F581" s="1">
        <f>BDD!F584</f>
        <v>0</v>
      </c>
      <c r="G581" s="25">
        <f>'ButsMPG + Var'!$I$39*IF(C581="A",COUNTIF(BDD!H584:AR584,10)*'ButsMPG + Var'!$K$12+COUNTIF(BDD!H584:AR584,9)*'ButsMPG + Var'!$K$11+COUNTIF(BDD!H584:AR584,8)*'ButsMPG + Var'!$K$10+COUNTIF(BDD!H584:AR584,7)*'ButsMPG + Var'!$K$9+COUNTIF(BDD!H584:AR584,6)*'ButsMPG + Var'!$K$8+COUNTIF(BDD!H584:AR584,5)*'ButsMPG + Var'!$K$7+COUNTIF(BDD!H584:AR584,4)*'ButsMPG + Var'!$K$6+COUNTIF(BDD!H584:AR584,3)*'ButsMPG + Var'!$K$5+COUNTIF(BDD!H584:AR584,2)*'ButsMPG + Var'!$K$4+COUNTIF(BDD!H584:AR584,1)*'ButsMPG + Var'!$K$3,IF(C581="M",COUNTIF(BDD!H584:AR584,10)*'ButsMPG + Var'!$K$22+COUNTIF(BDD!H584:AR584,9)*'ButsMPG + Var'!$K$21+COUNTIF(BDD!H584:AR584,8)*'ButsMPG + Var'!$K$20+COUNTIF(BDD!H584:AR584,7)*'ButsMPG + Var'!$K$19+COUNTIF(BDD!H584:AR584,6)*'ButsMPG + Var'!$K$18+COUNTIF(BDD!H584:AR584,5)*'ButsMPG + Var'!$K$17+COUNTIF(BDD!H584:AR584,4)*'ButsMPG + Var'!$K$16+COUNTIF(BDD!H584:AR584,3)*'ButsMPG + Var'!$K$15+COUNTIF(BDD!H584:AR584,2)*'ButsMPG + Var'!$K$14+COUNTIF(BDD!H584:AR584,1)*'ButsMPG + Var'!$K$13,IF(C581="D",COUNTIF(BDD!H584:AR584,10)*'ButsMPG + Var'!$K$32+COUNTIF(BDD!H584:AR584,9)*'ButsMPG + Var'!$K$31+COUNTIF(BDD!H584:AR584,8)*'ButsMPG + Var'!$K$30+COUNTIF(BDD!H584:AR584,7)*'ButsMPG + Var'!$K$29+COUNTIF(BDD!H584:AR584,6)*'ButsMPG + Var'!$K$28+COUNTIF(BDD!H584:AR584,5)*'ButsMPG + Var'!$K$27+COUNTIF(BDD!H584:AR584,4)*'ButsMPG + Var'!$K$26+COUNTIF(BDD!H584:AR584,3)*'ButsMPG + Var'!$K$25+COUNTIF(BDD!H584:AR584,2)*'ButsMPG + Var'!$K$24+COUNTIF(BDD!H584:AR584,1)*'ButsMPG + Var'!$K$23,0)))</f>
        <v>0</v>
      </c>
      <c r="H581" s="25">
        <f t="shared" si="10"/>
        <v>0</v>
      </c>
      <c r="I581" s="25">
        <f>BDD!G584</f>
        <v>0</v>
      </c>
      <c r="J581" s="25">
        <f>SUMPRODUCT(BDD!H584:AS584,'ButsMPG + Var'!$B$46:$AM$46)</f>
        <v>0</v>
      </c>
      <c r="K581" s="25" t="e">
        <f>10*('ButsMPG + Var'!$H$37*J581/MAX(J:J)+'ButsMPG + Var'!$G$37*H581/MAX(H:H))</f>
        <v>#DIV/0!</v>
      </c>
      <c r="L581" s="1">
        <f>IF(ISNA(VLOOKUP(B581,PrixMini!$B$3:$E$573,4,FALSE)),1,VLOOKUP(B581,PrixMini!$B$3:$E$573,4,FALSE))</f>
        <v>1</v>
      </c>
      <c r="M581" s="25" t="e">
        <f>IF(ROUND(CalculCotation!$D$3*EXP(CalculCotation!$C$3*K581)-CalculCotation!$D$3+1,0)&gt;L581,ROUND(CalculCotation!$D$3*EXP(CalculCotation!$C$3*K581)-CalculCotation!$D$3+1,0),L581)</f>
        <v>#DIV/0!</v>
      </c>
    </row>
    <row r="582" spans="2:13" x14ac:dyDescent="0.3">
      <c r="B582" s="1">
        <f>BDD!C585</f>
        <v>0</v>
      </c>
      <c r="C582" s="1">
        <f>BDD!B585</f>
        <v>0</v>
      </c>
      <c r="D582" s="1">
        <f>BDD!A585</f>
        <v>0</v>
      </c>
      <c r="E582" s="1">
        <f>BDD!D585</f>
        <v>0</v>
      </c>
      <c r="F582" s="1">
        <f>BDD!F585</f>
        <v>0</v>
      </c>
      <c r="G582" s="25">
        <f>'ButsMPG + Var'!$I$39*IF(C582="A",COUNTIF(BDD!H585:AR585,10)*'ButsMPG + Var'!$K$12+COUNTIF(BDD!H585:AR585,9)*'ButsMPG + Var'!$K$11+COUNTIF(BDD!H585:AR585,8)*'ButsMPG + Var'!$K$10+COUNTIF(BDD!H585:AR585,7)*'ButsMPG + Var'!$K$9+COUNTIF(BDD!H585:AR585,6)*'ButsMPG + Var'!$K$8+COUNTIF(BDD!H585:AR585,5)*'ButsMPG + Var'!$K$7+COUNTIF(BDD!H585:AR585,4)*'ButsMPG + Var'!$K$6+COUNTIF(BDD!H585:AR585,3)*'ButsMPG + Var'!$K$5+COUNTIF(BDD!H585:AR585,2)*'ButsMPG + Var'!$K$4+COUNTIF(BDD!H585:AR585,1)*'ButsMPG + Var'!$K$3,IF(C582="M",COUNTIF(BDD!H585:AR585,10)*'ButsMPG + Var'!$K$22+COUNTIF(BDD!H585:AR585,9)*'ButsMPG + Var'!$K$21+COUNTIF(BDD!H585:AR585,8)*'ButsMPG + Var'!$K$20+COUNTIF(BDD!H585:AR585,7)*'ButsMPG + Var'!$K$19+COUNTIF(BDD!H585:AR585,6)*'ButsMPG + Var'!$K$18+COUNTIF(BDD!H585:AR585,5)*'ButsMPG + Var'!$K$17+COUNTIF(BDD!H585:AR585,4)*'ButsMPG + Var'!$K$16+COUNTIF(BDD!H585:AR585,3)*'ButsMPG + Var'!$K$15+COUNTIF(BDD!H585:AR585,2)*'ButsMPG + Var'!$K$14+COUNTIF(BDD!H585:AR585,1)*'ButsMPG + Var'!$K$13,IF(C582="D",COUNTIF(BDD!H585:AR585,10)*'ButsMPG + Var'!$K$32+COUNTIF(BDD!H585:AR585,9)*'ButsMPG + Var'!$K$31+COUNTIF(BDD!H585:AR585,8)*'ButsMPG + Var'!$K$30+COUNTIF(BDD!H585:AR585,7)*'ButsMPG + Var'!$K$29+COUNTIF(BDD!H585:AR585,6)*'ButsMPG + Var'!$K$28+COUNTIF(BDD!H585:AR585,5)*'ButsMPG + Var'!$K$27+COUNTIF(BDD!H585:AR585,4)*'ButsMPG + Var'!$K$26+COUNTIF(BDD!H585:AR585,3)*'ButsMPG + Var'!$K$25+COUNTIF(BDD!H585:AR585,2)*'ButsMPG + Var'!$K$24+COUNTIF(BDD!H585:AR585,1)*'ButsMPG + Var'!$K$23,0)))</f>
        <v>0</v>
      </c>
      <c r="H582" s="25">
        <f t="shared" si="10"/>
        <v>0</v>
      </c>
      <c r="I582" s="25">
        <f>BDD!G585</f>
        <v>0</v>
      </c>
      <c r="J582" s="25">
        <f>SUMPRODUCT(BDD!H585:AS585,'ButsMPG + Var'!$B$46:$AM$46)</f>
        <v>0</v>
      </c>
      <c r="K582" s="25" t="e">
        <f>10*('ButsMPG + Var'!$H$37*J582/MAX(J:J)+'ButsMPG + Var'!$G$37*H582/MAX(H:H))</f>
        <v>#DIV/0!</v>
      </c>
      <c r="L582" s="1">
        <f>IF(ISNA(VLOOKUP(B582,PrixMini!$B$3:$E$573,4,FALSE)),1,VLOOKUP(B582,PrixMini!$B$3:$E$573,4,FALSE))</f>
        <v>1</v>
      </c>
      <c r="M582" s="25" t="e">
        <f>IF(ROUND(CalculCotation!$D$3*EXP(CalculCotation!$C$3*K582)-CalculCotation!$D$3+1,0)&gt;L582,ROUND(CalculCotation!$D$3*EXP(CalculCotation!$C$3*K582)-CalculCotation!$D$3+1,0),L582)</f>
        <v>#DIV/0!</v>
      </c>
    </row>
    <row r="583" spans="2:13" x14ac:dyDescent="0.3">
      <c r="B583" s="1">
        <f>BDD!C586</f>
        <v>0</v>
      </c>
      <c r="C583" s="1">
        <f>BDD!B586</f>
        <v>0</v>
      </c>
      <c r="D583" s="1">
        <f>BDD!A586</f>
        <v>0</v>
      </c>
      <c r="E583" s="1">
        <f>BDD!D586</f>
        <v>0</v>
      </c>
      <c r="F583" s="1">
        <f>BDD!F586</f>
        <v>0</v>
      </c>
      <c r="G583" s="25">
        <f>'ButsMPG + Var'!$I$39*IF(C583="A",COUNTIF(BDD!H586:AR586,10)*'ButsMPG + Var'!$K$12+COUNTIF(BDD!H586:AR586,9)*'ButsMPG + Var'!$K$11+COUNTIF(BDD!H586:AR586,8)*'ButsMPG + Var'!$K$10+COUNTIF(BDD!H586:AR586,7)*'ButsMPG + Var'!$K$9+COUNTIF(BDD!H586:AR586,6)*'ButsMPG + Var'!$K$8+COUNTIF(BDD!H586:AR586,5)*'ButsMPG + Var'!$K$7+COUNTIF(BDD!H586:AR586,4)*'ButsMPG + Var'!$K$6+COUNTIF(BDD!H586:AR586,3)*'ButsMPG + Var'!$K$5+COUNTIF(BDD!H586:AR586,2)*'ButsMPG + Var'!$K$4+COUNTIF(BDD!H586:AR586,1)*'ButsMPG + Var'!$K$3,IF(C583="M",COUNTIF(BDD!H586:AR586,10)*'ButsMPG + Var'!$K$22+COUNTIF(BDD!H586:AR586,9)*'ButsMPG + Var'!$K$21+COUNTIF(BDD!H586:AR586,8)*'ButsMPG + Var'!$K$20+COUNTIF(BDD!H586:AR586,7)*'ButsMPG + Var'!$K$19+COUNTIF(BDD!H586:AR586,6)*'ButsMPG + Var'!$K$18+COUNTIF(BDD!H586:AR586,5)*'ButsMPG + Var'!$K$17+COUNTIF(BDD!H586:AR586,4)*'ButsMPG + Var'!$K$16+COUNTIF(BDD!H586:AR586,3)*'ButsMPG + Var'!$K$15+COUNTIF(BDD!H586:AR586,2)*'ButsMPG + Var'!$K$14+COUNTIF(BDD!H586:AR586,1)*'ButsMPG + Var'!$K$13,IF(C583="D",COUNTIF(BDD!H586:AR586,10)*'ButsMPG + Var'!$K$32+COUNTIF(BDD!H586:AR586,9)*'ButsMPG + Var'!$K$31+COUNTIF(BDD!H586:AR586,8)*'ButsMPG + Var'!$K$30+COUNTIF(BDD!H586:AR586,7)*'ButsMPG + Var'!$K$29+COUNTIF(BDD!H586:AR586,6)*'ButsMPG + Var'!$K$28+COUNTIF(BDD!H586:AR586,5)*'ButsMPG + Var'!$K$27+COUNTIF(BDD!H586:AR586,4)*'ButsMPG + Var'!$K$26+COUNTIF(BDD!H586:AR586,3)*'ButsMPG + Var'!$K$25+COUNTIF(BDD!H586:AR586,2)*'ButsMPG + Var'!$K$24+COUNTIF(BDD!H586:AR586,1)*'ButsMPG + Var'!$K$23,0)))</f>
        <v>0</v>
      </c>
      <c r="H583" s="25">
        <f t="shared" si="10"/>
        <v>0</v>
      </c>
      <c r="I583" s="25">
        <f>BDD!G586</f>
        <v>0</v>
      </c>
      <c r="J583" s="25">
        <f>SUMPRODUCT(BDD!H586:AS586,'ButsMPG + Var'!$B$46:$AM$46)</f>
        <v>0</v>
      </c>
      <c r="K583" s="25" t="e">
        <f>10*('ButsMPG + Var'!$H$37*J583/MAX(J:J)+'ButsMPG + Var'!$G$37*H583/MAX(H:H))</f>
        <v>#DIV/0!</v>
      </c>
      <c r="L583" s="1">
        <f>IF(ISNA(VLOOKUP(B583,PrixMini!$B$3:$E$573,4,FALSE)),1,VLOOKUP(B583,PrixMini!$B$3:$E$573,4,FALSE))</f>
        <v>1</v>
      </c>
      <c r="M583" s="25" t="e">
        <f>IF(ROUND(CalculCotation!$D$3*EXP(CalculCotation!$C$3*K583)-CalculCotation!$D$3+1,0)&gt;L583,ROUND(CalculCotation!$D$3*EXP(CalculCotation!$C$3*K583)-CalculCotation!$D$3+1,0),L583)</f>
        <v>#DIV/0!</v>
      </c>
    </row>
    <row r="584" spans="2:13" x14ac:dyDescent="0.3">
      <c r="B584" s="1">
        <f>BDD!C587</f>
        <v>0</v>
      </c>
      <c r="C584" s="1">
        <f>BDD!B587</f>
        <v>0</v>
      </c>
      <c r="D584" s="1">
        <f>BDD!A587</f>
        <v>0</v>
      </c>
      <c r="E584" s="1">
        <f>BDD!D587</f>
        <v>0</v>
      </c>
      <c r="F584" s="1">
        <f>BDD!F587</f>
        <v>0</v>
      </c>
      <c r="G584" s="25">
        <f>'ButsMPG + Var'!$I$39*IF(C584="A",COUNTIF(BDD!H587:AR587,10)*'ButsMPG + Var'!$K$12+COUNTIF(BDD!H587:AR587,9)*'ButsMPG + Var'!$K$11+COUNTIF(BDD!H587:AR587,8)*'ButsMPG + Var'!$K$10+COUNTIF(BDD!H587:AR587,7)*'ButsMPG + Var'!$K$9+COUNTIF(BDD!H587:AR587,6)*'ButsMPG + Var'!$K$8+COUNTIF(BDD!H587:AR587,5)*'ButsMPG + Var'!$K$7+COUNTIF(BDD!H587:AR587,4)*'ButsMPG + Var'!$K$6+COUNTIF(BDD!H587:AR587,3)*'ButsMPG + Var'!$K$5+COUNTIF(BDD!H587:AR587,2)*'ButsMPG + Var'!$K$4+COUNTIF(BDD!H587:AR587,1)*'ButsMPG + Var'!$K$3,IF(C584="M",COUNTIF(BDD!H587:AR587,10)*'ButsMPG + Var'!$K$22+COUNTIF(BDD!H587:AR587,9)*'ButsMPG + Var'!$K$21+COUNTIF(BDD!H587:AR587,8)*'ButsMPG + Var'!$K$20+COUNTIF(BDD!H587:AR587,7)*'ButsMPG + Var'!$K$19+COUNTIF(BDD!H587:AR587,6)*'ButsMPG + Var'!$K$18+COUNTIF(BDD!H587:AR587,5)*'ButsMPG + Var'!$K$17+COUNTIF(BDD!H587:AR587,4)*'ButsMPG + Var'!$K$16+COUNTIF(BDD!H587:AR587,3)*'ButsMPG + Var'!$K$15+COUNTIF(BDD!H587:AR587,2)*'ButsMPG + Var'!$K$14+COUNTIF(BDD!H587:AR587,1)*'ButsMPG + Var'!$K$13,IF(C584="D",COUNTIF(BDD!H587:AR587,10)*'ButsMPG + Var'!$K$32+COUNTIF(BDD!H587:AR587,9)*'ButsMPG + Var'!$K$31+COUNTIF(BDD!H587:AR587,8)*'ButsMPG + Var'!$K$30+COUNTIF(BDD!H587:AR587,7)*'ButsMPG + Var'!$K$29+COUNTIF(BDD!H587:AR587,6)*'ButsMPG + Var'!$K$28+COUNTIF(BDD!H587:AR587,5)*'ButsMPG + Var'!$K$27+COUNTIF(BDD!H587:AR587,4)*'ButsMPG + Var'!$K$26+COUNTIF(BDD!H587:AR587,3)*'ButsMPG + Var'!$K$25+COUNTIF(BDD!H587:AR587,2)*'ButsMPG + Var'!$K$24+COUNTIF(BDD!H587:AR587,1)*'ButsMPG + Var'!$K$23,0)))</f>
        <v>0</v>
      </c>
      <c r="H584" s="25">
        <f t="shared" si="10"/>
        <v>0</v>
      </c>
      <c r="I584" s="25">
        <f>BDD!G587</f>
        <v>0</v>
      </c>
      <c r="J584" s="25">
        <f>SUMPRODUCT(BDD!H587:AS587,'ButsMPG + Var'!$B$46:$AM$46)</f>
        <v>0</v>
      </c>
      <c r="K584" s="25" t="e">
        <f>10*('ButsMPG + Var'!$H$37*J584/MAX(J:J)+'ButsMPG + Var'!$G$37*H584/MAX(H:H))</f>
        <v>#DIV/0!</v>
      </c>
      <c r="L584" s="1">
        <f>IF(ISNA(VLOOKUP(B584,PrixMini!$B$3:$E$573,4,FALSE)),1,VLOOKUP(B584,PrixMini!$B$3:$E$573,4,FALSE))</f>
        <v>1</v>
      </c>
      <c r="M584" s="25" t="e">
        <f>IF(ROUND(CalculCotation!$D$3*EXP(CalculCotation!$C$3*K584)-CalculCotation!$D$3+1,0)&gt;L584,ROUND(CalculCotation!$D$3*EXP(CalculCotation!$C$3*K584)-CalculCotation!$D$3+1,0),L584)</f>
        <v>#DIV/0!</v>
      </c>
    </row>
    <row r="585" spans="2:13" x14ac:dyDescent="0.3">
      <c r="B585" s="1">
        <f>BDD!C588</f>
        <v>0</v>
      </c>
      <c r="C585" s="1">
        <f>BDD!B588</f>
        <v>0</v>
      </c>
      <c r="D585" s="1">
        <f>BDD!A588</f>
        <v>0</v>
      </c>
      <c r="E585" s="1">
        <f>BDD!D588</f>
        <v>0</v>
      </c>
      <c r="F585" s="1">
        <f>BDD!F588</f>
        <v>0</v>
      </c>
      <c r="G585" s="25">
        <f>'ButsMPG + Var'!$I$39*IF(C585="A",COUNTIF(BDD!H588:AR588,10)*'ButsMPG + Var'!$K$12+COUNTIF(BDD!H588:AR588,9)*'ButsMPG + Var'!$K$11+COUNTIF(BDD!H588:AR588,8)*'ButsMPG + Var'!$K$10+COUNTIF(BDD!H588:AR588,7)*'ButsMPG + Var'!$K$9+COUNTIF(BDD!H588:AR588,6)*'ButsMPG + Var'!$K$8+COUNTIF(BDD!H588:AR588,5)*'ButsMPG + Var'!$K$7+COUNTIF(BDD!H588:AR588,4)*'ButsMPG + Var'!$K$6+COUNTIF(BDD!H588:AR588,3)*'ButsMPG + Var'!$K$5+COUNTIF(BDD!H588:AR588,2)*'ButsMPG + Var'!$K$4+COUNTIF(BDD!H588:AR588,1)*'ButsMPG + Var'!$K$3,IF(C585="M",COUNTIF(BDD!H588:AR588,10)*'ButsMPG + Var'!$K$22+COUNTIF(BDD!H588:AR588,9)*'ButsMPG + Var'!$K$21+COUNTIF(BDD!H588:AR588,8)*'ButsMPG + Var'!$K$20+COUNTIF(BDD!H588:AR588,7)*'ButsMPG + Var'!$K$19+COUNTIF(BDD!H588:AR588,6)*'ButsMPG + Var'!$K$18+COUNTIF(BDD!H588:AR588,5)*'ButsMPG + Var'!$K$17+COUNTIF(BDD!H588:AR588,4)*'ButsMPG + Var'!$K$16+COUNTIF(BDD!H588:AR588,3)*'ButsMPG + Var'!$K$15+COUNTIF(BDD!H588:AR588,2)*'ButsMPG + Var'!$K$14+COUNTIF(BDD!H588:AR588,1)*'ButsMPG + Var'!$K$13,IF(C585="D",COUNTIF(BDD!H588:AR588,10)*'ButsMPG + Var'!$K$32+COUNTIF(BDD!H588:AR588,9)*'ButsMPG + Var'!$K$31+COUNTIF(BDD!H588:AR588,8)*'ButsMPG + Var'!$K$30+COUNTIF(BDD!H588:AR588,7)*'ButsMPG + Var'!$K$29+COUNTIF(BDD!H588:AR588,6)*'ButsMPG + Var'!$K$28+COUNTIF(BDD!H588:AR588,5)*'ButsMPG + Var'!$K$27+COUNTIF(BDD!H588:AR588,4)*'ButsMPG + Var'!$K$26+COUNTIF(BDD!H588:AR588,3)*'ButsMPG + Var'!$K$25+COUNTIF(BDD!H588:AR588,2)*'ButsMPG + Var'!$K$24+COUNTIF(BDD!H588:AR588,1)*'ButsMPG + Var'!$K$23,0)))</f>
        <v>0</v>
      </c>
      <c r="H585" s="25">
        <f t="shared" si="10"/>
        <v>0</v>
      </c>
      <c r="I585" s="25">
        <f>BDD!G588</f>
        <v>0</v>
      </c>
      <c r="J585" s="25">
        <f>SUMPRODUCT(BDD!H588:AS588,'ButsMPG + Var'!$B$46:$AM$46)</f>
        <v>0</v>
      </c>
      <c r="K585" s="25" t="e">
        <f>10*('ButsMPG + Var'!$H$37*J585/MAX(J:J)+'ButsMPG + Var'!$G$37*H585/MAX(H:H))</f>
        <v>#DIV/0!</v>
      </c>
      <c r="L585" s="1">
        <f>IF(ISNA(VLOOKUP(B585,PrixMini!$B$3:$E$573,4,FALSE)),1,VLOOKUP(B585,PrixMini!$B$3:$E$573,4,FALSE))</f>
        <v>1</v>
      </c>
      <c r="M585" s="25" t="e">
        <f>IF(ROUND(CalculCotation!$D$3*EXP(CalculCotation!$C$3*K585)-CalculCotation!$D$3+1,0)&gt;L585,ROUND(CalculCotation!$D$3*EXP(CalculCotation!$C$3*K585)-CalculCotation!$D$3+1,0),L585)</f>
        <v>#DIV/0!</v>
      </c>
    </row>
    <row r="586" spans="2:13" x14ac:dyDescent="0.3">
      <c r="B586" s="1">
        <f>BDD!C589</f>
        <v>0</v>
      </c>
      <c r="C586" s="1">
        <f>BDD!B589</f>
        <v>0</v>
      </c>
      <c r="D586" s="1">
        <f>BDD!A589</f>
        <v>0</v>
      </c>
      <c r="E586" s="1">
        <f>BDD!D589</f>
        <v>0</v>
      </c>
      <c r="F586" s="1">
        <f>BDD!F589</f>
        <v>0</v>
      </c>
      <c r="G586" s="25">
        <f>'ButsMPG + Var'!$I$39*IF(C586="A",COUNTIF(BDD!H589:AR589,10)*'ButsMPG + Var'!$K$12+COUNTIF(BDD!H589:AR589,9)*'ButsMPG + Var'!$K$11+COUNTIF(BDD!H589:AR589,8)*'ButsMPG + Var'!$K$10+COUNTIF(BDD!H589:AR589,7)*'ButsMPG + Var'!$K$9+COUNTIF(BDD!H589:AR589,6)*'ButsMPG + Var'!$K$8+COUNTIF(BDD!H589:AR589,5)*'ButsMPG + Var'!$K$7+COUNTIF(BDD!H589:AR589,4)*'ButsMPG + Var'!$K$6+COUNTIF(BDD!H589:AR589,3)*'ButsMPG + Var'!$K$5+COUNTIF(BDD!H589:AR589,2)*'ButsMPG + Var'!$K$4+COUNTIF(BDD!H589:AR589,1)*'ButsMPG + Var'!$K$3,IF(C586="M",COUNTIF(BDD!H589:AR589,10)*'ButsMPG + Var'!$K$22+COUNTIF(BDD!H589:AR589,9)*'ButsMPG + Var'!$K$21+COUNTIF(BDD!H589:AR589,8)*'ButsMPG + Var'!$K$20+COUNTIF(BDD!H589:AR589,7)*'ButsMPG + Var'!$K$19+COUNTIF(BDD!H589:AR589,6)*'ButsMPG + Var'!$K$18+COUNTIF(BDD!H589:AR589,5)*'ButsMPG + Var'!$K$17+COUNTIF(BDD!H589:AR589,4)*'ButsMPG + Var'!$K$16+COUNTIF(BDD!H589:AR589,3)*'ButsMPG + Var'!$K$15+COUNTIF(BDD!H589:AR589,2)*'ButsMPG + Var'!$K$14+COUNTIF(BDD!H589:AR589,1)*'ButsMPG + Var'!$K$13,IF(C586="D",COUNTIF(BDD!H589:AR589,10)*'ButsMPG + Var'!$K$32+COUNTIF(BDD!H589:AR589,9)*'ButsMPG + Var'!$K$31+COUNTIF(BDD!H589:AR589,8)*'ButsMPG + Var'!$K$30+COUNTIF(BDD!H589:AR589,7)*'ButsMPG + Var'!$K$29+COUNTIF(BDD!H589:AR589,6)*'ButsMPG + Var'!$K$28+COUNTIF(BDD!H589:AR589,5)*'ButsMPG + Var'!$K$27+COUNTIF(BDD!H589:AR589,4)*'ButsMPG + Var'!$K$26+COUNTIF(BDD!H589:AR589,3)*'ButsMPG + Var'!$K$25+COUNTIF(BDD!H589:AR589,2)*'ButsMPG + Var'!$K$24+COUNTIF(BDD!H589:AR589,1)*'ButsMPG + Var'!$K$23,0)))</f>
        <v>0</v>
      </c>
      <c r="H586" s="25">
        <f t="shared" si="10"/>
        <v>0</v>
      </c>
      <c r="I586" s="25">
        <f>BDD!G589</f>
        <v>0</v>
      </c>
      <c r="J586" s="25">
        <f>SUMPRODUCT(BDD!H589:AS589,'ButsMPG + Var'!$B$46:$AM$46)</f>
        <v>0</v>
      </c>
      <c r="K586" s="25" t="e">
        <f>10*('ButsMPG + Var'!$H$37*J586/MAX(J:J)+'ButsMPG + Var'!$G$37*H586/MAX(H:H))</f>
        <v>#DIV/0!</v>
      </c>
      <c r="L586" s="1">
        <f>IF(ISNA(VLOOKUP(B586,PrixMini!$B$3:$E$573,4,FALSE)),1,VLOOKUP(B586,PrixMini!$B$3:$E$573,4,FALSE))</f>
        <v>1</v>
      </c>
      <c r="M586" s="25" t="e">
        <f>IF(ROUND(CalculCotation!$D$3*EXP(CalculCotation!$C$3*K586)-CalculCotation!$D$3+1,0)&gt;L586,ROUND(CalculCotation!$D$3*EXP(CalculCotation!$C$3*K586)-CalculCotation!$D$3+1,0),L586)</f>
        <v>#DIV/0!</v>
      </c>
    </row>
    <row r="587" spans="2:13" x14ac:dyDescent="0.3">
      <c r="B587" s="1">
        <f>BDD!C590</f>
        <v>0</v>
      </c>
      <c r="C587" s="1">
        <f>BDD!B590</f>
        <v>0</v>
      </c>
      <c r="D587" s="1">
        <f>BDD!A590</f>
        <v>0</v>
      </c>
      <c r="E587" s="1">
        <f>BDD!D590</f>
        <v>0</v>
      </c>
      <c r="F587" s="1">
        <f>BDD!F590</f>
        <v>0</v>
      </c>
      <c r="G587" s="25">
        <f>'ButsMPG + Var'!$I$39*IF(C587="A",COUNTIF(BDD!H590:AR590,10)*'ButsMPG + Var'!$K$12+COUNTIF(BDD!H590:AR590,9)*'ButsMPG + Var'!$K$11+COUNTIF(BDD!H590:AR590,8)*'ButsMPG + Var'!$K$10+COUNTIF(BDD!H590:AR590,7)*'ButsMPG + Var'!$K$9+COUNTIF(BDD!H590:AR590,6)*'ButsMPG + Var'!$K$8+COUNTIF(BDD!H590:AR590,5)*'ButsMPG + Var'!$K$7+COUNTIF(BDD!H590:AR590,4)*'ButsMPG + Var'!$K$6+COUNTIF(BDD!H590:AR590,3)*'ButsMPG + Var'!$K$5+COUNTIF(BDD!H590:AR590,2)*'ButsMPG + Var'!$K$4+COUNTIF(BDD!H590:AR590,1)*'ButsMPG + Var'!$K$3,IF(C587="M",COUNTIF(BDD!H590:AR590,10)*'ButsMPG + Var'!$K$22+COUNTIF(BDD!H590:AR590,9)*'ButsMPG + Var'!$K$21+COUNTIF(BDD!H590:AR590,8)*'ButsMPG + Var'!$K$20+COUNTIF(BDD!H590:AR590,7)*'ButsMPG + Var'!$K$19+COUNTIF(BDD!H590:AR590,6)*'ButsMPG + Var'!$K$18+COUNTIF(BDD!H590:AR590,5)*'ButsMPG + Var'!$K$17+COUNTIF(BDD!H590:AR590,4)*'ButsMPG + Var'!$K$16+COUNTIF(BDD!H590:AR590,3)*'ButsMPG + Var'!$K$15+COUNTIF(BDD!H590:AR590,2)*'ButsMPG + Var'!$K$14+COUNTIF(BDD!H590:AR590,1)*'ButsMPG + Var'!$K$13,IF(C587="D",COUNTIF(BDD!H590:AR590,10)*'ButsMPG + Var'!$K$32+COUNTIF(BDD!H590:AR590,9)*'ButsMPG + Var'!$K$31+COUNTIF(BDD!H590:AR590,8)*'ButsMPG + Var'!$K$30+COUNTIF(BDD!H590:AR590,7)*'ButsMPG + Var'!$K$29+COUNTIF(BDD!H590:AR590,6)*'ButsMPG + Var'!$K$28+COUNTIF(BDD!H590:AR590,5)*'ButsMPG + Var'!$K$27+COUNTIF(BDD!H590:AR590,4)*'ButsMPG + Var'!$K$26+COUNTIF(BDD!H590:AR590,3)*'ButsMPG + Var'!$K$25+COUNTIF(BDD!H590:AR590,2)*'ButsMPG + Var'!$K$24+COUNTIF(BDD!H590:AR590,1)*'ButsMPG + Var'!$K$23,0)))</f>
        <v>0</v>
      </c>
      <c r="H587" s="25">
        <f t="shared" si="10"/>
        <v>0</v>
      </c>
      <c r="I587" s="25">
        <f>BDD!G590</f>
        <v>0</v>
      </c>
      <c r="J587" s="25">
        <f>SUMPRODUCT(BDD!H590:AS590,'ButsMPG + Var'!$B$46:$AM$46)</f>
        <v>0</v>
      </c>
      <c r="K587" s="25" t="e">
        <f>10*('ButsMPG + Var'!$H$37*J587/MAX(J:J)+'ButsMPG + Var'!$G$37*H587/MAX(H:H))</f>
        <v>#DIV/0!</v>
      </c>
      <c r="L587" s="1">
        <f>IF(ISNA(VLOOKUP(B587,PrixMini!$B$3:$E$573,4,FALSE)),1,VLOOKUP(B587,PrixMini!$B$3:$E$573,4,FALSE))</f>
        <v>1</v>
      </c>
      <c r="M587" s="25" t="e">
        <f>IF(ROUND(CalculCotation!$D$3*EXP(CalculCotation!$C$3*K587)-CalculCotation!$D$3+1,0)&gt;L587,ROUND(CalculCotation!$D$3*EXP(CalculCotation!$C$3*K587)-CalculCotation!$D$3+1,0),L587)</f>
        <v>#DIV/0!</v>
      </c>
    </row>
    <row r="588" spans="2:13" x14ac:dyDescent="0.3">
      <c r="B588" s="1">
        <f>BDD!C591</f>
        <v>0</v>
      </c>
      <c r="C588" s="1">
        <f>BDD!B591</f>
        <v>0</v>
      </c>
      <c r="D588" s="1">
        <f>BDD!A591</f>
        <v>0</v>
      </c>
      <c r="E588" s="1">
        <f>BDD!D591</f>
        <v>0</v>
      </c>
      <c r="F588" s="1">
        <f>BDD!F591</f>
        <v>0</v>
      </c>
      <c r="G588" s="25">
        <f>'ButsMPG + Var'!$I$39*IF(C588="A",COUNTIF(BDD!H591:AR591,10)*'ButsMPG + Var'!$K$12+COUNTIF(BDD!H591:AR591,9)*'ButsMPG + Var'!$K$11+COUNTIF(BDD!H591:AR591,8)*'ButsMPG + Var'!$K$10+COUNTIF(BDD!H591:AR591,7)*'ButsMPG + Var'!$K$9+COUNTIF(BDD!H591:AR591,6)*'ButsMPG + Var'!$K$8+COUNTIF(BDD!H591:AR591,5)*'ButsMPG + Var'!$K$7+COUNTIF(BDD!H591:AR591,4)*'ButsMPG + Var'!$K$6+COUNTIF(BDD!H591:AR591,3)*'ButsMPG + Var'!$K$5+COUNTIF(BDD!H591:AR591,2)*'ButsMPG + Var'!$K$4+COUNTIF(BDD!H591:AR591,1)*'ButsMPG + Var'!$K$3,IF(C588="M",COUNTIF(BDD!H591:AR591,10)*'ButsMPG + Var'!$K$22+COUNTIF(BDD!H591:AR591,9)*'ButsMPG + Var'!$K$21+COUNTIF(BDD!H591:AR591,8)*'ButsMPG + Var'!$K$20+COUNTIF(BDD!H591:AR591,7)*'ButsMPG + Var'!$K$19+COUNTIF(BDD!H591:AR591,6)*'ButsMPG + Var'!$K$18+COUNTIF(BDD!H591:AR591,5)*'ButsMPG + Var'!$K$17+COUNTIF(BDD!H591:AR591,4)*'ButsMPG + Var'!$K$16+COUNTIF(BDD!H591:AR591,3)*'ButsMPG + Var'!$K$15+COUNTIF(BDD!H591:AR591,2)*'ButsMPG + Var'!$K$14+COUNTIF(BDD!H591:AR591,1)*'ButsMPG + Var'!$K$13,IF(C588="D",COUNTIF(BDD!H591:AR591,10)*'ButsMPG + Var'!$K$32+COUNTIF(BDD!H591:AR591,9)*'ButsMPG + Var'!$K$31+COUNTIF(BDD!H591:AR591,8)*'ButsMPG + Var'!$K$30+COUNTIF(BDD!H591:AR591,7)*'ButsMPG + Var'!$K$29+COUNTIF(BDD!H591:AR591,6)*'ButsMPG + Var'!$K$28+COUNTIF(BDD!H591:AR591,5)*'ButsMPG + Var'!$K$27+COUNTIF(BDD!H591:AR591,4)*'ButsMPG + Var'!$K$26+COUNTIF(BDD!H591:AR591,3)*'ButsMPG + Var'!$K$25+COUNTIF(BDD!H591:AR591,2)*'ButsMPG + Var'!$K$24+COUNTIF(BDD!H591:AR591,1)*'ButsMPG + Var'!$K$23,0)))</f>
        <v>0</v>
      </c>
      <c r="H588" s="25">
        <f t="shared" si="10"/>
        <v>0</v>
      </c>
      <c r="I588" s="25">
        <f>BDD!G591</f>
        <v>0</v>
      </c>
      <c r="J588" s="25">
        <f>SUMPRODUCT(BDD!H591:AS591,'ButsMPG + Var'!$B$46:$AM$46)</f>
        <v>0</v>
      </c>
      <c r="K588" s="25" t="e">
        <f>10*('ButsMPG + Var'!$H$37*J588/MAX(J:J)+'ButsMPG + Var'!$G$37*H588/MAX(H:H))</f>
        <v>#DIV/0!</v>
      </c>
      <c r="L588" s="1">
        <f>IF(ISNA(VLOOKUP(B588,PrixMini!$B$3:$E$573,4,FALSE)),1,VLOOKUP(B588,PrixMini!$B$3:$E$573,4,FALSE))</f>
        <v>1</v>
      </c>
      <c r="M588" s="25" t="e">
        <f>IF(ROUND(CalculCotation!$D$3*EXP(CalculCotation!$C$3*K588)-CalculCotation!$D$3+1,0)&gt;L588,ROUND(CalculCotation!$D$3*EXP(CalculCotation!$C$3*K588)-CalculCotation!$D$3+1,0),L588)</f>
        <v>#DIV/0!</v>
      </c>
    </row>
    <row r="589" spans="2:13" x14ac:dyDescent="0.3">
      <c r="B589" s="1">
        <f>BDD!C592</f>
        <v>0</v>
      </c>
      <c r="C589" s="1">
        <f>BDD!B592</f>
        <v>0</v>
      </c>
      <c r="D589" s="1">
        <f>BDD!A592</f>
        <v>0</v>
      </c>
      <c r="E589" s="1">
        <f>BDD!D592</f>
        <v>0</v>
      </c>
      <c r="F589" s="1">
        <f>BDD!F592</f>
        <v>0</v>
      </c>
      <c r="G589" s="25">
        <f>'ButsMPG + Var'!$I$39*IF(C589="A",COUNTIF(BDD!H592:AR592,10)*'ButsMPG + Var'!$K$12+COUNTIF(BDD!H592:AR592,9)*'ButsMPG + Var'!$K$11+COUNTIF(BDD!H592:AR592,8)*'ButsMPG + Var'!$K$10+COUNTIF(BDD!H592:AR592,7)*'ButsMPG + Var'!$K$9+COUNTIF(BDD!H592:AR592,6)*'ButsMPG + Var'!$K$8+COUNTIF(BDD!H592:AR592,5)*'ButsMPG + Var'!$K$7+COUNTIF(BDD!H592:AR592,4)*'ButsMPG + Var'!$K$6+COUNTIF(BDD!H592:AR592,3)*'ButsMPG + Var'!$K$5+COUNTIF(BDD!H592:AR592,2)*'ButsMPG + Var'!$K$4+COUNTIF(BDD!H592:AR592,1)*'ButsMPG + Var'!$K$3,IF(C589="M",COUNTIF(BDD!H592:AR592,10)*'ButsMPG + Var'!$K$22+COUNTIF(BDD!H592:AR592,9)*'ButsMPG + Var'!$K$21+COUNTIF(BDD!H592:AR592,8)*'ButsMPG + Var'!$K$20+COUNTIF(BDD!H592:AR592,7)*'ButsMPG + Var'!$K$19+COUNTIF(BDD!H592:AR592,6)*'ButsMPG + Var'!$K$18+COUNTIF(BDD!H592:AR592,5)*'ButsMPG + Var'!$K$17+COUNTIF(BDD!H592:AR592,4)*'ButsMPG + Var'!$K$16+COUNTIF(BDD!H592:AR592,3)*'ButsMPG + Var'!$K$15+COUNTIF(BDD!H592:AR592,2)*'ButsMPG + Var'!$K$14+COUNTIF(BDD!H592:AR592,1)*'ButsMPG + Var'!$K$13,IF(C589="D",COUNTIF(BDD!H592:AR592,10)*'ButsMPG + Var'!$K$32+COUNTIF(BDD!H592:AR592,9)*'ButsMPG + Var'!$K$31+COUNTIF(BDD!H592:AR592,8)*'ButsMPG + Var'!$K$30+COUNTIF(BDD!H592:AR592,7)*'ButsMPG + Var'!$K$29+COUNTIF(BDD!H592:AR592,6)*'ButsMPG + Var'!$K$28+COUNTIF(BDD!H592:AR592,5)*'ButsMPG + Var'!$K$27+COUNTIF(BDD!H592:AR592,4)*'ButsMPG + Var'!$K$26+COUNTIF(BDD!H592:AR592,3)*'ButsMPG + Var'!$K$25+COUNTIF(BDD!H592:AR592,2)*'ButsMPG + Var'!$K$24+COUNTIF(BDD!H592:AR592,1)*'ButsMPG + Var'!$K$23,0)))</f>
        <v>0</v>
      </c>
      <c r="H589" s="25">
        <f t="shared" si="10"/>
        <v>0</v>
      </c>
      <c r="I589" s="25">
        <f>BDD!G592</f>
        <v>0</v>
      </c>
      <c r="J589" s="25">
        <f>SUMPRODUCT(BDD!H592:AS592,'ButsMPG + Var'!$B$46:$AM$46)</f>
        <v>0</v>
      </c>
      <c r="K589" s="25" t="e">
        <f>10*('ButsMPG + Var'!$H$37*J589/MAX(J:J)+'ButsMPG + Var'!$G$37*H589/MAX(H:H))</f>
        <v>#DIV/0!</v>
      </c>
      <c r="L589" s="1">
        <f>IF(ISNA(VLOOKUP(B589,PrixMini!$B$3:$E$573,4,FALSE)),1,VLOOKUP(B589,PrixMini!$B$3:$E$573,4,FALSE))</f>
        <v>1</v>
      </c>
      <c r="M589" s="25" t="e">
        <f>IF(ROUND(CalculCotation!$D$3*EXP(CalculCotation!$C$3*K589)-CalculCotation!$D$3+1,0)&gt;L589,ROUND(CalculCotation!$D$3*EXP(CalculCotation!$C$3*K589)-CalculCotation!$D$3+1,0),L589)</f>
        <v>#DIV/0!</v>
      </c>
    </row>
    <row r="590" spans="2:13" x14ac:dyDescent="0.3">
      <c r="B590" s="1">
        <f>BDD!C593</f>
        <v>0</v>
      </c>
      <c r="C590" s="1">
        <f>BDD!B593</f>
        <v>0</v>
      </c>
      <c r="D590" s="1">
        <f>BDD!A593</f>
        <v>0</v>
      </c>
      <c r="E590" s="1">
        <f>BDD!D593</f>
        <v>0</v>
      </c>
      <c r="F590" s="1">
        <f>BDD!F593</f>
        <v>0</v>
      </c>
      <c r="G590" s="25">
        <f>'ButsMPG + Var'!$I$39*IF(C590="A",COUNTIF(BDD!H593:AR593,10)*'ButsMPG + Var'!$K$12+COUNTIF(BDD!H593:AR593,9)*'ButsMPG + Var'!$K$11+COUNTIF(BDD!H593:AR593,8)*'ButsMPG + Var'!$K$10+COUNTIF(BDD!H593:AR593,7)*'ButsMPG + Var'!$K$9+COUNTIF(BDD!H593:AR593,6)*'ButsMPG + Var'!$K$8+COUNTIF(BDD!H593:AR593,5)*'ButsMPG + Var'!$K$7+COUNTIF(BDD!H593:AR593,4)*'ButsMPG + Var'!$K$6+COUNTIF(BDD!H593:AR593,3)*'ButsMPG + Var'!$K$5+COUNTIF(BDD!H593:AR593,2)*'ButsMPG + Var'!$K$4+COUNTIF(BDD!H593:AR593,1)*'ButsMPG + Var'!$K$3,IF(C590="M",COUNTIF(BDD!H593:AR593,10)*'ButsMPG + Var'!$K$22+COUNTIF(BDD!H593:AR593,9)*'ButsMPG + Var'!$K$21+COUNTIF(BDD!H593:AR593,8)*'ButsMPG + Var'!$K$20+COUNTIF(BDD!H593:AR593,7)*'ButsMPG + Var'!$K$19+COUNTIF(BDD!H593:AR593,6)*'ButsMPG + Var'!$K$18+COUNTIF(BDD!H593:AR593,5)*'ButsMPG + Var'!$K$17+COUNTIF(BDD!H593:AR593,4)*'ButsMPG + Var'!$K$16+COUNTIF(BDD!H593:AR593,3)*'ButsMPG + Var'!$K$15+COUNTIF(BDD!H593:AR593,2)*'ButsMPG + Var'!$K$14+COUNTIF(BDD!H593:AR593,1)*'ButsMPG + Var'!$K$13,IF(C590="D",COUNTIF(BDD!H593:AR593,10)*'ButsMPG + Var'!$K$32+COUNTIF(BDD!H593:AR593,9)*'ButsMPG + Var'!$K$31+COUNTIF(BDD!H593:AR593,8)*'ButsMPG + Var'!$K$30+COUNTIF(BDD!H593:AR593,7)*'ButsMPG + Var'!$K$29+COUNTIF(BDD!H593:AR593,6)*'ButsMPG + Var'!$K$28+COUNTIF(BDD!H593:AR593,5)*'ButsMPG + Var'!$K$27+COUNTIF(BDD!H593:AR593,4)*'ButsMPG + Var'!$K$26+COUNTIF(BDD!H593:AR593,3)*'ButsMPG + Var'!$K$25+COUNTIF(BDD!H593:AR593,2)*'ButsMPG + Var'!$K$24+COUNTIF(BDD!H593:AR593,1)*'ButsMPG + Var'!$K$23,0)))</f>
        <v>0</v>
      </c>
      <c r="H590" s="25">
        <f t="shared" si="10"/>
        <v>0</v>
      </c>
      <c r="I590" s="25">
        <f>BDD!G593</f>
        <v>0</v>
      </c>
      <c r="J590" s="25">
        <f>SUMPRODUCT(BDD!H593:AS593,'ButsMPG + Var'!$B$46:$AM$46)</f>
        <v>0</v>
      </c>
      <c r="K590" s="25" t="e">
        <f>10*('ButsMPG + Var'!$H$37*J590/MAX(J:J)+'ButsMPG + Var'!$G$37*H590/MAX(H:H))</f>
        <v>#DIV/0!</v>
      </c>
      <c r="L590" s="1">
        <f>IF(ISNA(VLOOKUP(B590,PrixMini!$B$3:$E$573,4,FALSE)),1,VLOOKUP(B590,PrixMini!$B$3:$E$573,4,FALSE))</f>
        <v>1</v>
      </c>
      <c r="M590" s="25" t="e">
        <f>IF(ROUND(CalculCotation!$D$3*EXP(CalculCotation!$C$3*K590)-CalculCotation!$D$3+1,0)&gt;L590,ROUND(CalculCotation!$D$3*EXP(CalculCotation!$C$3*K590)-CalculCotation!$D$3+1,0),L590)</f>
        <v>#DIV/0!</v>
      </c>
    </row>
    <row r="591" spans="2:13" x14ac:dyDescent="0.3">
      <c r="B591" s="1">
        <f>BDD!C594</f>
        <v>0</v>
      </c>
      <c r="C591" s="1">
        <f>BDD!B594</f>
        <v>0</v>
      </c>
      <c r="D591" s="1">
        <f>BDD!A594</f>
        <v>0</v>
      </c>
      <c r="E591" s="1">
        <f>BDD!D594</f>
        <v>0</v>
      </c>
      <c r="F591" s="1">
        <f>BDD!F594</f>
        <v>0</v>
      </c>
      <c r="G591" s="25">
        <f>'ButsMPG + Var'!$I$39*IF(C591="A",COUNTIF(BDD!H594:AR594,10)*'ButsMPG + Var'!$K$12+COUNTIF(BDD!H594:AR594,9)*'ButsMPG + Var'!$K$11+COUNTIF(BDD!H594:AR594,8)*'ButsMPG + Var'!$K$10+COUNTIF(BDD!H594:AR594,7)*'ButsMPG + Var'!$K$9+COUNTIF(BDD!H594:AR594,6)*'ButsMPG + Var'!$K$8+COUNTIF(BDD!H594:AR594,5)*'ButsMPG + Var'!$K$7+COUNTIF(BDD!H594:AR594,4)*'ButsMPG + Var'!$K$6+COUNTIF(BDD!H594:AR594,3)*'ButsMPG + Var'!$K$5+COUNTIF(BDD!H594:AR594,2)*'ButsMPG + Var'!$K$4+COUNTIF(BDD!H594:AR594,1)*'ButsMPG + Var'!$K$3,IF(C591="M",COUNTIF(BDD!H594:AR594,10)*'ButsMPG + Var'!$K$22+COUNTIF(BDD!H594:AR594,9)*'ButsMPG + Var'!$K$21+COUNTIF(BDD!H594:AR594,8)*'ButsMPG + Var'!$K$20+COUNTIF(BDD!H594:AR594,7)*'ButsMPG + Var'!$K$19+COUNTIF(BDD!H594:AR594,6)*'ButsMPG + Var'!$K$18+COUNTIF(BDD!H594:AR594,5)*'ButsMPG + Var'!$K$17+COUNTIF(BDD!H594:AR594,4)*'ButsMPG + Var'!$K$16+COUNTIF(BDD!H594:AR594,3)*'ButsMPG + Var'!$K$15+COUNTIF(BDD!H594:AR594,2)*'ButsMPG + Var'!$K$14+COUNTIF(BDD!H594:AR594,1)*'ButsMPG + Var'!$K$13,IF(C591="D",COUNTIF(BDD!H594:AR594,10)*'ButsMPG + Var'!$K$32+COUNTIF(BDD!H594:AR594,9)*'ButsMPG + Var'!$K$31+COUNTIF(BDD!H594:AR594,8)*'ButsMPG + Var'!$K$30+COUNTIF(BDD!H594:AR594,7)*'ButsMPG + Var'!$K$29+COUNTIF(BDD!H594:AR594,6)*'ButsMPG + Var'!$K$28+COUNTIF(BDD!H594:AR594,5)*'ButsMPG + Var'!$K$27+COUNTIF(BDD!H594:AR594,4)*'ButsMPG + Var'!$K$26+COUNTIF(BDD!H594:AR594,3)*'ButsMPG + Var'!$K$25+COUNTIF(BDD!H594:AR594,2)*'ButsMPG + Var'!$K$24+COUNTIF(BDD!H594:AR594,1)*'ButsMPG + Var'!$K$23,0)))</f>
        <v>0</v>
      </c>
      <c r="H591" s="25">
        <f t="shared" si="10"/>
        <v>0</v>
      </c>
      <c r="I591" s="25">
        <f>BDD!G594</f>
        <v>0</v>
      </c>
      <c r="J591" s="25">
        <f>SUMPRODUCT(BDD!H594:AS594,'ButsMPG + Var'!$B$46:$AM$46)</f>
        <v>0</v>
      </c>
      <c r="K591" s="25" t="e">
        <f>10*('ButsMPG + Var'!$H$37*J591/MAX(J:J)+'ButsMPG + Var'!$G$37*H591/MAX(H:H))</f>
        <v>#DIV/0!</v>
      </c>
      <c r="L591" s="1">
        <f>IF(ISNA(VLOOKUP(B591,PrixMini!$B$3:$E$573,4,FALSE)),1,VLOOKUP(B591,PrixMini!$B$3:$E$573,4,FALSE))</f>
        <v>1</v>
      </c>
      <c r="M591" s="25" t="e">
        <f>IF(ROUND(CalculCotation!$D$3*EXP(CalculCotation!$C$3*K591)-CalculCotation!$D$3+1,0)&gt;L591,ROUND(CalculCotation!$D$3*EXP(CalculCotation!$C$3*K591)-CalculCotation!$D$3+1,0),L591)</f>
        <v>#DIV/0!</v>
      </c>
    </row>
    <row r="592" spans="2:13" x14ac:dyDescent="0.3">
      <c r="B592" s="1">
        <f>BDD!C595</f>
        <v>0</v>
      </c>
      <c r="C592" s="1">
        <f>BDD!B595</f>
        <v>0</v>
      </c>
      <c r="D592" s="1">
        <f>BDD!A595</f>
        <v>0</v>
      </c>
      <c r="E592" s="1">
        <f>BDD!D595</f>
        <v>0</v>
      </c>
      <c r="F592" s="1">
        <f>BDD!F595</f>
        <v>0</v>
      </c>
      <c r="G592" s="25">
        <f>'ButsMPG + Var'!$I$39*IF(C592="A",COUNTIF(BDD!H595:AR595,10)*'ButsMPG + Var'!$K$12+COUNTIF(BDD!H595:AR595,9)*'ButsMPG + Var'!$K$11+COUNTIF(BDD!H595:AR595,8)*'ButsMPG + Var'!$K$10+COUNTIF(BDD!H595:AR595,7)*'ButsMPG + Var'!$K$9+COUNTIF(BDD!H595:AR595,6)*'ButsMPG + Var'!$K$8+COUNTIF(BDD!H595:AR595,5)*'ButsMPG + Var'!$K$7+COUNTIF(BDD!H595:AR595,4)*'ButsMPG + Var'!$K$6+COUNTIF(BDD!H595:AR595,3)*'ButsMPG + Var'!$K$5+COUNTIF(BDD!H595:AR595,2)*'ButsMPG + Var'!$K$4+COUNTIF(BDD!H595:AR595,1)*'ButsMPG + Var'!$K$3,IF(C592="M",COUNTIF(BDD!H595:AR595,10)*'ButsMPG + Var'!$K$22+COUNTIF(BDD!H595:AR595,9)*'ButsMPG + Var'!$K$21+COUNTIF(BDD!H595:AR595,8)*'ButsMPG + Var'!$K$20+COUNTIF(BDD!H595:AR595,7)*'ButsMPG + Var'!$K$19+COUNTIF(BDD!H595:AR595,6)*'ButsMPG + Var'!$K$18+COUNTIF(BDD!H595:AR595,5)*'ButsMPG + Var'!$K$17+COUNTIF(BDD!H595:AR595,4)*'ButsMPG + Var'!$K$16+COUNTIF(BDD!H595:AR595,3)*'ButsMPG + Var'!$K$15+COUNTIF(BDD!H595:AR595,2)*'ButsMPG + Var'!$K$14+COUNTIF(BDD!H595:AR595,1)*'ButsMPG + Var'!$K$13,IF(C592="D",COUNTIF(BDD!H595:AR595,10)*'ButsMPG + Var'!$K$32+COUNTIF(BDD!H595:AR595,9)*'ButsMPG + Var'!$K$31+COUNTIF(BDD!H595:AR595,8)*'ButsMPG + Var'!$K$30+COUNTIF(BDD!H595:AR595,7)*'ButsMPG + Var'!$K$29+COUNTIF(BDD!H595:AR595,6)*'ButsMPG + Var'!$K$28+COUNTIF(BDD!H595:AR595,5)*'ButsMPG + Var'!$K$27+COUNTIF(BDD!H595:AR595,4)*'ButsMPG + Var'!$K$26+COUNTIF(BDD!H595:AR595,3)*'ButsMPG + Var'!$K$25+COUNTIF(BDD!H595:AR595,2)*'ButsMPG + Var'!$K$24+COUNTIF(BDD!H595:AR595,1)*'ButsMPG + Var'!$K$23,0)))</f>
        <v>0</v>
      </c>
      <c r="H592" s="25">
        <f t="shared" si="10"/>
        <v>0</v>
      </c>
      <c r="I592" s="25">
        <f>BDD!G595</f>
        <v>0</v>
      </c>
      <c r="J592" s="25">
        <f>SUMPRODUCT(BDD!H595:AS595,'ButsMPG + Var'!$B$46:$AM$46)</f>
        <v>0</v>
      </c>
      <c r="K592" s="25" t="e">
        <f>10*('ButsMPG + Var'!$H$37*J592/MAX(J:J)+'ButsMPG + Var'!$G$37*H592/MAX(H:H))</f>
        <v>#DIV/0!</v>
      </c>
      <c r="L592" s="1">
        <f>IF(ISNA(VLOOKUP(B592,PrixMini!$B$3:$E$573,4,FALSE)),1,VLOOKUP(B592,PrixMini!$B$3:$E$573,4,FALSE))</f>
        <v>1</v>
      </c>
      <c r="M592" s="25" t="e">
        <f>IF(ROUND(CalculCotation!$D$3*EXP(CalculCotation!$C$3*K592)-CalculCotation!$D$3+1,0)&gt;L592,ROUND(CalculCotation!$D$3*EXP(CalculCotation!$C$3*K592)-CalculCotation!$D$3+1,0),L592)</f>
        <v>#DIV/0!</v>
      </c>
    </row>
    <row r="593" spans="2:13" x14ac:dyDescent="0.3">
      <c r="B593" s="1">
        <f>BDD!C596</f>
        <v>0</v>
      </c>
      <c r="C593" s="1">
        <f>BDD!B596</f>
        <v>0</v>
      </c>
      <c r="D593" s="1">
        <f>BDD!A596</f>
        <v>0</v>
      </c>
      <c r="E593" s="1">
        <f>BDD!D596</f>
        <v>0</v>
      </c>
      <c r="F593" s="1">
        <f>BDD!F596</f>
        <v>0</v>
      </c>
      <c r="G593" s="25">
        <f>'ButsMPG + Var'!$I$39*IF(C593="A",COUNTIF(BDD!H596:AR596,10)*'ButsMPG + Var'!$K$12+COUNTIF(BDD!H596:AR596,9)*'ButsMPG + Var'!$K$11+COUNTIF(BDD!H596:AR596,8)*'ButsMPG + Var'!$K$10+COUNTIF(BDD!H596:AR596,7)*'ButsMPG + Var'!$K$9+COUNTIF(BDD!H596:AR596,6)*'ButsMPG + Var'!$K$8+COUNTIF(BDD!H596:AR596,5)*'ButsMPG + Var'!$K$7+COUNTIF(BDD!H596:AR596,4)*'ButsMPG + Var'!$K$6+COUNTIF(BDD!H596:AR596,3)*'ButsMPG + Var'!$K$5+COUNTIF(BDD!H596:AR596,2)*'ButsMPG + Var'!$K$4+COUNTIF(BDD!H596:AR596,1)*'ButsMPG + Var'!$K$3,IF(C593="M",COUNTIF(BDD!H596:AR596,10)*'ButsMPG + Var'!$K$22+COUNTIF(BDD!H596:AR596,9)*'ButsMPG + Var'!$K$21+COUNTIF(BDD!H596:AR596,8)*'ButsMPG + Var'!$K$20+COUNTIF(BDD!H596:AR596,7)*'ButsMPG + Var'!$K$19+COUNTIF(BDD!H596:AR596,6)*'ButsMPG + Var'!$K$18+COUNTIF(BDD!H596:AR596,5)*'ButsMPG + Var'!$K$17+COUNTIF(BDD!H596:AR596,4)*'ButsMPG + Var'!$K$16+COUNTIF(BDD!H596:AR596,3)*'ButsMPG + Var'!$K$15+COUNTIF(BDD!H596:AR596,2)*'ButsMPG + Var'!$K$14+COUNTIF(BDD!H596:AR596,1)*'ButsMPG + Var'!$K$13,IF(C593="D",COUNTIF(BDD!H596:AR596,10)*'ButsMPG + Var'!$K$32+COUNTIF(BDD!H596:AR596,9)*'ButsMPG + Var'!$K$31+COUNTIF(BDD!H596:AR596,8)*'ButsMPG + Var'!$K$30+COUNTIF(BDD!H596:AR596,7)*'ButsMPG + Var'!$K$29+COUNTIF(BDD!H596:AR596,6)*'ButsMPG + Var'!$K$28+COUNTIF(BDD!H596:AR596,5)*'ButsMPG + Var'!$K$27+COUNTIF(BDD!H596:AR596,4)*'ButsMPG + Var'!$K$26+COUNTIF(BDD!H596:AR596,3)*'ButsMPG + Var'!$K$25+COUNTIF(BDD!H596:AR596,2)*'ButsMPG + Var'!$K$24+COUNTIF(BDD!H596:AR596,1)*'ButsMPG + Var'!$K$23,0)))</f>
        <v>0</v>
      </c>
      <c r="H593" s="25">
        <f t="shared" si="10"/>
        <v>0</v>
      </c>
      <c r="I593" s="25">
        <f>BDD!G596</f>
        <v>0</v>
      </c>
      <c r="J593" s="25">
        <f>SUMPRODUCT(BDD!H596:AS596,'ButsMPG + Var'!$B$46:$AM$46)</f>
        <v>0</v>
      </c>
      <c r="K593" s="25" t="e">
        <f>10*('ButsMPG + Var'!$H$37*J593/MAX(J:J)+'ButsMPG + Var'!$G$37*H593/MAX(H:H))</f>
        <v>#DIV/0!</v>
      </c>
      <c r="L593" s="1">
        <f>IF(ISNA(VLOOKUP(B593,PrixMini!$B$3:$E$573,4,FALSE)),1,VLOOKUP(B593,PrixMini!$B$3:$E$573,4,FALSE))</f>
        <v>1</v>
      </c>
      <c r="M593" s="25" t="e">
        <f>IF(ROUND(CalculCotation!$D$3*EXP(CalculCotation!$C$3*K593)-CalculCotation!$D$3+1,0)&gt;L593,ROUND(CalculCotation!$D$3*EXP(CalculCotation!$C$3*K593)-CalculCotation!$D$3+1,0),L593)</f>
        <v>#DIV/0!</v>
      </c>
    </row>
    <row r="594" spans="2:13" x14ac:dyDescent="0.3">
      <c r="B594" s="1">
        <f>BDD!C597</f>
        <v>0</v>
      </c>
      <c r="C594" s="1">
        <f>BDD!B597</f>
        <v>0</v>
      </c>
      <c r="D594" s="1">
        <f>BDD!A597</f>
        <v>0</v>
      </c>
      <c r="E594" s="1">
        <f>BDD!D597</f>
        <v>0</v>
      </c>
      <c r="F594" s="1">
        <f>BDD!F597</f>
        <v>0</v>
      </c>
      <c r="G594" s="25">
        <f>'ButsMPG + Var'!$I$39*IF(C594="A",COUNTIF(BDD!H597:AR597,10)*'ButsMPG + Var'!$K$12+COUNTIF(BDD!H597:AR597,9)*'ButsMPG + Var'!$K$11+COUNTIF(BDD!H597:AR597,8)*'ButsMPG + Var'!$K$10+COUNTIF(BDD!H597:AR597,7)*'ButsMPG + Var'!$K$9+COUNTIF(BDD!H597:AR597,6)*'ButsMPG + Var'!$K$8+COUNTIF(BDD!H597:AR597,5)*'ButsMPG + Var'!$K$7+COUNTIF(BDD!H597:AR597,4)*'ButsMPG + Var'!$K$6+COUNTIF(BDD!H597:AR597,3)*'ButsMPG + Var'!$K$5+COUNTIF(BDD!H597:AR597,2)*'ButsMPG + Var'!$K$4+COUNTIF(BDD!H597:AR597,1)*'ButsMPG + Var'!$K$3,IF(C594="M",COUNTIF(BDD!H597:AR597,10)*'ButsMPG + Var'!$K$22+COUNTIF(BDD!H597:AR597,9)*'ButsMPG + Var'!$K$21+COUNTIF(BDD!H597:AR597,8)*'ButsMPG + Var'!$K$20+COUNTIF(BDD!H597:AR597,7)*'ButsMPG + Var'!$K$19+COUNTIF(BDD!H597:AR597,6)*'ButsMPG + Var'!$K$18+COUNTIF(BDD!H597:AR597,5)*'ButsMPG + Var'!$K$17+COUNTIF(BDD!H597:AR597,4)*'ButsMPG + Var'!$K$16+COUNTIF(BDD!H597:AR597,3)*'ButsMPG + Var'!$K$15+COUNTIF(BDD!H597:AR597,2)*'ButsMPG + Var'!$K$14+COUNTIF(BDD!H597:AR597,1)*'ButsMPG + Var'!$K$13,IF(C594="D",COUNTIF(BDD!H597:AR597,10)*'ButsMPG + Var'!$K$32+COUNTIF(BDD!H597:AR597,9)*'ButsMPG + Var'!$K$31+COUNTIF(BDD!H597:AR597,8)*'ButsMPG + Var'!$K$30+COUNTIF(BDD!H597:AR597,7)*'ButsMPG + Var'!$K$29+COUNTIF(BDD!H597:AR597,6)*'ButsMPG + Var'!$K$28+COUNTIF(BDD!H597:AR597,5)*'ButsMPG + Var'!$K$27+COUNTIF(BDD!H597:AR597,4)*'ButsMPG + Var'!$K$26+COUNTIF(BDD!H597:AR597,3)*'ButsMPG + Var'!$K$25+COUNTIF(BDD!H597:AR597,2)*'ButsMPG + Var'!$K$24+COUNTIF(BDD!H597:AR597,1)*'ButsMPG + Var'!$K$23,0)))</f>
        <v>0</v>
      </c>
      <c r="H594" s="25">
        <f t="shared" si="10"/>
        <v>0</v>
      </c>
      <c r="I594" s="25">
        <f>BDD!G597</f>
        <v>0</v>
      </c>
      <c r="J594" s="25">
        <f>SUMPRODUCT(BDD!H597:AS597,'ButsMPG + Var'!$B$46:$AM$46)</f>
        <v>0</v>
      </c>
      <c r="K594" s="25" t="e">
        <f>10*('ButsMPG + Var'!$H$37*J594/MAX(J:J)+'ButsMPG + Var'!$G$37*H594/MAX(H:H))</f>
        <v>#DIV/0!</v>
      </c>
      <c r="L594" s="1">
        <f>IF(ISNA(VLOOKUP(B594,PrixMini!$B$3:$E$573,4,FALSE)),1,VLOOKUP(B594,PrixMini!$B$3:$E$573,4,FALSE))</f>
        <v>1</v>
      </c>
      <c r="M594" s="25" t="e">
        <f>IF(ROUND(CalculCotation!$D$3*EXP(CalculCotation!$C$3*K594)-CalculCotation!$D$3+1,0)&gt;L594,ROUND(CalculCotation!$D$3*EXP(CalculCotation!$C$3*K594)-CalculCotation!$D$3+1,0),L594)</f>
        <v>#DIV/0!</v>
      </c>
    </row>
    <row r="595" spans="2:13" x14ac:dyDescent="0.3">
      <c r="B595" s="1">
        <f>BDD!C598</f>
        <v>0</v>
      </c>
      <c r="C595" s="1">
        <f>BDD!B598</f>
        <v>0</v>
      </c>
      <c r="D595" s="1">
        <f>BDD!A598</f>
        <v>0</v>
      </c>
      <c r="E595" s="1">
        <f>BDD!D598</f>
        <v>0</v>
      </c>
      <c r="F595" s="1">
        <f>BDD!F598</f>
        <v>0</v>
      </c>
      <c r="G595" s="25">
        <f>'ButsMPG + Var'!$I$39*IF(C595="A",COUNTIF(BDD!H598:AR598,10)*'ButsMPG + Var'!$K$12+COUNTIF(BDD!H598:AR598,9)*'ButsMPG + Var'!$K$11+COUNTIF(BDD!H598:AR598,8)*'ButsMPG + Var'!$K$10+COUNTIF(BDD!H598:AR598,7)*'ButsMPG + Var'!$K$9+COUNTIF(BDD!H598:AR598,6)*'ButsMPG + Var'!$K$8+COUNTIF(BDD!H598:AR598,5)*'ButsMPG + Var'!$K$7+COUNTIF(BDD!H598:AR598,4)*'ButsMPG + Var'!$K$6+COUNTIF(BDD!H598:AR598,3)*'ButsMPG + Var'!$K$5+COUNTIF(BDD!H598:AR598,2)*'ButsMPG + Var'!$K$4+COUNTIF(BDD!H598:AR598,1)*'ButsMPG + Var'!$K$3,IF(C595="M",COUNTIF(BDD!H598:AR598,10)*'ButsMPG + Var'!$K$22+COUNTIF(BDD!H598:AR598,9)*'ButsMPG + Var'!$K$21+COUNTIF(BDD!H598:AR598,8)*'ButsMPG + Var'!$K$20+COUNTIF(BDD!H598:AR598,7)*'ButsMPG + Var'!$K$19+COUNTIF(BDD!H598:AR598,6)*'ButsMPG + Var'!$K$18+COUNTIF(BDD!H598:AR598,5)*'ButsMPG + Var'!$K$17+COUNTIF(BDD!H598:AR598,4)*'ButsMPG + Var'!$K$16+COUNTIF(BDD!H598:AR598,3)*'ButsMPG + Var'!$K$15+COUNTIF(BDD!H598:AR598,2)*'ButsMPG + Var'!$K$14+COUNTIF(BDD!H598:AR598,1)*'ButsMPG + Var'!$K$13,IF(C595="D",COUNTIF(BDD!H598:AR598,10)*'ButsMPG + Var'!$K$32+COUNTIF(BDD!H598:AR598,9)*'ButsMPG + Var'!$K$31+COUNTIF(BDD!H598:AR598,8)*'ButsMPG + Var'!$K$30+COUNTIF(BDD!H598:AR598,7)*'ButsMPG + Var'!$K$29+COUNTIF(BDD!H598:AR598,6)*'ButsMPG + Var'!$K$28+COUNTIF(BDD!H598:AR598,5)*'ButsMPG + Var'!$K$27+COUNTIF(BDD!H598:AR598,4)*'ButsMPG + Var'!$K$26+COUNTIF(BDD!H598:AR598,3)*'ButsMPG + Var'!$K$25+COUNTIF(BDD!H598:AR598,2)*'ButsMPG + Var'!$K$24+COUNTIF(BDD!H598:AR598,1)*'ButsMPG + Var'!$K$23,0)))</f>
        <v>0</v>
      </c>
      <c r="H595" s="25">
        <f t="shared" si="10"/>
        <v>0</v>
      </c>
      <c r="I595" s="25">
        <f>BDD!G598</f>
        <v>0</v>
      </c>
      <c r="J595" s="25">
        <f>SUMPRODUCT(BDD!H598:AS598,'ButsMPG + Var'!$B$46:$AM$46)</f>
        <v>0</v>
      </c>
      <c r="K595" s="25" t="e">
        <f>10*('ButsMPG + Var'!$H$37*J595/MAX(J:J)+'ButsMPG + Var'!$G$37*H595/MAX(H:H))</f>
        <v>#DIV/0!</v>
      </c>
      <c r="L595" s="1">
        <f>IF(ISNA(VLOOKUP(B595,PrixMini!$B$3:$E$573,4,FALSE)),1,VLOOKUP(B595,PrixMini!$B$3:$E$573,4,FALSE))</f>
        <v>1</v>
      </c>
      <c r="M595" s="25" t="e">
        <f>IF(ROUND(CalculCotation!$D$3*EXP(CalculCotation!$C$3*K595)-CalculCotation!$D$3+1,0)&gt;L595,ROUND(CalculCotation!$D$3*EXP(CalculCotation!$C$3*K595)-CalculCotation!$D$3+1,0),L595)</f>
        <v>#DIV/0!</v>
      </c>
    </row>
    <row r="596" spans="2:13" x14ac:dyDescent="0.3">
      <c r="B596" s="1">
        <f>BDD!C599</f>
        <v>0</v>
      </c>
      <c r="C596" s="1">
        <f>BDD!B599</f>
        <v>0</v>
      </c>
      <c r="D596" s="1">
        <f>BDD!A599</f>
        <v>0</v>
      </c>
      <c r="E596" s="1">
        <f>BDD!D599</f>
        <v>0</v>
      </c>
      <c r="F596" s="1">
        <f>BDD!F599</f>
        <v>0</v>
      </c>
      <c r="G596" s="25">
        <f>'ButsMPG + Var'!$I$39*IF(C596="A",COUNTIF(BDD!H599:AR599,10)*'ButsMPG + Var'!$K$12+COUNTIF(BDD!H599:AR599,9)*'ButsMPG + Var'!$K$11+COUNTIF(BDD!H599:AR599,8)*'ButsMPG + Var'!$K$10+COUNTIF(BDD!H599:AR599,7)*'ButsMPG + Var'!$K$9+COUNTIF(BDD!H599:AR599,6)*'ButsMPG + Var'!$K$8+COUNTIF(BDD!H599:AR599,5)*'ButsMPG + Var'!$K$7+COUNTIF(BDD!H599:AR599,4)*'ButsMPG + Var'!$K$6+COUNTIF(BDD!H599:AR599,3)*'ButsMPG + Var'!$K$5+COUNTIF(BDD!H599:AR599,2)*'ButsMPG + Var'!$K$4+COUNTIF(BDD!H599:AR599,1)*'ButsMPG + Var'!$K$3,IF(C596="M",COUNTIF(BDD!H599:AR599,10)*'ButsMPG + Var'!$K$22+COUNTIF(BDD!H599:AR599,9)*'ButsMPG + Var'!$K$21+COUNTIF(BDD!H599:AR599,8)*'ButsMPG + Var'!$K$20+COUNTIF(BDD!H599:AR599,7)*'ButsMPG + Var'!$K$19+COUNTIF(BDD!H599:AR599,6)*'ButsMPG + Var'!$K$18+COUNTIF(BDD!H599:AR599,5)*'ButsMPG + Var'!$K$17+COUNTIF(BDD!H599:AR599,4)*'ButsMPG + Var'!$K$16+COUNTIF(BDD!H599:AR599,3)*'ButsMPG + Var'!$K$15+COUNTIF(BDD!H599:AR599,2)*'ButsMPG + Var'!$K$14+COUNTIF(BDD!H599:AR599,1)*'ButsMPG + Var'!$K$13,IF(C596="D",COUNTIF(BDD!H599:AR599,10)*'ButsMPG + Var'!$K$32+COUNTIF(BDD!H599:AR599,9)*'ButsMPG + Var'!$K$31+COUNTIF(BDD!H599:AR599,8)*'ButsMPG + Var'!$K$30+COUNTIF(BDD!H599:AR599,7)*'ButsMPG + Var'!$K$29+COUNTIF(BDD!H599:AR599,6)*'ButsMPG + Var'!$K$28+COUNTIF(BDD!H599:AR599,5)*'ButsMPG + Var'!$K$27+COUNTIF(BDD!H599:AR599,4)*'ButsMPG + Var'!$K$26+COUNTIF(BDD!H599:AR599,3)*'ButsMPG + Var'!$K$25+COUNTIF(BDD!H599:AR599,2)*'ButsMPG + Var'!$K$24+COUNTIF(BDD!H599:AR599,1)*'ButsMPG + Var'!$K$23,0)))</f>
        <v>0</v>
      </c>
      <c r="H596" s="25">
        <f t="shared" si="10"/>
        <v>0</v>
      </c>
      <c r="I596" s="25">
        <f>BDD!G599</f>
        <v>0</v>
      </c>
      <c r="J596" s="25">
        <f>SUMPRODUCT(BDD!H599:AS599,'ButsMPG + Var'!$B$46:$AM$46)</f>
        <v>0</v>
      </c>
      <c r="K596" s="25" t="e">
        <f>10*('ButsMPG + Var'!$H$37*J596/MAX(J:J)+'ButsMPG + Var'!$G$37*H596/MAX(H:H))</f>
        <v>#DIV/0!</v>
      </c>
      <c r="L596" s="1">
        <f>IF(ISNA(VLOOKUP(B596,PrixMini!$B$3:$E$573,4,FALSE)),1,VLOOKUP(B596,PrixMini!$B$3:$E$573,4,FALSE))</f>
        <v>1</v>
      </c>
      <c r="M596" s="25" t="e">
        <f>IF(ROUND(CalculCotation!$D$3*EXP(CalculCotation!$C$3*K596)-CalculCotation!$D$3+1,0)&gt;L596,ROUND(CalculCotation!$D$3*EXP(CalculCotation!$C$3*K596)-CalculCotation!$D$3+1,0),L596)</f>
        <v>#DIV/0!</v>
      </c>
    </row>
    <row r="597" spans="2:13" x14ac:dyDescent="0.3">
      <c r="B597" s="1">
        <f>BDD!C600</f>
        <v>0</v>
      </c>
      <c r="C597" s="1">
        <f>BDD!B600</f>
        <v>0</v>
      </c>
      <c r="D597" s="1">
        <f>BDD!A600</f>
        <v>0</v>
      </c>
      <c r="E597" s="1">
        <f>BDD!D600</f>
        <v>0</v>
      </c>
      <c r="F597" s="1">
        <f>BDD!F600</f>
        <v>0</v>
      </c>
      <c r="G597" s="25">
        <f>'ButsMPG + Var'!$I$39*IF(C597="A",COUNTIF(BDD!H600:AR600,10)*'ButsMPG + Var'!$K$12+COUNTIF(BDD!H600:AR600,9)*'ButsMPG + Var'!$K$11+COUNTIF(BDD!H600:AR600,8)*'ButsMPG + Var'!$K$10+COUNTIF(BDD!H600:AR600,7)*'ButsMPG + Var'!$K$9+COUNTIF(BDD!H600:AR600,6)*'ButsMPG + Var'!$K$8+COUNTIF(BDD!H600:AR600,5)*'ButsMPG + Var'!$K$7+COUNTIF(BDD!H600:AR600,4)*'ButsMPG + Var'!$K$6+COUNTIF(BDD!H600:AR600,3)*'ButsMPG + Var'!$K$5+COUNTIF(BDD!H600:AR600,2)*'ButsMPG + Var'!$K$4+COUNTIF(BDD!H600:AR600,1)*'ButsMPG + Var'!$K$3,IF(C597="M",COUNTIF(BDD!H600:AR600,10)*'ButsMPG + Var'!$K$22+COUNTIF(BDD!H600:AR600,9)*'ButsMPG + Var'!$K$21+COUNTIF(BDD!H600:AR600,8)*'ButsMPG + Var'!$K$20+COUNTIF(BDD!H600:AR600,7)*'ButsMPG + Var'!$K$19+COUNTIF(BDD!H600:AR600,6)*'ButsMPG + Var'!$K$18+COUNTIF(BDD!H600:AR600,5)*'ButsMPG + Var'!$K$17+COUNTIF(BDD!H600:AR600,4)*'ButsMPG + Var'!$K$16+COUNTIF(BDD!H600:AR600,3)*'ButsMPG + Var'!$K$15+COUNTIF(BDD!H600:AR600,2)*'ButsMPG + Var'!$K$14+COUNTIF(BDD!H600:AR600,1)*'ButsMPG + Var'!$K$13,IF(C597="D",COUNTIF(BDD!H600:AR600,10)*'ButsMPG + Var'!$K$32+COUNTIF(BDD!H600:AR600,9)*'ButsMPG + Var'!$K$31+COUNTIF(BDD!H600:AR600,8)*'ButsMPG + Var'!$K$30+COUNTIF(BDD!H600:AR600,7)*'ButsMPG + Var'!$K$29+COUNTIF(BDD!H600:AR600,6)*'ButsMPG + Var'!$K$28+COUNTIF(BDD!H600:AR600,5)*'ButsMPG + Var'!$K$27+COUNTIF(BDD!H600:AR600,4)*'ButsMPG + Var'!$K$26+COUNTIF(BDD!H600:AR600,3)*'ButsMPG + Var'!$K$25+COUNTIF(BDD!H600:AR600,2)*'ButsMPG + Var'!$K$24+COUNTIF(BDD!H600:AR600,1)*'ButsMPG + Var'!$K$23,0)))</f>
        <v>0</v>
      </c>
      <c r="H597" s="25">
        <f t="shared" si="10"/>
        <v>0</v>
      </c>
      <c r="I597" s="25">
        <f>BDD!G600</f>
        <v>0</v>
      </c>
      <c r="J597" s="25">
        <f>SUMPRODUCT(BDD!H600:AS600,'ButsMPG + Var'!$B$46:$AM$46)</f>
        <v>0</v>
      </c>
      <c r="K597" s="25" t="e">
        <f>10*('ButsMPG + Var'!$H$37*J597/MAX(J:J)+'ButsMPG + Var'!$G$37*H597/MAX(H:H))</f>
        <v>#DIV/0!</v>
      </c>
      <c r="L597" s="1">
        <f>IF(ISNA(VLOOKUP(B597,PrixMini!$B$3:$E$573,4,FALSE)),1,VLOOKUP(B597,PrixMini!$B$3:$E$573,4,FALSE))</f>
        <v>1</v>
      </c>
      <c r="M597" s="25" t="e">
        <f>IF(ROUND(CalculCotation!$D$3*EXP(CalculCotation!$C$3*K597)-CalculCotation!$D$3+1,0)&gt;L597,ROUND(CalculCotation!$D$3*EXP(CalculCotation!$C$3*K597)-CalculCotation!$D$3+1,0),L597)</f>
        <v>#DIV/0!</v>
      </c>
    </row>
    <row r="598" spans="2:13" x14ac:dyDescent="0.3">
      <c r="B598" s="1">
        <f>BDD!C601</f>
        <v>0</v>
      </c>
      <c r="C598" s="1">
        <f>BDD!B601</f>
        <v>0</v>
      </c>
      <c r="D598" s="1">
        <f>BDD!A601</f>
        <v>0</v>
      </c>
      <c r="E598" s="1">
        <f>BDD!D601</f>
        <v>0</v>
      </c>
      <c r="F598" s="1">
        <f>BDD!F601</f>
        <v>0</v>
      </c>
      <c r="G598" s="25">
        <f>'ButsMPG + Var'!$I$39*IF(C598="A",COUNTIF(BDD!H601:AR601,10)*'ButsMPG + Var'!$K$12+COUNTIF(BDD!H601:AR601,9)*'ButsMPG + Var'!$K$11+COUNTIF(BDD!H601:AR601,8)*'ButsMPG + Var'!$K$10+COUNTIF(BDD!H601:AR601,7)*'ButsMPG + Var'!$K$9+COUNTIF(BDD!H601:AR601,6)*'ButsMPG + Var'!$K$8+COUNTIF(BDD!H601:AR601,5)*'ButsMPG + Var'!$K$7+COUNTIF(BDD!H601:AR601,4)*'ButsMPG + Var'!$K$6+COUNTIF(BDD!H601:AR601,3)*'ButsMPG + Var'!$K$5+COUNTIF(BDD!H601:AR601,2)*'ButsMPG + Var'!$K$4+COUNTIF(BDD!H601:AR601,1)*'ButsMPG + Var'!$K$3,IF(C598="M",COUNTIF(BDD!H601:AR601,10)*'ButsMPG + Var'!$K$22+COUNTIF(BDD!H601:AR601,9)*'ButsMPG + Var'!$K$21+COUNTIF(BDD!H601:AR601,8)*'ButsMPG + Var'!$K$20+COUNTIF(BDD!H601:AR601,7)*'ButsMPG + Var'!$K$19+COUNTIF(BDD!H601:AR601,6)*'ButsMPG + Var'!$K$18+COUNTIF(BDD!H601:AR601,5)*'ButsMPG + Var'!$K$17+COUNTIF(BDD!H601:AR601,4)*'ButsMPG + Var'!$K$16+COUNTIF(BDD!H601:AR601,3)*'ButsMPG + Var'!$K$15+COUNTIF(BDD!H601:AR601,2)*'ButsMPG + Var'!$K$14+COUNTIF(BDD!H601:AR601,1)*'ButsMPG + Var'!$K$13,IF(C598="D",COUNTIF(BDD!H601:AR601,10)*'ButsMPG + Var'!$K$32+COUNTIF(BDD!H601:AR601,9)*'ButsMPG + Var'!$K$31+COUNTIF(BDD!H601:AR601,8)*'ButsMPG + Var'!$K$30+COUNTIF(BDD!H601:AR601,7)*'ButsMPG + Var'!$K$29+COUNTIF(BDD!H601:AR601,6)*'ButsMPG + Var'!$K$28+COUNTIF(BDD!H601:AR601,5)*'ButsMPG + Var'!$K$27+COUNTIF(BDD!H601:AR601,4)*'ButsMPG + Var'!$K$26+COUNTIF(BDD!H601:AR601,3)*'ButsMPG + Var'!$K$25+COUNTIF(BDD!H601:AR601,2)*'ButsMPG + Var'!$K$24+COUNTIF(BDD!H601:AR601,1)*'ButsMPG + Var'!$K$23,0)))</f>
        <v>0</v>
      </c>
      <c r="H598" s="25">
        <f t="shared" si="10"/>
        <v>0</v>
      </c>
      <c r="I598" s="25">
        <f>BDD!G601</f>
        <v>0</v>
      </c>
      <c r="J598" s="25">
        <f>SUMPRODUCT(BDD!H601:AS601,'ButsMPG + Var'!$B$46:$AM$46)</f>
        <v>0</v>
      </c>
      <c r="K598" s="25" t="e">
        <f>10*('ButsMPG + Var'!$H$37*J598/MAX(J:J)+'ButsMPG + Var'!$G$37*H598/MAX(H:H))</f>
        <v>#DIV/0!</v>
      </c>
      <c r="L598" s="1">
        <f>IF(ISNA(VLOOKUP(B598,PrixMini!$B$3:$E$573,4,FALSE)),1,VLOOKUP(B598,PrixMini!$B$3:$E$573,4,FALSE))</f>
        <v>1</v>
      </c>
      <c r="M598" s="25" t="e">
        <f>IF(ROUND(CalculCotation!$D$3*EXP(CalculCotation!$C$3*K598)-CalculCotation!$D$3+1,0)&gt;L598,ROUND(CalculCotation!$D$3*EXP(CalculCotation!$C$3*K598)-CalculCotation!$D$3+1,0),L598)</f>
        <v>#DIV/0!</v>
      </c>
    </row>
    <row r="599" spans="2:13" x14ac:dyDescent="0.3">
      <c r="B599" s="1">
        <f>BDD!C602</f>
        <v>0</v>
      </c>
      <c r="C599" s="1">
        <f>BDD!B602</f>
        <v>0</v>
      </c>
      <c r="D599" s="1">
        <f>BDD!A602</f>
        <v>0</v>
      </c>
      <c r="E599" s="1">
        <f>BDD!D602</f>
        <v>0</v>
      </c>
      <c r="F599" s="1">
        <f>BDD!F602</f>
        <v>0</v>
      </c>
      <c r="G599" s="25">
        <f>'ButsMPG + Var'!$I$39*IF(C599="A",COUNTIF(BDD!H602:AR602,10)*'ButsMPG + Var'!$K$12+COUNTIF(BDD!H602:AR602,9)*'ButsMPG + Var'!$K$11+COUNTIF(BDD!H602:AR602,8)*'ButsMPG + Var'!$K$10+COUNTIF(BDD!H602:AR602,7)*'ButsMPG + Var'!$K$9+COUNTIF(BDD!H602:AR602,6)*'ButsMPG + Var'!$K$8+COUNTIF(BDD!H602:AR602,5)*'ButsMPG + Var'!$K$7+COUNTIF(BDD!H602:AR602,4)*'ButsMPG + Var'!$K$6+COUNTIF(BDD!H602:AR602,3)*'ButsMPG + Var'!$K$5+COUNTIF(BDD!H602:AR602,2)*'ButsMPG + Var'!$K$4+COUNTIF(BDD!H602:AR602,1)*'ButsMPG + Var'!$K$3,IF(C599="M",COUNTIF(BDD!H602:AR602,10)*'ButsMPG + Var'!$K$22+COUNTIF(BDD!H602:AR602,9)*'ButsMPG + Var'!$K$21+COUNTIF(BDD!H602:AR602,8)*'ButsMPG + Var'!$K$20+COUNTIF(BDD!H602:AR602,7)*'ButsMPG + Var'!$K$19+COUNTIF(BDD!H602:AR602,6)*'ButsMPG + Var'!$K$18+COUNTIF(BDD!H602:AR602,5)*'ButsMPG + Var'!$K$17+COUNTIF(BDD!H602:AR602,4)*'ButsMPG + Var'!$K$16+COUNTIF(BDD!H602:AR602,3)*'ButsMPG + Var'!$K$15+COUNTIF(BDD!H602:AR602,2)*'ButsMPG + Var'!$K$14+COUNTIF(BDD!H602:AR602,1)*'ButsMPG + Var'!$K$13,IF(C599="D",COUNTIF(BDD!H602:AR602,10)*'ButsMPG + Var'!$K$32+COUNTIF(BDD!H602:AR602,9)*'ButsMPG + Var'!$K$31+COUNTIF(BDD!H602:AR602,8)*'ButsMPG + Var'!$K$30+COUNTIF(BDD!H602:AR602,7)*'ButsMPG + Var'!$K$29+COUNTIF(BDD!H602:AR602,6)*'ButsMPG + Var'!$K$28+COUNTIF(BDD!H602:AR602,5)*'ButsMPG + Var'!$K$27+COUNTIF(BDD!H602:AR602,4)*'ButsMPG + Var'!$K$26+COUNTIF(BDD!H602:AR602,3)*'ButsMPG + Var'!$K$25+COUNTIF(BDD!H602:AR602,2)*'ButsMPG + Var'!$K$24+COUNTIF(BDD!H602:AR602,1)*'ButsMPG + Var'!$K$23,0)))</f>
        <v>0</v>
      </c>
      <c r="H599" s="25">
        <f t="shared" si="10"/>
        <v>0</v>
      </c>
      <c r="I599" s="25">
        <f>BDD!G602</f>
        <v>0</v>
      </c>
      <c r="J599" s="25">
        <f>SUMPRODUCT(BDD!H602:AS602,'ButsMPG + Var'!$B$46:$AM$46)</f>
        <v>0</v>
      </c>
      <c r="K599" s="25" t="e">
        <f>10*('ButsMPG + Var'!$H$37*J599/MAX(J:J)+'ButsMPG + Var'!$G$37*H599/MAX(H:H))</f>
        <v>#DIV/0!</v>
      </c>
      <c r="L599" s="1">
        <f>IF(ISNA(VLOOKUP(B599,PrixMini!$B$3:$E$573,4,FALSE)),1,VLOOKUP(B599,PrixMini!$B$3:$E$573,4,FALSE))</f>
        <v>1</v>
      </c>
      <c r="M599" s="25" t="e">
        <f>IF(ROUND(CalculCotation!$D$3*EXP(CalculCotation!$C$3*K599)-CalculCotation!$D$3+1,0)&gt;L599,ROUND(CalculCotation!$D$3*EXP(CalculCotation!$C$3*K599)-CalculCotation!$D$3+1,0),L599)</f>
        <v>#DIV/0!</v>
      </c>
    </row>
    <row r="600" spans="2:13" x14ac:dyDescent="0.3">
      <c r="B600" s="1">
        <f>BDD!C603</f>
        <v>0</v>
      </c>
      <c r="C600" s="1">
        <f>BDD!B603</f>
        <v>0</v>
      </c>
      <c r="D600" s="1">
        <f>BDD!A603</f>
        <v>0</v>
      </c>
      <c r="E600" s="1">
        <f>BDD!D603</f>
        <v>0</v>
      </c>
      <c r="F600" s="1">
        <f>BDD!F603</f>
        <v>0</v>
      </c>
      <c r="G600" s="25">
        <f>'ButsMPG + Var'!$I$39*IF(C600="A",COUNTIF(BDD!H603:AR603,10)*'ButsMPG + Var'!$K$12+COUNTIF(BDD!H603:AR603,9)*'ButsMPG + Var'!$K$11+COUNTIF(BDD!H603:AR603,8)*'ButsMPG + Var'!$K$10+COUNTIF(BDD!H603:AR603,7)*'ButsMPG + Var'!$K$9+COUNTIF(BDD!H603:AR603,6)*'ButsMPG + Var'!$K$8+COUNTIF(BDD!H603:AR603,5)*'ButsMPG + Var'!$K$7+COUNTIF(BDD!H603:AR603,4)*'ButsMPG + Var'!$K$6+COUNTIF(BDD!H603:AR603,3)*'ButsMPG + Var'!$K$5+COUNTIF(BDD!H603:AR603,2)*'ButsMPG + Var'!$K$4+COUNTIF(BDD!H603:AR603,1)*'ButsMPG + Var'!$K$3,IF(C600="M",COUNTIF(BDD!H603:AR603,10)*'ButsMPG + Var'!$K$22+COUNTIF(BDD!H603:AR603,9)*'ButsMPG + Var'!$K$21+COUNTIF(BDD!H603:AR603,8)*'ButsMPG + Var'!$K$20+COUNTIF(BDD!H603:AR603,7)*'ButsMPG + Var'!$K$19+COUNTIF(BDD!H603:AR603,6)*'ButsMPG + Var'!$K$18+COUNTIF(BDD!H603:AR603,5)*'ButsMPG + Var'!$K$17+COUNTIF(BDD!H603:AR603,4)*'ButsMPG + Var'!$K$16+COUNTIF(BDD!H603:AR603,3)*'ButsMPG + Var'!$K$15+COUNTIF(BDD!H603:AR603,2)*'ButsMPG + Var'!$K$14+COUNTIF(BDD!H603:AR603,1)*'ButsMPG + Var'!$K$13,IF(C600="D",COUNTIF(BDD!H603:AR603,10)*'ButsMPG + Var'!$K$32+COUNTIF(BDD!H603:AR603,9)*'ButsMPG + Var'!$K$31+COUNTIF(BDD!H603:AR603,8)*'ButsMPG + Var'!$K$30+COUNTIF(BDD!H603:AR603,7)*'ButsMPG + Var'!$K$29+COUNTIF(BDD!H603:AR603,6)*'ButsMPG + Var'!$K$28+COUNTIF(BDD!H603:AR603,5)*'ButsMPG + Var'!$K$27+COUNTIF(BDD!H603:AR603,4)*'ButsMPG + Var'!$K$26+COUNTIF(BDD!H603:AR603,3)*'ButsMPG + Var'!$K$25+COUNTIF(BDD!H603:AR603,2)*'ButsMPG + Var'!$K$24+COUNTIF(BDD!H603:AR603,1)*'ButsMPG + Var'!$K$23,0)))</f>
        <v>0</v>
      </c>
      <c r="H600" s="25">
        <f t="shared" si="10"/>
        <v>0</v>
      </c>
      <c r="I600" s="25">
        <f>BDD!G603</f>
        <v>0</v>
      </c>
      <c r="J600" s="25">
        <f>SUMPRODUCT(BDD!H603:AS603,'ButsMPG + Var'!$B$46:$AM$46)</f>
        <v>0</v>
      </c>
      <c r="K600" s="25" t="e">
        <f>10*('ButsMPG + Var'!$H$37*J600/MAX(J:J)+'ButsMPG + Var'!$G$37*H600/MAX(H:H))</f>
        <v>#DIV/0!</v>
      </c>
      <c r="L600" s="1">
        <f>IF(ISNA(VLOOKUP(B600,PrixMini!$B$3:$E$573,4,FALSE)),1,VLOOKUP(B600,PrixMini!$B$3:$E$573,4,FALSE))</f>
        <v>1</v>
      </c>
      <c r="M600" s="25" t="e">
        <f>IF(ROUND(CalculCotation!$D$3*EXP(CalculCotation!$C$3*K600)-CalculCotation!$D$3+1,0)&gt;L600,ROUND(CalculCotation!$D$3*EXP(CalculCotation!$C$3*K600)-CalculCotation!$D$3+1,0),L600)</f>
        <v>#DIV/0!</v>
      </c>
    </row>
    <row r="601" spans="2:13" x14ac:dyDescent="0.3">
      <c r="B601" s="1">
        <f>BDD!C604</f>
        <v>0</v>
      </c>
      <c r="C601" s="1">
        <f>BDD!B604</f>
        <v>0</v>
      </c>
      <c r="D601" s="1">
        <f>BDD!A604</f>
        <v>0</v>
      </c>
      <c r="E601" s="1">
        <f>BDD!D604</f>
        <v>0</v>
      </c>
      <c r="F601" s="1">
        <f>BDD!F604</f>
        <v>0</v>
      </c>
      <c r="G601" s="25">
        <f>'ButsMPG + Var'!$I$39*IF(C601="A",COUNTIF(BDD!H604:AR604,10)*'ButsMPG + Var'!$K$12+COUNTIF(BDD!H604:AR604,9)*'ButsMPG + Var'!$K$11+COUNTIF(BDD!H604:AR604,8)*'ButsMPG + Var'!$K$10+COUNTIF(BDD!H604:AR604,7)*'ButsMPG + Var'!$K$9+COUNTIF(BDD!H604:AR604,6)*'ButsMPG + Var'!$K$8+COUNTIF(BDD!H604:AR604,5)*'ButsMPG + Var'!$K$7+COUNTIF(BDD!H604:AR604,4)*'ButsMPG + Var'!$K$6+COUNTIF(BDD!H604:AR604,3)*'ButsMPG + Var'!$K$5+COUNTIF(BDD!H604:AR604,2)*'ButsMPG + Var'!$K$4+COUNTIF(BDD!H604:AR604,1)*'ButsMPG + Var'!$K$3,IF(C601="M",COUNTIF(BDD!H604:AR604,10)*'ButsMPG + Var'!$K$22+COUNTIF(BDD!H604:AR604,9)*'ButsMPG + Var'!$K$21+COUNTIF(BDD!H604:AR604,8)*'ButsMPG + Var'!$K$20+COUNTIF(BDD!H604:AR604,7)*'ButsMPG + Var'!$K$19+COUNTIF(BDD!H604:AR604,6)*'ButsMPG + Var'!$K$18+COUNTIF(BDD!H604:AR604,5)*'ButsMPG + Var'!$K$17+COUNTIF(BDD!H604:AR604,4)*'ButsMPG + Var'!$K$16+COUNTIF(BDD!H604:AR604,3)*'ButsMPG + Var'!$K$15+COUNTIF(BDD!H604:AR604,2)*'ButsMPG + Var'!$K$14+COUNTIF(BDD!H604:AR604,1)*'ButsMPG + Var'!$K$13,IF(C601="D",COUNTIF(BDD!H604:AR604,10)*'ButsMPG + Var'!$K$32+COUNTIF(BDD!H604:AR604,9)*'ButsMPG + Var'!$K$31+COUNTIF(BDD!H604:AR604,8)*'ButsMPG + Var'!$K$30+COUNTIF(BDD!H604:AR604,7)*'ButsMPG + Var'!$K$29+COUNTIF(BDD!H604:AR604,6)*'ButsMPG + Var'!$K$28+COUNTIF(BDD!H604:AR604,5)*'ButsMPG + Var'!$K$27+COUNTIF(BDD!H604:AR604,4)*'ButsMPG + Var'!$K$26+COUNTIF(BDD!H604:AR604,3)*'ButsMPG + Var'!$K$25+COUNTIF(BDD!H604:AR604,2)*'ButsMPG + Var'!$K$24+COUNTIF(BDD!H604:AR604,1)*'ButsMPG + Var'!$K$23,0)))</f>
        <v>0</v>
      </c>
      <c r="H601" s="25">
        <f t="shared" si="10"/>
        <v>0</v>
      </c>
      <c r="I601" s="25">
        <f>BDD!G604</f>
        <v>0</v>
      </c>
      <c r="J601" s="25">
        <f>SUMPRODUCT(BDD!H604:AS604,'ButsMPG + Var'!$B$46:$AM$46)</f>
        <v>0</v>
      </c>
      <c r="K601" s="25" t="e">
        <f>10*('ButsMPG + Var'!$H$37*J601/MAX(J:J)+'ButsMPG + Var'!$G$37*H601/MAX(H:H))</f>
        <v>#DIV/0!</v>
      </c>
      <c r="L601" s="1">
        <f>IF(ISNA(VLOOKUP(B601,PrixMini!$B$3:$E$573,4,FALSE)),1,VLOOKUP(B601,PrixMini!$B$3:$E$573,4,FALSE))</f>
        <v>1</v>
      </c>
      <c r="M601" s="25" t="e">
        <f>IF(ROUND(CalculCotation!$D$3*EXP(CalculCotation!$C$3*K601)-CalculCotation!$D$3+1,0)&gt;L601,ROUND(CalculCotation!$D$3*EXP(CalculCotation!$C$3*K601)-CalculCotation!$D$3+1,0),L601)</f>
        <v>#DIV/0!</v>
      </c>
    </row>
    <row r="602" spans="2:13" x14ac:dyDescent="0.3">
      <c r="B602" s="1">
        <f>BDD!C605</f>
        <v>0</v>
      </c>
      <c r="C602" s="1">
        <f>BDD!B605</f>
        <v>0</v>
      </c>
      <c r="D602" s="1">
        <f>BDD!A605</f>
        <v>0</v>
      </c>
      <c r="E602" s="1">
        <f>BDD!D605</f>
        <v>0</v>
      </c>
      <c r="F602" s="1">
        <f>BDD!F605</f>
        <v>0</v>
      </c>
      <c r="G602" s="25">
        <f>'ButsMPG + Var'!$I$39*IF(C602="A",COUNTIF(BDD!H605:AR605,10)*'ButsMPG + Var'!$K$12+COUNTIF(BDD!H605:AR605,9)*'ButsMPG + Var'!$K$11+COUNTIF(BDD!H605:AR605,8)*'ButsMPG + Var'!$K$10+COUNTIF(BDD!H605:AR605,7)*'ButsMPG + Var'!$K$9+COUNTIF(BDD!H605:AR605,6)*'ButsMPG + Var'!$K$8+COUNTIF(BDD!H605:AR605,5)*'ButsMPG + Var'!$K$7+COUNTIF(BDD!H605:AR605,4)*'ButsMPG + Var'!$K$6+COUNTIF(BDD!H605:AR605,3)*'ButsMPG + Var'!$K$5+COUNTIF(BDD!H605:AR605,2)*'ButsMPG + Var'!$K$4+COUNTIF(BDD!H605:AR605,1)*'ButsMPG + Var'!$K$3,IF(C602="M",COUNTIF(BDD!H605:AR605,10)*'ButsMPG + Var'!$K$22+COUNTIF(BDD!H605:AR605,9)*'ButsMPG + Var'!$K$21+COUNTIF(BDD!H605:AR605,8)*'ButsMPG + Var'!$K$20+COUNTIF(BDD!H605:AR605,7)*'ButsMPG + Var'!$K$19+COUNTIF(BDD!H605:AR605,6)*'ButsMPG + Var'!$K$18+COUNTIF(BDD!H605:AR605,5)*'ButsMPG + Var'!$K$17+COUNTIF(BDD!H605:AR605,4)*'ButsMPG + Var'!$K$16+COUNTIF(BDD!H605:AR605,3)*'ButsMPG + Var'!$K$15+COUNTIF(BDD!H605:AR605,2)*'ButsMPG + Var'!$K$14+COUNTIF(BDD!H605:AR605,1)*'ButsMPG + Var'!$K$13,IF(C602="D",COUNTIF(BDD!H605:AR605,10)*'ButsMPG + Var'!$K$32+COUNTIF(BDD!H605:AR605,9)*'ButsMPG + Var'!$K$31+COUNTIF(BDD!H605:AR605,8)*'ButsMPG + Var'!$K$30+COUNTIF(BDD!H605:AR605,7)*'ButsMPG + Var'!$K$29+COUNTIF(BDD!H605:AR605,6)*'ButsMPG + Var'!$K$28+COUNTIF(BDD!H605:AR605,5)*'ButsMPG + Var'!$K$27+COUNTIF(BDD!H605:AR605,4)*'ButsMPG + Var'!$K$26+COUNTIF(BDD!H605:AR605,3)*'ButsMPG + Var'!$K$25+COUNTIF(BDD!H605:AR605,2)*'ButsMPG + Var'!$K$24+COUNTIF(BDD!H605:AR605,1)*'ButsMPG + Var'!$K$23,0)))</f>
        <v>0</v>
      </c>
      <c r="H602" s="25">
        <f t="shared" si="10"/>
        <v>0</v>
      </c>
      <c r="I602" s="25">
        <f>BDD!G605</f>
        <v>0</v>
      </c>
      <c r="J602" s="25">
        <f>SUMPRODUCT(BDD!H605:AS605,'ButsMPG + Var'!$B$46:$AM$46)</f>
        <v>0</v>
      </c>
      <c r="K602" s="25" t="e">
        <f>10*('ButsMPG + Var'!$H$37*J602/MAX(J:J)+'ButsMPG + Var'!$G$37*H602/MAX(H:H))</f>
        <v>#DIV/0!</v>
      </c>
      <c r="L602" s="1">
        <f>IF(ISNA(VLOOKUP(B602,PrixMini!$B$3:$E$573,4,FALSE)),1,VLOOKUP(B602,PrixMini!$B$3:$E$573,4,FALSE))</f>
        <v>1</v>
      </c>
      <c r="M602" s="25" t="e">
        <f>IF(ROUND(CalculCotation!$D$3*EXP(CalculCotation!$C$3*K602)-CalculCotation!$D$3+1,0)&gt;L602,ROUND(CalculCotation!$D$3*EXP(CalculCotation!$C$3*K602)-CalculCotation!$D$3+1,0),L602)</f>
        <v>#DIV/0!</v>
      </c>
    </row>
    <row r="603" spans="2:13" x14ac:dyDescent="0.3">
      <c r="B603" s="1">
        <f>BDD!C606</f>
        <v>0</v>
      </c>
      <c r="C603" s="1">
        <f>BDD!B606</f>
        <v>0</v>
      </c>
      <c r="D603" s="1">
        <f>BDD!A606</f>
        <v>0</v>
      </c>
      <c r="E603" s="1">
        <f>BDD!D606</f>
        <v>0</v>
      </c>
      <c r="F603" s="1">
        <f>BDD!F606</f>
        <v>0</v>
      </c>
      <c r="G603" s="25">
        <f>'ButsMPG + Var'!$I$39*IF(C603="A",COUNTIF(BDD!H606:AR606,10)*'ButsMPG + Var'!$K$12+COUNTIF(BDD!H606:AR606,9)*'ButsMPG + Var'!$K$11+COUNTIF(BDD!H606:AR606,8)*'ButsMPG + Var'!$K$10+COUNTIF(BDD!H606:AR606,7)*'ButsMPG + Var'!$K$9+COUNTIF(BDD!H606:AR606,6)*'ButsMPG + Var'!$K$8+COUNTIF(BDD!H606:AR606,5)*'ButsMPG + Var'!$K$7+COUNTIF(BDD!H606:AR606,4)*'ButsMPG + Var'!$K$6+COUNTIF(BDD!H606:AR606,3)*'ButsMPG + Var'!$K$5+COUNTIF(BDD!H606:AR606,2)*'ButsMPG + Var'!$K$4+COUNTIF(BDD!H606:AR606,1)*'ButsMPG + Var'!$K$3,IF(C603="M",COUNTIF(BDD!H606:AR606,10)*'ButsMPG + Var'!$K$22+COUNTIF(BDD!H606:AR606,9)*'ButsMPG + Var'!$K$21+COUNTIF(BDD!H606:AR606,8)*'ButsMPG + Var'!$K$20+COUNTIF(BDD!H606:AR606,7)*'ButsMPG + Var'!$K$19+COUNTIF(BDD!H606:AR606,6)*'ButsMPG + Var'!$K$18+COUNTIF(BDD!H606:AR606,5)*'ButsMPG + Var'!$K$17+COUNTIF(BDD!H606:AR606,4)*'ButsMPG + Var'!$K$16+COUNTIF(BDD!H606:AR606,3)*'ButsMPG + Var'!$K$15+COUNTIF(BDD!H606:AR606,2)*'ButsMPG + Var'!$K$14+COUNTIF(BDD!H606:AR606,1)*'ButsMPG + Var'!$K$13,IF(C603="D",COUNTIF(BDD!H606:AR606,10)*'ButsMPG + Var'!$K$32+COUNTIF(BDD!H606:AR606,9)*'ButsMPG + Var'!$K$31+COUNTIF(BDD!H606:AR606,8)*'ButsMPG + Var'!$K$30+COUNTIF(BDD!H606:AR606,7)*'ButsMPG + Var'!$K$29+COUNTIF(BDD!H606:AR606,6)*'ButsMPG + Var'!$K$28+COUNTIF(BDD!H606:AR606,5)*'ButsMPG + Var'!$K$27+COUNTIF(BDD!H606:AR606,4)*'ButsMPG + Var'!$K$26+COUNTIF(BDD!H606:AR606,3)*'ButsMPG + Var'!$K$25+COUNTIF(BDD!H606:AR606,2)*'ButsMPG + Var'!$K$24+COUNTIF(BDD!H606:AR606,1)*'ButsMPG + Var'!$K$23,0)))</f>
        <v>0</v>
      </c>
      <c r="H603" s="25">
        <f t="shared" si="10"/>
        <v>0</v>
      </c>
      <c r="I603" s="25">
        <f>BDD!G606</f>
        <v>0</v>
      </c>
      <c r="J603" s="25">
        <f>SUMPRODUCT(BDD!H606:AS606,'ButsMPG + Var'!$B$46:$AM$46)</f>
        <v>0</v>
      </c>
      <c r="K603" s="25" t="e">
        <f>10*('ButsMPG + Var'!$H$37*J603/MAX(J:J)+'ButsMPG + Var'!$G$37*H603/MAX(H:H))</f>
        <v>#DIV/0!</v>
      </c>
      <c r="L603" s="1">
        <f>IF(ISNA(VLOOKUP(B603,PrixMini!$B$3:$E$573,4,FALSE)),1,VLOOKUP(B603,PrixMini!$B$3:$E$573,4,FALSE))</f>
        <v>1</v>
      </c>
      <c r="M603" s="25" t="e">
        <f>IF(ROUND(CalculCotation!$D$3*EXP(CalculCotation!$C$3*K603)-CalculCotation!$D$3+1,0)&gt;L603,ROUND(CalculCotation!$D$3*EXP(CalculCotation!$C$3*K603)-CalculCotation!$D$3+1,0),L603)</f>
        <v>#DIV/0!</v>
      </c>
    </row>
    <row r="604" spans="2:13" x14ac:dyDescent="0.3">
      <c r="B604" s="1">
        <f>BDD!C607</f>
        <v>0</v>
      </c>
      <c r="C604" s="1">
        <f>BDD!B607</f>
        <v>0</v>
      </c>
      <c r="D604" s="1">
        <f>BDD!A607</f>
        <v>0</v>
      </c>
      <c r="E604" s="1">
        <f>BDD!D607</f>
        <v>0</v>
      </c>
      <c r="F604" s="1">
        <f>BDD!F607</f>
        <v>0</v>
      </c>
      <c r="G604" s="25">
        <f>'ButsMPG + Var'!$I$39*IF(C604="A",COUNTIF(BDD!H607:AR607,10)*'ButsMPG + Var'!$K$12+COUNTIF(BDD!H607:AR607,9)*'ButsMPG + Var'!$K$11+COUNTIF(BDD!H607:AR607,8)*'ButsMPG + Var'!$K$10+COUNTIF(BDD!H607:AR607,7)*'ButsMPG + Var'!$K$9+COUNTIF(BDD!H607:AR607,6)*'ButsMPG + Var'!$K$8+COUNTIF(BDD!H607:AR607,5)*'ButsMPG + Var'!$K$7+COUNTIF(BDD!H607:AR607,4)*'ButsMPG + Var'!$K$6+COUNTIF(BDD!H607:AR607,3)*'ButsMPG + Var'!$K$5+COUNTIF(BDD!H607:AR607,2)*'ButsMPG + Var'!$K$4+COUNTIF(BDD!H607:AR607,1)*'ButsMPG + Var'!$K$3,IF(C604="M",COUNTIF(BDD!H607:AR607,10)*'ButsMPG + Var'!$K$22+COUNTIF(BDD!H607:AR607,9)*'ButsMPG + Var'!$K$21+COUNTIF(BDD!H607:AR607,8)*'ButsMPG + Var'!$K$20+COUNTIF(BDD!H607:AR607,7)*'ButsMPG + Var'!$K$19+COUNTIF(BDD!H607:AR607,6)*'ButsMPG + Var'!$K$18+COUNTIF(BDD!H607:AR607,5)*'ButsMPG + Var'!$K$17+COUNTIF(BDD!H607:AR607,4)*'ButsMPG + Var'!$K$16+COUNTIF(BDD!H607:AR607,3)*'ButsMPG + Var'!$K$15+COUNTIF(BDD!H607:AR607,2)*'ButsMPG + Var'!$K$14+COUNTIF(BDD!H607:AR607,1)*'ButsMPG + Var'!$K$13,IF(C604="D",COUNTIF(BDD!H607:AR607,10)*'ButsMPG + Var'!$K$32+COUNTIF(BDD!H607:AR607,9)*'ButsMPG + Var'!$K$31+COUNTIF(BDD!H607:AR607,8)*'ButsMPG + Var'!$K$30+COUNTIF(BDD!H607:AR607,7)*'ButsMPG + Var'!$K$29+COUNTIF(BDD!H607:AR607,6)*'ButsMPG + Var'!$K$28+COUNTIF(BDD!H607:AR607,5)*'ButsMPG + Var'!$K$27+COUNTIF(BDD!H607:AR607,4)*'ButsMPG + Var'!$K$26+COUNTIF(BDD!H607:AR607,3)*'ButsMPG + Var'!$K$25+COUNTIF(BDD!H607:AR607,2)*'ButsMPG + Var'!$K$24+COUNTIF(BDD!H607:AR607,1)*'ButsMPG + Var'!$K$23,0)))</f>
        <v>0</v>
      </c>
      <c r="H604" s="25">
        <f t="shared" si="10"/>
        <v>0</v>
      </c>
      <c r="I604" s="25">
        <f>BDD!G607</f>
        <v>0</v>
      </c>
      <c r="J604" s="25">
        <f>SUMPRODUCT(BDD!H607:AS607,'ButsMPG + Var'!$B$46:$AM$46)</f>
        <v>0</v>
      </c>
      <c r="K604" s="25" t="e">
        <f>10*('ButsMPG + Var'!$H$37*J604/MAX(J:J)+'ButsMPG + Var'!$G$37*H604/MAX(H:H))</f>
        <v>#DIV/0!</v>
      </c>
      <c r="L604" s="1">
        <f>IF(ISNA(VLOOKUP(B604,PrixMini!$B$3:$E$573,4,FALSE)),1,VLOOKUP(B604,PrixMini!$B$3:$E$573,4,FALSE))</f>
        <v>1</v>
      </c>
      <c r="M604" s="25" t="e">
        <f>IF(ROUND(CalculCotation!$D$3*EXP(CalculCotation!$C$3*K604)-CalculCotation!$D$3+1,0)&gt;L604,ROUND(CalculCotation!$D$3*EXP(CalculCotation!$C$3*K604)-CalculCotation!$D$3+1,0),L604)</f>
        <v>#DIV/0!</v>
      </c>
    </row>
    <row r="605" spans="2:13" x14ac:dyDescent="0.3">
      <c r="B605" s="1">
        <f>BDD!C608</f>
        <v>0</v>
      </c>
      <c r="C605" s="1">
        <f>BDD!B608</f>
        <v>0</v>
      </c>
      <c r="D605" s="1">
        <f>BDD!A608</f>
        <v>0</v>
      </c>
      <c r="E605" s="1">
        <f>BDD!D608</f>
        <v>0</v>
      </c>
      <c r="F605" s="1">
        <f>BDD!F608</f>
        <v>0</v>
      </c>
      <c r="G605" s="25">
        <f>'ButsMPG + Var'!$I$39*IF(C605="A",COUNTIF(BDD!H608:AR608,10)*'ButsMPG + Var'!$K$12+COUNTIF(BDD!H608:AR608,9)*'ButsMPG + Var'!$K$11+COUNTIF(BDD!H608:AR608,8)*'ButsMPG + Var'!$K$10+COUNTIF(BDD!H608:AR608,7)*'ButsMPG + Var'!$K$9+COUNTIF(BDD!H608:AR608,6)*'ButsMPG + Var'!$K$8+COUNTIF(BDD!H608:AR608,5)*'ButsMPG + Var'!$K$7+COUNTIF(BDD!H608:AR608,4)*'ButsMPG + Var'!$K$6+COUNTIF(BDD!H608:AR608,3)*'ButsMPG + Var'!$K$5+COUNTIF(BDD!H608:AR608,2)*'ButsMPG + Var'!$K$4+COUNTIF(BDD!H608:AR608,1)*'ButsMPG + Var'!$K$3,IF(C605="M",COUNTIF(BDD!H608:AR608,10)*'ButsMPG + Var'!$K$22+COUNTIF(BDD!H608:AR608,9)*'ButsMPG + Var'!$K$21+COUNTIF(BDD!H608:AR608,8)*'ButsMPG + Var'!$K$20+COUNTIF(BDD!H608:AR608,7)*'ButsMPG + Var'!$K$19+COUNTIF(BDD!H608:AR608,6)*'ButsMPG + Var'!$K$18+COUNTIF(BDD!H608:AR608,5)*'ButsMPG + Var'!$K$17+COUNTIF(BDD!H608:AR608,4)*'ButsMPG + Var'!$K$16+COUNTIF(BDD!H608:AR608,3)*'ButsMPG + Var'!$K$15+COUNTIF(BDD!H608:AR608,2)*'ButsMPG + Var'!$K$14+COUNTIF(BDD!H608:AR608,1)*'ButsMPG + Var'!$K$13,IF(C605="D",COUNTIF(BDD!H608:AR608,10)*'ButsMPG + Var'!$K$32+COUNTIF(BDD!H608:AR608,9)*'ButsMPG + Var'!$K$31+COUNTIF(BDD!H608:AR608,8)*'ButsMPG + Var'!$K$30+COUNTIF(BDD!H608:AR608,7)*'ButsMPG + Var'!$K$29+COUNTIF(BDD!H608:AR608,6)*'ButsMPG + Var'!$K$28+COUNTIF(BDD!H608:AR608,5)*'ButsMPG + Var'!$K$27+COUNTIF(BDD!H608:AR608,4)*'ButsMPG + Var'!$K$26+COUNTIF(BDD!H608:AR608,3)*'ButsMPG + Var'!$K$25+COUNTIF(BDD!H608:AR608,2)*'ButsMPG + Var'!$K$24+COUNTIF(BDD!H608:AR608,1)*'ButsMPG + Var'!$K$23,0)))</f>
        <v>0</v>
      </c>
      <c r="H605" s="25">
        <f t="shared" si="10"/>
        <v>0</v>
      </c>
      <c r="I605" s="25">
        <f>BDD!G608</f>
        <v>0</v>
      </c>
      <c r="J605" s="25">
        <f>SUMPRODUCT(BDD!H608:AS608,'ButsMPG + Var'!$B$46:$AM$46)</f>
        <v>0</v>
      </c>
      <c r="K605" s="25" t="e">
        <f>10*('ButsMPG + Var'!$H$37*J605/MAX(J:J)+'ButsMPG + Var'!$G$37*H605/MAX(H:H))</f>
        <v>#DIV/0!</v>
      </c>
      <c r="L605" s="1">
        <f>IF(ISNA(VLOOKUP(B605,PrixMini!$B$3:$E$573,4,FALSE)),1,VLOOKUP(B605,PrixMini!$B$3:$E$573,4,FALSE))</f>
        <v>1</v>
      </c>
      <c r="M605" s="25" t="e">
        <f>IF(ROUND(CalculCotation!$D$3*EXP(CalculCotation!$C$3*K605)-CalculCotation!$D$3+1,0)&gt;L605,ROUND(CalculCotation!$D$3*EXP(CalculCotation!$C$3*K605)-CalculCotation!$D$3+1,0),L605)</f>
        <v>#DIV/0!</v>
      </c>
    </row>
    <row r="606" spans="2:13" x14ac:dyDescent="0.3">
      <c r="B606" s="1">
        <f>BDD!C609</f>
        <v>0</v>
      </c>
      <c r="C606" s="1">
        <f>BDD!B609</f>
        <v>0</v>
      </c>
      <c r="D606" s="1">
        <f>BDD!A609</f>
        <v>0</v>
      </c>
      <c r="E606" s="1">
        <f>BDD!D609</f>
        <v>0</v>
      </c>
      <c r="F606" s="1">
        <f>BDD!F609</f>
        <v>0</v>
      </c>
      <c r="G606" s="25">
        <f>'ButsMPG + Var'!$I$39*IF(C606="A",COUNTIF(BDD!H609:AR609,10)*'ButsMPG + Var'!$K$12+COUNTIF(BDD!H609:AR609,9)*'ButsMPG + Var'!$K$11+COUNTIF(BDD!H609:AR609,8)*'ButsMPG + Var'!$K$10+COUNTIF(BDD!H609:AR609,7)*'ButsMPG + Var'!$K$9+COUNTIF(BDD!H609:AR609,6)*'ButsMPG + Var'!$K$8+COUNTIF(BDD!H609:AR609,5)*'ButsMPG + Var'!$K$7+COUNTIF(BDD!H609:AR609,4)*'ButsMPG + Var'!$K$6+COUNTIF(BDD!H609:AR609,3)*'ButsMPG + Var'!$K$5+COUNTIF(BDD!H609:AR609,2)*'ButsMPG + Var'!$K$4+COUNTIF(BDD!H609:AR609,1)*'ButsMPG + Var'!$K$3,IF(C606="M",COUNTIF(BDD!H609:AR609,10)*'ButsMPG + Var'!$K$22+COUNTIF(BDD!H609:AR609,9)*'ButsMPG + Var'!$K$21+COUNTIF(BDD!H609:AR609,8)*'ButsMPG + Var'!$K$20+COUNTIF(BDD!H609:AR609,7)*'ButsMPG + Var'!$K$19+COUNTIF(BDD!H609:AR609,6)*'ButsMPG + Var'!$K$18+COUNTIF(BDD!H609:AR609,5)*'ButsMPG + Var'!$K$17+COUNTIF(BDD!H609:AR609,4)*'ButsMPG + Var'!$K$16+COUNTIF(BDD!H609:AR609,3)*'ButsMPG + Var'!$K$15+COUNTIF(BDD!H609:AR609,2)*'ButsMPG + Var'!$K$14+COUNTIF(BDD!H609:AR609,1)*'ButsMPG + Var'!$K$13,IF(C606="D",COUNTIF(BDD!H609:AR609,10)*'ButsMPG + Var'!$K$32+COUNTIF(BDD!H609:AR609,9)*'ButsMPG + Var'!$K$31+COUNTIF(BDD!H609:AR609,8)*'ButsMPG + Var'!$K$30+COUNTIF(BDD!H609:AR609,7)*'ButsMPG + Var'!$K$29+COUNTIF(BDD!H609:AR609,6)*'ButsMPG + Var'!$K$28+COUNTIF(BDD!H609:AR609,5)*'ButsMPG + Var'!$K$27+COUNTIF(BDD!H609:AR609,4)*'ButsMPG + Var'!$K$26+COUNTIF(BDD!H609:AR609,3)*'ButsMPG + Var'!$K$25+COUNTIF(BDD!H609:AR609,2)*'ButsMPG + Var'!$K$24+COUNTIF(BDD!H609:AR609,1)*'ButsMPG + Var'!$K$23,0)))</f>
        <v>0</v>
      </c>
      <c r="H606" s="25">
        <f t="shared" si="10"/>
        <v>0</v>
      </c>
      <c r="I606" s="25">
        <f>BDD!G609</f>
        <v>0</v>
      </c>
      <c r="J606" s="25">
        <f>SUMPRODUCT(BDD!H609:AS609,'ButsMPG + Var'!$B$46:$AM$46)</f>
        <v>0</v>
      </c>
      <c r="K606" s="25" t="e">
        <f>10*('ButsMPG + Var'!$H$37*J606/MAX(J:J)+'ButsMPG + Var'!$G$37*H606/MAX(H:H))</f>
        <v>#DIV/0!</v>
      </c>
      <c r="L606" s="1">
        <f>IF(ISNA(VLOOKUP(B606,PrixMini!$B$3:$E$573,4,FALSE)),1,VLOOKUP(B606,PrixMini!$B$3:$E$573,4,FALSE))</f>
        <v>1</v>
      </c>
      <c r="M606" s="25" t="e">
        <f>IF(ROUND(CalculCotation!$D$3*EXP(CalculCotation!$C$3*K606)-CalculCotation!$D$3+1,0)&gt;L606,ROUND(CalculCotation!$D$3*EXP(CalculCotation!$C$3*K606)-CalculCotation!$D$3+1,0),L606)</f>
        <v>#DIV/0!</v>
      </c>
    </row>
    <row r="607" spans="2:13" x14ac:dyDescent="0.3">
      <c r="B607" s="1">
        <f>BDD!C610</f>
        <v>0</v>
      </c>
      <c r="C607" s="1">
        <f>BDD!B610</f>
        <v>0</v>
      </c>
      <c r="D607" s="1">
        <f>BDD!A610</f>
        <v>0</v>
      </c>
      <c r="E607" s="1">
        <f>BDD!D610</f>
        <v>0</v>
      </c>
      <c r="F607" s="1">
        <f>BDD!F610</f>
        <v>0</v>
      </c>
      <c r="G607" s="25">
        <f>'ButsMPG + Var'!$I$39*IF(C607="A",COUNTIF(BDD!H610:AR610,10)*'ButsMPG + Var'!$K$12+COUNTIF(BDD!H610:AR610,9)*'ButsMPG + Var'!$K$11+COUNTIF(BDD!H610:AR610,8)*'ButsMPG + Var'!$K$10+COUNTIF(BDD!H610:AR610,7)*'ButsMPG + Var'!$K$9+COUNTIF(BDD!H610:AR610,6)*'ButsMPG + Var'!$K$8+COUNTIF(BDD!H610:AR610,5)*'ButsMPG + Var'!$K$7+COUNTIF(BDD!H610:AR610,4)*'ButsMPG + Var'!$K$6+COUNTIF(BDD!H610:AR610,3)*'ButsMPG + Var'!$K$5+COUNTIF(BDD!H610:AR610,2)*'ButsMPG + Var'!$K$4+COUNTIF(BDD!H610:AR610,1)*'ButsMPG + Var'!$K$3,IF(C607="M",COUNTIF(BDD!H610:AR610,10)*'ButsMPG + Var'!$K$22+COUNTIF(BDD!H610:AR610,9)*'ButsMPG + Var'!$K$21+COUNTIF(BDD!H610:AR610,8)*'ButsMPG + Var'!$K$20+COUNTIF(BDD!H610:AR610,7)*'ButsMPG + Var'!$K$19+COUNTIF(BDD!H610:AR610,6)*'ButsMPG + Var'!$K$18+COUNTIF(BDD!H610:AR610,5)*'ButsMPG + Var'!$K$17+COUNTIF(BDD!H610:AR610,4)*'ButsMPG + Var'!$K$16+COUNTIF(BDD!H610:AR610,3)*'ButsMPG + Var'!$K$15+COUNTIF(BDD!H610:AR610,2)*'ButsMPG + Var'!$K$14+COUNTIF(BDD!H610:AR610,1)*'ButsMPG + Var'!$K$13,IF(C607="D",COUNTIF(BDD!H610:AR610,10)*'ButsMPG + Var'!$K$32+COUNTIF(BDD!H610:AR610,9)*'ButsMPG + Var'!$K$31+COUNTIF(BDD!H610:AR610,8)*'ButsMPG + Var'!$K$30+COUNTIF(BDD!H610:AR610,7)*'ButsMPG + Var'!$K$29+COUNTIF(BDD!H610:AR610,6)*'ButsMPG + Var'!$K$28+COUNTIF(BDD!H610:AR610,5)*'ButsMPG + Var'!$K$27+COUNTIF(BDD!H610:AR610,4)*'ButsMPG + Var'!$K$26+COUNTIF(BDD!H610:AR610,3)*'ButsMPG + Var'!$K$25+COUNTIF(BDD!H610:AR610,2)*'ButsMPG + Var'!$K$24+COUNTIF(BDD!H610:AR610,1)*'ButsMPG + Var'!$K$23,0)))</f>
        <v>0</v>
      </c>
      <c r="H607" s="25">
        <f t="shared" si="10"/>
        <v>0</v>
      </c>
      <c r="I607" s="25">
        <f>BDD!G610</f>
        <v>0</v>
      </c>
      <c r="J607" s="25">
        <f>SUMPRODUCT(BDD!H610:AS610,'ButsMPG + Var'!$B$46:$AM$46)</f>
        <v>0</v>
      </c>
      <c r="K607" s="25" t="e">
        <f>10*('ButsMPG + Var'!$H$37*J607/MAX(J:J)+'ButsMPG + Var'!$G$37*H607/MAX(H:H))</f>
        <v>#DIV/0!</v>
      </c>
      <c r="L607" s="1">
        <f>IF(ISNA(VLOOKUP(B607,PrixMini!$B$3:$E$573,4,FALSE)),1,VLOOKUP(B607,PrixMini!$B$3:$E$573,4,FALSE))</f>
        <v>1</v>
      </c>
      <c r="M607" s="25" t="e">
        <f>IF(ROUND(CalculCotation!$D$3*EXP(CalculCotation!$C$3*K607)-CalculCotation!$D$3+1,0)&gt;L607,ROUND(CalculCotation!$D$3*EXP(CalculCotation!$C$3*K607)-CalculCotation!$D$3+1,0),L607)</f>
        <v>#DIV/0!</v>
      </c>
    </row>
    <row r="608" spans="2:13" x14ac:dyDescent="0.3">
      <c r="B608" s="1">
        <f>BDD!C611</f>
        <v>0</v>
      </c>
      <c r="C608" s="1">
        <f>BDD!B611</f>
        <v>0</v>
      </c>
      <c r="D608" s="1">
        <f>BDD!A611</f>
        <v>0</v>
      </c>
      <c r="E608" s="1">
        <f>BDD!D611</f>
        <v>0</v>
      </c>
      <c r="F608" s="1">
        <f>BDD!F611</f>
        <v>0</v>
      </c>
      <c r="G608" s="25">
        <f>'ButsMPG + Var'!$I$39*IF(C608="A",COUNTIF(BDD!H611:AR611,10)*'ButsMPG + Var'!$K$12+COUNTIF(BDD!H611:AR611,9)*'ButsMPG + Var'!$K$11+COUNTIF(BDD!H611:AR611,8)*'ButsMPG + Var'!$K$10+COUNTIF(BDD!H611:AR611,7)*'ButsMPG + Var'!$K$9+COUNTIF(BDD!H611:AR611,6)*'ButsMPG + Var'!$K$8+COUNTIF(BDD!H611:AR611,5)*'ButsMPG + Var'!$K$7+COUNTIF(BDD!H611:AR611,4)*'ButsMPG + Var'!$K$6+COUNTIF(BDD!H611:AR611,3)*'ButsMPG + Var'!$K$5+COUNTIF(BDD!H611:AR611,2)*'ButsMPG + Var'!$K$4+COUNTIF(BDD!H611:AR611,1)*'ButsMPG + Var'!$K$3,IF(C608="M",COUNTIF(BDD!H611:AR611,10)*'ButsMPG + Var'!$K$22+COUNTIF(BDD!H611:AR611,9)*'ButsMPG + Var'!$K$21+COUNTIF(BDD!H611:AR611,8)*'ButsMPG + Var'!$K$20+COUNTIF(BDD!H611:AR611,7)*'ButsMPG + Var'!$K$19+COUNTIF(BDD!H611:AR611,6)*'ButsMPG + Var'!$K$18+COUNTIF(BDD!H611:AR611,5)*'ButsMPG + Var'!$K$17+COUNTIF(BDD!H611:AR611,4)*'ButsMPG + Var'!$K$16+COUNTIF(BDD!H611:AR611,3)*'ButsMPG + Var'!$K$15+COUNTIF(BDD!H611:AR611,2)*'ButsMPG + Var'!$K$14+COUNTIF(BDD!H611:AR611,1)*'ButsMPG + Var'!$K$13,IF(C608="D",COUNTIF(BDD!H611:AR611,10)*'ButsMPG + Var'!$K$32+COUNTIF(BDD!H611:AR611,9)*'ButsMPG + Var'!$K$31+COUNTIF(BDD!H611:AR611,8)*'ButsMPG + Var'!$K$30+COUNTIF(BDD!H611:AR611,7)*'ButsMPG + Var'!$K$29+COUNTIF(BDD!H611:AR611,6)*'ButsMPG + Var'!$K$28+COUNTIF(BDD!H611:AR611,5)*'ButsMPG + Var'!$K$27+COUNTIF(BDD!H611:AR611,4)*'ButsMPG + Var'!$K$26+COUNTIF(BDD!H611:AR611,3)*'ButsMPG + Var'!$K$25+COUNTIF(BDD!H611:AR611,2)*'ButsMPG + Var'!$K$24+COUNTIF(BDD!H611:AR611,1)*'ButsMPG + Var'!$K$23,0)))</f>
        <v>0</v>
      </c>
      <c r="H608" s="25">
        <f t="shared" si="10"/>
        <v>0</v>
      </c>
      <c r="I608" s="25">
        <f>BDD!G611</f>
        <v>0</v>
      </c>
      <c r="J608" s="25">
        <f>SUMPRODUCT(BDD!H611:AS611,'ButsMPG + Var'!$B$46:$AM$46)</f>
        <v>0</v>
      </c>
      <c r="K608" s="25" t="e">
        <f>10*('ButsMPG + Var'!$H$37*J608/MAX(J:J)+'ButsMPG + Var'!$G$37*H608/MAX(H:H))</f>
        <v>#DIV/0!</v>
      </c>
      <c r="L608" s="1">
        <f>IF(ISNA(VLOOKUP(B608,PrixMini!$B$3:$E$573,4,FALSE)),1,VLOOKUP(B608,PrixMini!$B$3:$E$573,4,FALSE))</f>
        <v>1</v>
      </c>
      <c r="M608" s="25" t="e">
        <f>IF(ROUND(CalculCotation!$D$3*EXP(CalculCotation!$C$3*K608)-CalculCotation!$D$3+1,0)&gt;L608,ROUND(CalculCotation!$D$3*EXP(CalculCotation!$C$3*K608)-CalculCotation!$D$3+1,0),L608)</f>
        <v>#DIV/0!</v>
      </c>
    </row>
    <row r="609" spans="2:13" x14ac:dyDescent="0.3">
      <c r="B609" s="1">
        <f>BDD!C612</f>
        <v>0</v>
      </c>
      <c r="C609" s="1">
        <f>BDD!B612</f>
        <v>0</v>
      </c>
      <c r="D609" s="1">
        <f>BDD!A612</f>
        <v>0</v>
      </c>
      <c r="E609" s="1">
        <f>BDD!D612</f>
        <v>0</v>
      </c>
      <c r="F609" s="1">
        <f>BDD!F612</f>
        <v>0</v>
      </c>
      <c r="G609" s="25">
        <f>'ButsMPG + Var'!$I$39*IF(C609="A",COUNTIF(BDD!H612:AR612,10)*'ButsMPG + Var'!$K$12+COUNTIF(BDD!H612:AR612,9)*'ButsMPG + Var'!$K$11+COUNTIF(BDD!H612:AR612,8)*'ButsMPG + Var'!$K$10+COUNTIF(BDD!H612:AR612,7)*'ButsMPG + Var'!$K$9+COUNTIF(BDD!H612:AR612,6)*'ButsMPG + Var'!$K$8+COUNTIF(BDD!H612:AR612,5)*'ButsMPG + Var'!$K$7+COUNTIF(BDD!H612:AR612,4)*'ButsMPG + Var'!$K$6+COUNTIF(BDD!H612:AR612,3)*'ButsMPG + Var'!$K$5+COUNTIF(BDD!H612:AR612,2)*'ButsMPG + Var'!$K$4+COUNTIF(BDD!H612:AR612,1)*'ButsMPG + Var'!$K$3,IF(C609="M",COUNTIF(BDD!H612:AR612,10)*'ButsMPG + Var'!$K$22+COUNTIF(BDD!H612:AR612,9)*'ButsMPG + Var'!$K$21+COUNTIF(BDD!H612:AR612,8)*'ButsMPG + Var'!$K$20+COUNTIF(BDD!H612:AR612,7)*'ButsMPG + Var'!$K$19+COUNTIF(BDD!H612:AR612,6)*'ButsMPG + Var'!$K$18+COUNTIF(BDD!H612:AR612,5)*'ButsMPG + Var'!$K$17+COUNTIF(BDD!H612:AR612,4)*'ButsMPG + Var'!$K$16+COUNTIF(BDD!H612:AR612,3)*'ButsMPG + Var'!$K$15+COUNTIF(BDD!H612:AR612,2)*'ButsMPG + Var'!$K$14+COUNTIF(BDD!H612:AR612,1)*'ButsMPG + Var'!$K$13,IF(C609="D",COUNTIF(BDD!H612:AR612,10)*'ButsMPG + Var'!$K$32+COUNTIF(BDD!H612:AR612,9)*'ButsMPG + Var'!$K$31+COUNTIF(BDD!H612:AR612,8)*'ButsMPG + Var'!$K$30+COUNTIF(BDD!H612:AR612,7)*'ButsMPG + Var'!$K$29+COUNTIF(BDD!H612:AR612,6)*'ButsMPG + Var'!$K$28+COUNTIF(BDD!H612:AR612,5)*'ButsMPG + Var'!$K$27+COUNTIF(BDD!H612:AR612,4)*'ButsMPG + Var'!$K$26+COUNTIF(BDD!H612:AR612,3)*'ButsMPG + Var'!$K$25+COUNTIF(BDD!H612:AR612,2)*'ButsMPG + Var'!$K$24+COUNTIF(BDD!H612:AR612,1)*'ButsMPG + Var'!$K$23,0)))</f>
        <v>0</v>
      </c>
      <c r="H609" s="25">
        <f t="shared" si="10"/>
        <v>0</v>
      </c>
      <c r="I609" s="25">
        <f>BDD!G612</f>
        <v>0</v>
      </c>
      <c r="J609" s="25">
        <f>SUMPRODUCT(BDD!H612:AS612,'ButsMPG + Var'!$B$46:$AM$46)</f>
        <v>0</v>
      </c>
      <c r="K609" s="25" t="e">
        <f>10*('ButsMPG + Var'!$H$37*J609/MAX(J:J)+'ButsMPG + Var'!$G$37*H609/MAX(H:H))</f>
        <v>#DIV/0!</v>
      </c>
      <c r="L609" s="1">
        <f>IF(ISNA(VLOOKUP(B609,PrixMini!$B$3:$E$573,4,FALSE)),1,VLOOKUP(B609,PrixMini!$B$3:$E$573,4,FALSE))</f>
        <v>1</v>
      </c>
      <c r="M609" s="25" t="e">
        <f>IF(ROUND(CalculCotation!$D$3*EXP(CalculCotation!$C$3*K609)-CalculCotation!$D$3+1,0)&gt;L609,ROUND(CalculCotation!$D$3*EXP(CalculCotation!$C$3*K609)-CalculCotation!$D$3+1,0),L609)</f>
        <v>#DIV/0!</v>
      </c>
    </row>
    <row r="610" spans="2:13" x14ac:dyDescent="0.3">
      <c r="B610" s="1">
        <f>BDD!C613</f>
        <v>0</v>
      </c>
      <c r="C610" s="1">
        <f>BDD!B613</f>
        <v>0</v>
      </c>
      <c r="D610" s="1">
        <f>BDD!A613</f>
        <v>0</v>
      </c>
      <c r="E610" s="1">
        <f>BDD!D613</f>
        <v>0</v>
      </c>
      <c r="F610" s="1">
        <f>BDD!F613</f>
        <v>0</v>
      </c>
      <c r="G610" s="25">
        <f>'ButsMPG + Var'!$I$39*IF(C610="A",COUNTIF(BDD!H613:AR613,10)*'ButsMPG + Var'!$K$12+COUNTIF(BDD!H613:AR613,9)*'ButsMPG + Var'!$K$11+COUNTIF(BDD!H613:AR613,8)*'ButsMPG + Var'!$K$10+COUNTIF(BDD!H613:AR613,7)*'ButsMPG + Var'!$K$9+COUNTIF(BDD!H613:AR613,6)*'ButsMPG + Var'!$K$8+COUNTIF(BDD!H613:AR613,5)*'ButsMPG + Var'!$K$7+COUNTIF(BDD!H613:AR613,4)*'ButsMPG + Var'!$K$6+COUNTIF(BDD!H613:AR613,3)*'ButsMPG + Var'!$K$5+COUNTIF(BDD!H613:AR613,2)*'ButsMPG + Var'!$K$4+COUNTIF(BDD!H613:AR613,1)*'ButsMPG + Var'!$K$3,IF(C610="M",COUNTIF(BDD!H613:AR613,10)*'ButsMPG + Var'!$K$22+COUNTIF(BDD!H613:AR613,9)*'ButsMPG + Var'!$K$21+COUNTIF(BDD!H613:AR613,8)*'ButsMPG + Var'!$K$20+COUNTIF(BDD!H613:AR613,7)*'ButsMPG + Var'!$K$19+COUNTIF(BDD!H613:AR613,6)*'ButsMPG + Var'!$K$18+COUNTIF(BDD!H613:AR613,5)*'ButsMPG + Var'!$K$17+COUNTIF(BDD!H613:AR613,4)*'ButsMPG + Var'!$K$16+COUNTIF(BDD!H613:AR613,3)*'ButsMPG + Var'!$K$15+COUNTIF(BDD!H613:AR613,2)*'ButsMPG + Var'!$K$14+COUNTIF(BDD!H613:AR613,1)*'ButsMPG + Var'!$K$13,IF(C610="D",COUNTIF(BDD!H613:AR613,10)*'ButsMPG + Var'!$K$32+COUNTIF(BDD!H613:AR613,9)*'ButsMPG + Var'!$K$31+COUNTIF(BDD!H613:AR613,8)*'ButsMPG + Var'!$K$30+COUNTIF(BDD!H613:AR613,7)*'ButsMPG + Var'!$K$29+COUNTIF(BDD!H613:AR613,6)*'ButsMPG + Var'!$K$28+COUNTIF(BDD!H613:AR613,5)*'ButsMPG + Var'!$K$27+COUNTIF(BDD!H613:AR613,4)*'ButsMPG + Var'!$K$26+COUNTIF(BDD!H613:AR613,3)*'ButsMPG + Var'!$K$25+COUNTIF(BDD!H613:AR613,2)*'ButsMPG + Var'!$K$24+COUNTIF(BDD!H613:AR613,1)*'ButsMPG + Var'!$K$23,0)))</f>
        <v>0</v>
      </c>
      <c r="H610" s="25">
        <f t="shared" si="10"/>
        <v>0</v>
      </c>
      <c r="I610" s="25">
        <f>BDD!G613</f>
        <v>0</v>
      </c>
      <c r="J610" s="25">
        <f>SUMPRODUCT(BDD!H613:AS613,'ButsMPG + Var'!$B$46:$AM$46)</f>
        <v>0</v>
      </c>
      <c r="K610" s="25" t="e">
        <f>10*('ButsMPG + Var'!$H$37*J610/MAX(J:J)+'ButsMPG + Var'!$G$37*H610/MAX(H:H))</f>
        <v>#DIV/0!</v>
      </c>
      <c r="L610" s="1">
        <f>IF(ISNA(VLOOKUP(B610,PrixMini!$B$3:$E$573,4,FALSE)),1,VLOOKUP(B610,PrixMini!$B$3:$E$573,4,FALSE))</f>
        <v>1</v>
      </c>
      <c r="M610" s="25" t="e">
        <f>IF(ROUND(CalculCotation!$D$3*EXP(CalculCotation!$C$3*K610)-CalculCotation!$D$3+1,0)&gt;L610,ROUND(CalculCotation!$D$3*EXP(CalculCotation!$C$3*K610)-CalculCotation!$D$3+1,0),L610)</f>
        <v>#DIV/0!</v>
      </c>
    </row>
    <row r="611" spans="2:13" x14ac:dyDescent="0.3">
      <c r="B611" s="1">
        <f>BDD!C614</f>
        <v>0</v>
      </c>
      <c r="C611" s="1">
        <f>BDD!B614</f>
        <v>0</v>
      </c>
      <c r="D611" s="1">
        <f>BDD!A614</f>
        <v>0</v>
      </c>
      <c r="E611" s="1">
        <f>BDD!D614</f>
        <v>0</v>
      </c>
      <c r="F611" s="1">
        <f>BDD!F614</f>
        <v>0</v>
      </c>
      <c r="G611" s="25">
        <f>'ButsMPG + Var'!$I$39*IF(C611="A",COUNTIF(BDD!H614:AR614,10)*'ButsMPG + Var'!$K$12+COUNTIF(BDD!H614:AR614,9)*'ButsMPG + Var'!$K$11+COUNTIF(BDD!H614:AR614,8)*'ButsMPG + Var'!$K$10+COUNTIF(BDD!H614:AR614,7)*'ButsMPG + Var'!$K$9+COUNTIF(BDD!H614:AR614,6)*'ButsMPG + Var'!$K$8+COUNTIF(BDD!H614:AR614,5)*'ButsMPG + Var'!$K$7+COUNTIF(BDD!H614:AR614,4)*'ButsMPG + Var'!$K$6+COUNTIF(BDD!H614:AR614,3)*'ButsMPG + Var'!$K$5+COUNTIF(BDD!H614:AR614,2)*'ButsMPG + Var'!$K$4+COUNTIF(BDD!H614:AR614,1)*'ButsMPG + Var'!$K$3,IF(C611="M",COUNTIF(BDD!H614:AR614,10)*'ButsMPG + Var'!$K$22+COUNTIF(BDD!H614:AR614,9)*'ButsMPG + Var'!$K$21+COUNTIF(BDD!H614:AR614,8)*'ButsMPG + Var'!$K$20+COUNTIF(BDD!H614:AR614,7)*'ButsMPG + Var'!$K$19+COUNTIF(BDD!H614:AR614,6)*'ButsMPG + Var'!$K$18+COUNTIF(BDD!H614:AR614,5)*'ButsMPG + Var'!$K$17+COUNTIF(BDD!H614:AR614,4)*'ButsMPG + Var'!$K$16+COUNTIF(BDD!H614:AR614,3)*'ButsMPG + Var'!$K$15+COUNTIF(BDD!H614:AR614,2)*'ButsMPG + Var'!$K$14+COUNTIF(BDD!H614:AR614,1)*'ButsMPG + Var'!$K$13,IF(C611="D",COUNTIF(BDD!H614:AR614,10)*'ButsMPG + Var'!$K$32+COUNTIF(BDD!H614:AR614,9)*'ButsMPG + Var'!$K$31+COUNTIF(BDD!H614:AR614,8)*'ButsMPG + Var'!$K$30+COUNTIF(BDD!H614:AR614,7)*'ButsMPG + Var'!$K$29+COUNTIF(BDD!H614:AR614,6)*'ButsMPG + Var'!$K$28+COUNTIF(BDD!H614:AR614,5)*'ButsMPG + Var'!$K$27+COUNTIF(BDD!H614:AR614,4)*'ButsMPG + Var'!$K$26+COUNTIF(BDD!H614:AR614,3)*'ButsMPG + Var'!$K$25+COUNTIF(BDD!H614:AR614,2)*'ButsMPG + Var'!$K$24+COUNTIF(BDD!H614:AR614,1)*'ButsMPG + Var'!$K$23,0)))</f>
        <v>0</v>
      </c>
      <c r="H611" s="25">
        <f t="shared" si="10"/>
        <v>0</v>
      </c>
      <c r="I611" s="25">
        <f>BDD!G614</f>
        <v>0</v>
      </c>
      <c r="J611" s="25">
        <f>SUMPRODUCT(BDD!H614:AS614,'ButsMPG + Var'!$B$46:$AM$46)</f>
        <v>0</v>
      </c>
      <c r="K611" s="25" t="e">
        <f>10*('ButsMPG + Var'!$H$37*J611/MAX(J:J)+'ButsMPG + Var'!$G$37*H611/MAX(H:H))</f>
        <v>#DIV/0!</v>
      </c>
      <c r="L611" s="1">
        <f>IF(ISNA(VLOOKUP(B611,PrixMini!$B$3:$E$573,4,FALSE)),1,VLOOKUP(B611,PrixMini!$B$3:$E$573,4,FALSE))</f>
        <v>1</v>
      </c>
      <c r="M611" s="25" t="e">
        <f>IF(ROUND(CalculCotation!$D$3*EXP(CalculCotation!$C$3*K611)-CalculCotation!$D$3+1,0)&gt;L611,ROUND(CalculCotation!$D$3*EXP(CalculCotation!$C$3*K611)-CalculCotation!$D$3+1,0),L611)</f>
        <v>#DIV/0!</v>
      </c>
    </row>
    <row r="612" spans="2:13" x14ac:dyDescent="0.3">
      <c r="B612" s="1">
        <f>BDD!C615</f>
        <v>0</v>
      </c>
      <c r="C612" s="1">
        <f>BDD!B615</f>
        <v>0</v>
      </c>
      <c r="D612" s="1">
        <f>BDD!A615</f>
        <v>0</v>
      </c>
      <c r="E612" s="1">
        <f>BDD!D615</f>
        <v>0</v>
      </c>
      <c r="F612" s="1">
        <f>BDD!F615</f>
        <v>0</v>
      </c>
      <c r="G612" s="25">
        <f>'ButsMPG + Var'!$I$39*IF(C612="A",COUNTIF(BDD!H615:AR615,10)*'ButsMPG + Var'!$K$12+COUNTIF(BDD!H615:AR615,9)*'ButsMPG + Var'!$K$11+COUNTIF(BDD!H615:AR615,8)*'ButsMPG + Var'!$K$10+COUNTIF(BDD!H615:AR615,7)*'ButsMPG + Var'!$K$9+COUNTIF(BDD!H615:AR615,6)*'ButsMPG + Var'!$K$8+COUNTIF(BDD!H615:AR615,5)*'ButsMPG + Var'!$K$7+COUNTIF(BDD!H615:AR615,4)*'ButsMPG + Var'!$K$6+COUNTIF(BDD!H615:AR615,3)*'ButsMPG + Var'!$K$5+COUNTIF(BDD!H615:AR615,2)*'ButsMPG + Var'!$K$4+COUNTIF(BDD!H615:AR615,1)*'ButsMPG + Var'!$K$3,IF(C612="M",COUNTIF(BDD!H615:AR615,10)*'ButsMPG + Var'!$K$22+COUNTIF(BDD!H615:AR615,9)*'ButsMPG + Var'!$K$21+COUNTIF(BDD!H615:AR615,8)*'ButsMPG + Var'!$K$20+COUNTIF(BDD!H615:AR615,7)*'ButsMPG + Var'!$K$19+COUNTIF(BDD!H615:AR615,6)*'ButsMPG + Var'!$K$18+COUNTIF(BDD!H615:AR615,5)*'ButsMPG + Var'!$K$17+COUNTIF(BDD!H615:AR615,4)*'ButsMPG + Var'!$K$16+COUNTIF(BDD!H615:AR615,3)*'ButsMPG + Var'!$K$15+COUNTIF(BDD!H615:AR615,2)*'ButsMPG + Var'!$K$14+COUNTIF(BDD!H615:AR615,1)*'ButsMPG + Var'!$K$13,IF(C612="D",COUNTIF(BDD!H615:AR615,10)*'ButsMPG + Var'!$K$32+COUNTIF(BDD!H615:AR615,9)*'ButsMPG + Var'!$K$31+COUNTIF(BDD!H615:AR615,8)*'ButsMPG + Var'!$K$30+COUNTIF(BDD!H615:AR615,7)*'ButsMPG + Var'!$K$29+COUNTIF(BDD!H615:AR615,6)*'ButsMPG + Var'!$K$28+COUNTIF(BDD!H615:AR615,5)*'ButsMPG + Var'!$K$27+COUNTIF(BDD!H615:AR615,4)*'ButsMPG + Var'!$K$26+COUNTIF(BDD!H615:AR615,3)*'ButsMPG + Var'!$K$25+COUNTIF(BDD!H615:AR615,2)*'ButsMPG + Var'!$K$24+COUNTIF(BDD!H615:AR615,1)*'ButsMPG + Var'!$K$23,0)))</f>
        <v>0</v>
      </c>
      <c r="H612" s="25">
        <f t="shared" si="10"/>
        <v>0</v>
      </c>
      <c r="I612" s="25">
        <f>BDD!G615</f>
        <v>0</v>
      </c>
      <c r="J612" s="25">
        <f>SUMPRODUCT(BDD!H615:AS615,'ButsMPG + Var'!$B$46:$AM$46)</f>
        <v>0</v>
      </c>
      <c r="K612" s="25" t="e">
        <f>10*('ButsMPG + Var'!$H$37*J612/MAX(J:J)+'ButsMPG + Var'!$G$37*H612/MAX(H:H))</f>
        <v>#DIV/0!</v>
      </c>
      <c r="L612" s="1">
        <f>IF(ISNA(VLOOKUP(B612,PrixMini!$B$3:$E$573,4,FALSE)),1,VLOOKUP(B612,PrixMini!$B$3:$E$573,4,FALSE))</f>
        <v>1</v>
      </c>
      <c r="M612" s="25" t="e">
        <f>IF(ROUND(CalculCotation!$D$3*EXP(CalculCotation!$C$3*K612)-CalculCotation!$D$3+1,0)&gt;L612,ROUND(CalculCotation!$D$3*EXP(CalculCotation!$C$3*K612)-CalculCotation!$D$3+1,0),L612)</f>
        <v>#DIV/0!</v>
      </c>
    </row>
    <row r="613" spans="2:13" x14ac:dyDescent="0.3">
      <c r="B613" s="1">
        <f>BDD!C616</f>
        <v>0</v>
      </c>
      <c r="C613" s="1">
        <f>BDD!B616</f>
        <v>0</v>
      </c>
      <c r="D613" s="1">
        <f>BDD!A616</f>
        <v>0</v>
      </c>
      <c r="E613" s="1">
        <f>BDD!D616</f>
        <v>0</v>
      </c>
      <c r="F613" s="1">
        <f>BDD!F616</f>
        <v>0</v>
      </c>
      <c r="G613" s="25">
        <f>'ButsMPG + Var'!$I$39*IF(C613="A",COUNTIF(BDD!H616:AR616,10)*'ButsMPG + Var'!$K$12+COUNTIF(BDD!H616:AR616,9)*'ButsMPG + Var'!$K$11+COUNTIF(BDD!H616:AR616,8)*'ButsMPG + Var'!$K$10+COUNTIF(BDD!H616:AR616,7)*'ButsMPG + Var'!$K$9+COUNTIF(BDD!H616:AR616,6)*'ButsMPG + Var'!$K$8+COUNTIF(BDD!H616:AR616,5)*'ButsMPG + Var'!$K$7+COUNTIF(BDD!H616:AR616,4)*'ButsMPG + Var'!$K$6+COUNTIF(BDD!H616:AR616,3)*'ButsMPG + Var'!$K$5+COUNTIF(BDD!H616:AR616,2)*'ButsMPG + Var'!$K$4+COUNTIF(BDD!H616:AR616,1)*'ButsMPG + Var'!$K$3,IF(C613="M",COUNTIF(BDD!H616:AR616,10)*'ButsMPG + Var'!$K$22+COUNTIF(BDD!H616:AR616,9)*'ButsMPG + Var'!$K$21+COUNTIF(BDD!H616:AR616,8)*'ButsMPG + Var'!$K$20+COUNTIF(BDD!H616:AR616,7)*'ButsMPG + Var'!$K$19+COUNTIF(BDD!H616:AR616,6)*'ButsMPG + Var'!$K$18+COUNTIF(BDD!H616:AR616,5)*'ButsMPG + Var'!$K$17+COUNTIF(BDD!H616:AR616,4)*'ButsMPG + Var'!$K$16+COUNTIF(BDD!H616:AR616,3)*'ButsMPG + Var'!$K$15+COUNTIF(BDD!H616:AR616,2)*'ButsMPG + Var'!$K$14+COUNTIF(BDD!H616:AR616,1)*'ButsMPG + Var'!$K$13,IF(C613="D",COUNTIF(BDD!H616:AR616,10)*'ButsMPG + Var'!$K$32+COUNTIF(BDD!H616:AR616,9)*'ButsMPG + Var'!$K$31+COUNTIF(BDD!H616:AR616,8)*'ButsMPG + Var'!$K$30+COUNTIF(BDD!H616:AR616,7)*'ButsMPG + Var'!$K$29+COUNTIF(BDD!H616:AR616,6)*'ButsMPG + Var'!$K$28+COUNTIF(BDD!H616:AR616,5)*'ButsMPG + Var'!$K$27+COUNTIF(BDD!H616:AR616,4)*'ButsMPG + Var'!$K$26+COUNTIF(BDD!H616:AR616,3)*'ButsMPG + Var'!$K$25+COUNTIF(BDD!H616:AR616,2)*'ButsMPG + Var'!$K$24+COUNTIF(BDD!H616:AR616,1)*'ButsMPG + Var'!$K$23,0)))</f>
        <v>0</v>
      </c>
      <c r="H613" s="25">
        <f t="shared" si="10"/>
        <v>0</v>
      </c>
      <c r="I613" s="25">
        <f>BDD!G616</f>
        <v>0</v>
      </c>
      <c r="J613" s="25">
        <f>SUMPRODUCT(BDD!H616:AS616,'ButsMPG + Var'!$B$46:$AM$46)</f>
        <v>0</v>
      </c>
      <c r="K613" s="25" t="e">
        <f>10*('ButsMPG + Var'!$H$37*J613/MAX(J:J)+'ButsMPG + Var'!$G$37*H613/MAX(H:H))</f>
        <v>#DIV/0!</v>
      </c>
      <c r="L613" s="1">
        <f>IF(ISNA(VLOOKUP(B613,PrixMini!$B$3:$E$573,4,FALSE)),1,VLOOKUP(B613,PrixMini!$B$3:$E$573,4,FALSE))</f>
        <v>1</v>
      </c>
      <c r="M613" s="25" t="e">
        <f>IF(ROUND(CalculCotation!$D$3*EXP(CalculCotation!$C$3*K613)-CalculCotation!$D$3+1,0)&gt;L613,ROUND(CalculCotation!$D$3*EXP(CalculCotation!$C$3*K613)-CalculCotation!$D$3+1,0),L613)</f>
        <v>#DIV/0!</v>
      </c>
    </row>
    <row r="614" spans="2:13" x14ac:dyDescent="0.3">
      <c r="B614" s="1">
        <f>BDD!C617</f>
        <v>0</v>
      </c>
      <c r="C614" s="1">
        <f>BDD!B617</f>
        <v>0</v>
      </c>
      <c r="D614" s="1">
        <f>BDD!A617</f>
        <v>0</v>
      </c>
      <c r="E614" s="1">
        <f>BDD!D617</f>
        <v>0</v>
      </c>
      <c r="F614" s="1">
        <f>BDD!F617</f>
        <v>0</v>
      </c>
      <c r="G614" s="25">
        <f>'ButsMPG + Var'!$I$39*IF(C614="A",COUNTIF(BDD!H617:AR617,10)*'ButsMPG + Var'!$K$12+COUNTIF(BDD!H617:AR617,9)*'ButsMPG + Var'!$K$11+COUNTIF(BDD!H617:AR617,8)*'ButsMPG + Var'!$K$10+COUNTIF(BDD!H617:AR617,7)*'ButsMPG + Var'!$K$9+COUNTIF(BDD!H617:AR617,6)*'ButsMPG + Var'!$K$8+COUNTIF(BDD!H617:AR617,5)*'ButsMPG + Var'!$K$7+COUNTIF(BDD!H617:AR617,4)*'ButsMPG + Var'!$K$6+COUNTIF(BDD!H617:AR617,3)*'ButsMPG + Var'!$K$5+COUNTIF(BDD!H617:AR617,2)*'ButsMPG + Var'!$K$4+COUNTIF(BDD!H617:AR617,1)*'ButsMPG + Var'!$K$3,IF(C614="M",COUNTIF(BDD!H617:AR617,10)*'ButsMPG + Var'!$K$22+COUNTIF(BDD!H617:AR617,9)*'ButsMPG + Var'!$K$21+COUNTIF(BDD!H617:AR617,8)*'ButsMPG + Var'!$K$20+COUNTIF(BDD!H617:AR617,7)*'ButsMPG + Var'!$K$19+COUNTIF(BDD!H617:AR617,6)*'ButsMPG + Var'!$K$18+COUNTIF(BDD!H617:AR617,5)*'ButsMPG + Var'!$K$17+COUNTIF(BDD!H617:AR617,4)*'ButsMPG + Var'!$K$16+COUNTIF(BDD!H617:AR617,3)*'ButsMPG + Var'!$K$15+COUNTIF(BDD!H617:AR617,2)*'ButsMPG + Var'!$K$14+COUNTIF(BDD!H617:AR617,1)*'ButsMPG + Var'!$K$13,IF(C614="D",COUNTIF(BDD!H617:AR617,10)*'ButsMPG + Var'!$K$32+COUNTIF(BDD!H617:AR617,9)*'ButsMPG + Var'!$K$31+COUNTIF(BDD!H617:AR617,8)*'ButsMPG + Var'!$K$30+COUNTIF(BDD!H617:AR617,7)*'ButsMPG + Var'!$K$29+COUNTIF(BDD!H617:AR617,6)*'ButsMPG + Var'!$K$28+COUNTIF(BDD!H617:AR617,5)*'ButsMPG + Var'!$K$27+COUNTIF(BDD!H617:AR617,4)*'ButsMPG + Var'!$K$26+COUNTIF(BDD!H617:AR617,3)*'ButsMPG + Var'!$K$25+COUNTIF(BDD!H617:AR617,2)*'ButsMPG + Var'!$K$24+COUNTIF(BDD!H617:AR617,1)*'ButsMPG + Var'!$K$23,0)))</f>
        <v>0</v>
      </c>
      <c r="H614" s="25">
        <f t="shared" si="10"/>
        <v>0</v>
      </c>
      <c r="I614" s="25">
        <f>BDD!G617</f>
        <v>0</v>
      </c>
      <c r="J614" s="25">
        <f>SUMPRODUCT(BDD!H617:AS617,'ButsMPG + Var'!$B$46:$AM$46)</f>
        <v>0</v>
      </c>
      <c r="K614" s="25" t="e">
        <f>10*('ButsMPG + Var'!$H$37*J614/MAX(J:J)+'ButsMPG + Var'!$G$37*H614/MAX(H:H))</f>
        <v>#DIV/0!</v>
      </c>
      <c r="L614" s="1">
        <f>IF(ISNA(VLOOKUP(B614,PrixMini!$B$3:$E$573,4,FALSE)),1,VLOOKUP(B614,PrixMini!$B$3:$E$573,4,FALSE))</f>
        <v>1</v>
      </c>
      <c r="M614" s="25" t="e">
        <f>IF(ROUND(CalculCotation!$D$3*EXP(CalculCotation!$C$3*K614)-CalculCotation!$D$3+1,0)&gt;L614,ROUND(CalculCotation!$D$3*EXP(CalculCotation!$C$3*K614)-CalculCotation!$D$3+1,0),L614)</f>
        <v>#DIV/0!</v>
      </c>
    </row>
    <row r="615" spans="2:13" x14ac:dyDescent="0.3">
      <c r="B615" s="1">
        <f>BDD!C618</f>
        <v>0</v>
      </c>
      <c r="C615" s="1">
        <f>BDD!B618</f>
        <v>0</v>
      </c>
      <c r="D615" s="1">
        <f>BDD!A618</f>
        <v>0</v>
      </c>
      <c r="E615" s="1">
        <f>BDD!D618</f>
        <v>0</v>
      </c>
      <c r="F615" s="1">
        <f>BDD!F618</f>
        <v>0</v>
      </c>
      <c r="G615" s="25">
        <f>'ButsMPG + Var'!$I$39*IF(C615="A",COUNTIF(BDD!H618:AR618,10)*'ButsMPG + Var'!$K$12+COUNTIF(BDD!H618:AR618,9)*'ButsMPG + Var'!$K$11+COUNTIF(BDD!H618:AR618,8)*'ButsMPG + Var'!$K$10+COUNTIF(BDD!H618:AR618,7)*'ButsMPG + Var'!$K$9+COUNTIF(BDD!H618:AR618,6)*'ButsMPG + Var'!$K$8+COUNTIF(BDD!H618:AR618,5)*'ButsMPG + Var'!$K$7+COUNTIF(BDD!H618:AR618,4)*'ButsMPG + Var'!$K$6+COUNTIF(BDD!H618:AR618,3)*'ButsMPG + Var'!$K$5+COUNTIF(BDD!H618:AR618,2)*'ButsMPG + Var'!$K$4+COUNTIF(BDD!H618:AR618,1)*'ButsMPG + Var'!$K$3,IF(C615="M",COUNTIF(BDD!H618:AR618,10)*'ButsMPG + Var'!$K$22+COUNTIF(BDD!H618:AR618,9)*'ButsMPG + Var'!$K$21+COUNTIF(BDD!H618:AR618,8)*'ButsMPG + Var'!$K$20+COUNTIF(BDD!H618:AR618,7)*'ButsMPG + Var'!$K$19+COUNTIF(BDD!H618:AR618,6)*'ButsMPG + Var'!$K$18+COUNTIF(BDD!H618:AR618,5)*'ButsMPG + Var'!$K$17+COUNTIF(BDD!H618:AR618,4)*'ButsMPG + Var'!$K$16+COUNTIF(BDD!H618:AR618,3)*'ButsMPG + Var'!$K$15+COUNTIF(BDD!H618:AR618,2)*'ButsMPG + Var'!$K$14+COUNTIF(BDD!H618:AR618,1)*'ButsMPG + Var'!$K$13,IF(C615="D",COUNTIF(BDD!H618:AR618,10)*'ButsMPG + Var'!$K$32+COUNTIF(BDD!H618:AR618,9)*'ButsMPG + Var'!$K$31+COUNTIF(BDD!H618:AR618,8)*'ButsMPG + Var'!$K$30+COUNTIF(BDD!H618:AR618,7)*'ButsMPG + Var'!$K$29+COUNTIF(BDD!H618:AR618,6)*'ButsMPG + Var'!$K$28+COUNTIF(BDD!H618:AR618,5)*'ButsMPG + Var'!$K$27+COUNTIF(BDD!H618:AR618,4)*'ButsMPG + Var'!$K$26+COUNTIF(BDD!H618:AR618,3)*'ButsMPG + Var'!$K$25+COUNTIF(BDD!H618:AR618,2)*'ButsMPG + Var'!$K$24+COUNTIF(BDD!H618:AR618,1)*'ButsMPG + Var'!$K$23,0)))</f>
        <v>0</v>
      </c>
      <c r="H615" s="25">
        <f t="shared" si="10"/>
        <v>0</v>
      </c>
      <c r="I615" s="25">
        <f>BDD!G618</f>
        <v>0</v>
      </c>
      <c r="J615" s="25">
        <f>SUMPRODUCT(BDD!H618:AS618,'ButsMPG + Var'!$B$46:$AM$46)</f>
        <v>0</v>
      </c>
      <c r="K615" s="25" t="e">
        <f>10*('ButsMPG + Var'!$H$37*J615/MAX(J:J)+'ButsMPG + Var'!$G$37*H615/MAX(H:H))</f>
        <v>#DIV/0!</v>
      </c>
      <c r="L615" s="1">
        <f>IF(ISNA(VLOOKUP(B615,PrixMini!$B$3:$E$573,4,FALSE)),1,VLOOKUP(B615,PrixMini!$B$3:$E$573,4,FALSE))</f>
        <v>1</v>
      </c>
      <c r="M615" s="25" t="e">
        <f>IF(ROUND(CalculCotation!$D$3*EXP(CalculCotation!$C$3*K615)-CalculCotation!$D$3+1,0)&gt;L615,ROUND(CalculCotation!$D$3*EXP(CalculCotation!$C$3*K615)-CalculCotation!$D$3+1,0),L615)</f>
        <v>#DIV/0!</v>
      </c>
    </row>
    <row r="616" spans="2:13" x14ac:dyDescent="0.3">
      <c r="B616" s="1">
        <f>BDD!C619</f>
        <v>0</v>
      </c>
      <c r="C616" s="1">
        <f>BDD!B619</f>
        <v>0</v>
      </c>
      <c r="D616" s="1">
        <f>BDD!A619</f>
        <v>0</v>
      </c>
      <c r="E616" s="1">
        <f>BDD!D619</f>
        <v>0</v>
      </c>
      <c r="F616" s="1">
        <f>BDD!F619</f>
        <v>0</v>
      </c>
      <c r="G616" s="25">
        <f>'ButsMPG + Var'!$I$39*IF(C616="A",COUNTIF(BDD!H619:AR619,10)*'ButsMPG + Var'!$K$12+COUNTIF(BDD!H619:AR619,9)*'ButsMPG + Var'!$K$11+COUNTIF(BDD!H619:AR619,8)*'ButsMPG + Var'!$K$10+COUNTIF(BDD!H619:AR619,7)*'ButsMPG + Var'!$K$9+COUNTIF(BDD!H619:AR619,6)*'ButsMPG + Var'!$K$8+COUNTIF(BDD!H619:AR619,5)*'ButsMPG + Var'!$K$7+COUNTIF(BDD!H619:AR619,4)*'ButsMPG + Var'!$K$6+COUNTIF(BDD!H619:AR619,3)*'ButsMPG + Var'!$K$5+COUNTIF(BDD!H619:AR619,2)*'ButsMPG + Var'!$K$4+COUNTIF(BDD!H619:AR619,1)*'ButsMPG + Var'!$K$3,IF(C616="M",COUNTIF(BDD!H619:AR619,10)*'ButsMPG + Var'!$K$22+COUNTIF(BDD!H619:AR619,9)*'ButsMPG + Var'!$K$21+COUNTIF(BDD!H619:AR619,8)*'ButsMPG + Var'!$K$20+COUNTIF(BDD!H619:AR619,7)*'ButsMPG + Var'!$K$19+COUNTIF(BDD!H619:AR619,6)*'ButsMPG + Var'!$K$18+COUNTIF(BDD!H619:AR619,5)*'ButsMPG + Var'!$K$17+COUNTIF(BDD!H619:AR619,4)*'ButsMPG + Var'!$K$16+COUNTIF(BDD!H619:AR619,3)*'ButsMPG + Var'!$K$15+COUNTIF(BDD!H619:AR619,2)*'ButsMPG + Var'!$K$14+COUNTIF(BDD!H619:AR619,1)*'ButsMPG + Var'!$K$13,IF(C616="D",COUNTIF(BDD!H619:AR619,10)*'ButsMPG + Var'!$K$32+COUNTIF(BDD!H619:AR619,9)*'ButsMPG + Var'!$K$31+COUNTIF(BDD!H619:AR619,8)*'ButsMPG + Var'!$K$30+COUNTIF(BDD!H619:AR619,7)*'ButsMPG + Var'!$K$29+COUNTIF(BDD!H619:AR619,6)*'ButsMPG + Var'!$K$28+COUNTIF(BDD!H619:AR619,5)*'ButsMPG + Var'!$K$27+COUNTIF(BDD!H619:AR619,4)*'ButsMPG + Var'!$K$26+COUNTIF(BDD!H619:AR619,3)*'ButsMPG + Var'!$K$25+COUNTIF(BDD!H619:AR619,2)*'ButsMPG + Var'!$K$24+COUNTIF(BDD!H619:AR619,1)*'ButsMPG + Var'!$K$23,0)))</f>
        <v>0</v>
      </c>
      <c r="H616" s="25">
        <f t="shared" si="10"/>
        <v>0</v>
      </c>
      <c r="I616" s="25">
        <f>BDD!G619</f>
        <v>0</v>
      </c>
      <c r="J616" s="25">
        <f>SUMPRODUCT(BDD!H619:AS619,'ButsMPG + Var'!$B$46:$AM$46)</f>
        <v>0</v>
      </c>
      <c r="K616" s="25" t="e">
        <f>10*('ButsMPG + Var'!$H$37*J616/MAX(J:J)+'ButsMPG + Var'!$G$37*H616/MAX(H:H))</f>
        <v>#DIV/0!</v>
      </c>
      <c r="L616" s="1">
        <f>IF(ISNA(VLOOKUP(B616,PrixMini!$B$3:$E$573,4,FALSE)),1,VLOOKUP(B616,PrixMini!$B$3:$E$573,4,FALSE))</f>
        <v>1</v>
      </c>
      <c r="M616" s="25" t="e">
        <f>IF(ROUND(CalculCotation!$D$3*EXP(CalculCotation!$C$3*K616)-CalculCotation!$D$3+1,0)&gt;L616,ROUND(CalculCotation!$D$3*EXP(CalculCotation!$C$3*K616)-CalculCotation!$D$3+1,0),L616)</f>
        <v>#DIV/0!</v>
      </c>
    </row>
    <row r="617" spans="2:13" x14ac:dyDescent="0.3">
      <c r="B617" s="1">
        <f>BDD!C620</f>
        <v>0</v>
      </c>
      <c r="C617" s="1">
        <f>BDD!B620</f>
        <v>0</v>
      </c>
      <c r="D617" s="1">
        <f>BDD!A620</f>
        <v>0</v>
      </c>
      <c r="E617" s="1">
        <f>BDD!D620</f>
        <v>0</v>
      </c>
      <c r="F617" s="1">
        <f>BDD!F620</f>
        <v>0</v>
      </c>
      <c r="G617" s="25">
        <f>'ButsMPG + Var'!$I$39*IF(C617="A",COUNTIF(BDD!H620:AR620,10)*'ButsMPG + Var'!$K$12+COUNTIF(BDD!H620:AR620,9)*'ButsMPG + Var'!$K$11+COUNTIF(BDD!H620:AR620,8)*'ButsMPG + Var'!$K$10+COUNTIF(BDD!H620:AR620,7)*'ButsMPG + Var'!$K$9+COUNTIF(BDD!H620:AR620,6)*'ButsMPG + Var'!$K$8+COUNTIF(BDD!H620:AR620,5)*'ButsMPG + Var'!$K$7+COUNTIF(BDD!H620:AR620,4)*'ButsMPG + Var'!$K$6+COUNTIF(BDD!H620:AR620,3)*'ButsMPG + Var'!$K$5+COUNTIF(BDD!H620:AR620,2)*'ButsMPG + Var'!$K$4+COUNTIF(BDD!H620:AR620,1)*'ButsMPG + Var'!$K$3,IF(C617="M",COUNTIF(BDD!H620:AR620,10)*'ButsMPG + Var'!$K$22+COUNTIF(BDD!H620:AR620,9)*'ButsMPG + Var'!$K$21+COUNTIF(BDD!H620:AR620,8)*'ButsMPG + Var'!$K$20+COUNTIF(BDD!H620:AR620,7)*'ButsMPG + Var'!$K$19+COUNTIF(BDD!H620:AR620,6)*'ButsMPG + Var'!$K$18+COUNTIF(BDD!H620:AR620,5)*'ButsMPG + Var'!$K$17+COUNTIF(BDD!H620:AR620,4)*'ButsMPG + Var'!$K$16+COUNTIF(BDD!H620:AR620,3)*'ButsMPG + Var'!$K$15+COUNTIF(BDD!H620:AR620,2)*'ButsMPG + Var'!$K$14+COUNTIF(BDD!H620:AR620,1)*'ButsMPG + Var'!$K$13,IF(C617="D",COUNTIF(BDD!H620:AR620,10)*'ButsMPG + Var'!$K$32+COUNTIF(BDD!H620:AR620,9)*'ButsMPG + Var'!$K$31+COUNTIF(BDD!H620:AR620,8)*'ButsMPG + Var'!$K$30+COUNTIF(BDD!H620:AR620,7)*'ButsMPG + Var'!$K$29+COUNTIF(BDD!H620:AR620,6)*'ButsMPG + Var'!$K$28+COUNTIF(BDD!H620:AR620,5)*'ButsMPG + Var'!$K$27+COUNTIF(BDD!H620:AR620,4)*'ButsMPG + Var'!$K$26+COUNTIF(BDD!H620:AR620,3)*'ButsMPG + Var'!$K$25+COUNTIF(BDD!H620:AR620,2)*'ButsMPG + Var'!$K$24+COUNTIF(BDD!H620:AR620,1)*'ButsMPG + Var'!$K$23,0)))</f>
        <v>0</v>
      </c>
      <c r="H617" s="25">
        <f t="shared" si="10"/>
        <v>0</v>
      </c>
      <c r="I617" s="25">
        <f>BDD!G620</f>
        <v>0</v>
      </c>
      <c r="J617" s="25">
        <f>SUMPRODUCT(BDD!H620:AS620,'ButsMPG + Var'!$B$46:$AM$46)</f>
        <v>0</v>
      </c>
      <c r="K617" s="25" t="e">
        <f>10*('ButsMPG + Var'!$H$37*J617/MAX(J:J)+'ButsMPG + Var'!$G$37*H617/MAX(H:H))</f>
        <v>#DIV/0!</v>
      </c>
      <c r="L617" s="1">
        <f>IF(ISNA(VLOOKUP(B617,PrixMini!$B$3:$E$573,4,FALSE)),1,VLOOKUP(B617,PrixMini!$B$3:$E$573,4,FALSE))</f>
        <v>1</v>
      </c>
      <c r="M617" s="25" t="e">
        <f>IF(ROUND(CalculCotation!$D$3*EXP(CalculCotation!$C$3*K617)-CalculCotation!$D$3+1,0)&gt;L617,ROUND(CalculCotation!$D$3*EXP(CalculCotation!$C$3*K617)-CalculCotation!$D$3+1,0),L617)</f>
        <v>#DIV/0!</v>
      </c>
    </row>
    <row r="618" spans="2:13" x14ac:dyDescent="0.3">
      <c r="B618" s="1">
        <f>BDD!C621</f>
        <v>0</v>
      </c>
      <c r="C618" s="1">
        <f>BDD!B621</f>
        <v>0</v>
      </c>
      <c r="D618" s="1">
        <f>BDD!A621</f>
        <v>0</v>
      </c>
      <c r="E618" s="1">
        <f>BDD!D621</f>
        <v>0</v>
      </c>
      <c r="F618" s="1">
        <f>BDD!F621</f>
        <v>0</v>
      </c>
      <c r="G618" s="25">
        <f>'ButsMPG + Var'!$I$39*IF(C618="A",COUNTIF(BDD!H621:AR621,10)*'ButsMPG + Var'!$K$12+COUNTIF(BDD!H621:AR621,9)*'ButsMPG + Var'!$K$11+COUNTIF(BDD!H621:AR621,8)*'ButsMPG + Var'!$K$10+COUNTIF(BDD!H621:AR621,7)*'ButsMPG + Var'!$K$9+COUNTIF(BDD!H621:AR621,6)*'ButsMPG + Var'!$K$8+COUNTIF(BDD!H621:AR621,5)*'ButsMPG + Var'!$K$7+COUNTIF(BDD!H621:AR621,4)*'ButsMPG + Var'!$K$6+COUNTIF(BDD!H621:AR621,3)*'ButsMPG + Var'!$K$5+COUNTIF(BDD!H621:AR621,2)*'ButsMPG + Var'!$K$4+COUNTIF(BDD!H621:AR621,1)*'ButsMPG + Var'!$K$3,IF(C618="M",COUNTIF(BDD!H621:AR621,10)*'ButsMPG + Var'!$K$22+COUNTIF(BDD!H621:AR621,9)*'ButsMPG + Var'!$K$21+COUNTIF(BDD!H621:AR621,8)*'ButsMPG + Var'!$K$20+COUNTIF(BDD!H621:AR621,7)*'ButsMPG + Var'!$K$19+COUNTIF(BDD!H621:AR621,6)*'ButsMPG + Var'!$K$18+COUNTIF(BDD!H621:AR621,5)*'ButsMPG + Var'!$K$17+COUNTIF(BDD!H621:AR621,4)*'ButsMPG + Var'!$K$16+COUNTIF(BDD!H621:AR621,3)*'ButsMPG + Var'!$K$15+COUNTIF(BDD!H621:AR621,2)*'ButsMPG + Var'!$K$14+COUNTIF(BDD!H621:AR621,1)*'ButsMPG + Var'!$K$13,IF(C618="D",COUNTIF(BDD!H621:AR621,10)*'ButsMPG + Var'!$K$32+COUNTIF(BDD!H621:AR621,9)*'ButsMPG + Var'!$K$31+COUNTIF(BDD!H621:AR621,8)*'ButsMPG + Var'!$K$30+COUNTIF(BDD!H621:AR621,7)*'ButsMPG + Var'!$K$29+COUNTIF(BDD!H621:AR621,6)*'ButsMPG + Var'!$K$28+COUNTIF(BDD!H621:AR621,5)*'ButsMPG + Var'!$K$27+COUNTIF(BDD!H621:AR621,4)*'ButsMPG + Var'!$K$26+COUNTIF(BDD!H621:AR621,3)*'ButsMPG + Var'!$K$25+COUNTIF(BDD!H621:AR621,2)*'ButsMPG + Var'!$K$24+COUNTIF(BDD!H621:AR621,1)*'ButsMPG + Var'!$K$23,0)))</f>
        <v>0</v>
      </c>
      <c r="H618" s="25">
        <f t="shared" si="10"/>
        <v>0</v>
      </c>
      <c r="I618" s="25">
        <f>BDD!G621</f>
        <v>0</v>
      </c>
      <c r="J618" s="25">
        <f>SUMPRODUCT(BDD!H621:AS621,'ButsMPG + Var'!$B$46:$AM$46)</f>
        <v>0</v>
      </c>
      <c r="K618" s="25" t="e">
        <f>10*('ButsMPG + Var'!$H$37*J618/MAX(J:J)+'ButsMPG + Var'!$G$37*H618/MAX(H:H))</f>
        <v>#DIV/0!</v>
      </c>
      <c r="L618" s="1">
        <f>IF(ISNA(VLOOKUP(B618,PrixMini!$B$3:$E$573,4,FALSE)),1,VLOOKUP(B618,PrixMini!$B$3:$E$573,4,FALSE))</f>
        <v>1</v>
      </c>
      <c r="M618" s="25" t="e">
        <f>IF(ROUND(CalculCotation!$D$3*EXP(CalculCotation!$C$3*K618)-CalculCotation!$D$3+1,0)&gt;L618,ROUND(CalculCotation!$D$3*EXP(CalculCotation!$C$3*K618)-CalculCotation!$D$3+1,0),L618)</f>
        <v>#DIV/0!</v>
      </c>
    </row>
    <row r="619" spans="2:13" x14ac:dyDescent="0.3">
      <c r="B619" s="1">
        <f>BDD!C622</f>
        <v>0</v>
      </c>
      <c r="C619" s="1">
        <f>BDD!B622</f>
        <v>0</v>
      </c>
      <c r="D619" s="1">
        <f>BDD!A622</f>
        <v>0</v>
      </c>
      <c r="E619" s="1">
        <f>BDD!D622</f>
        <v>0</v>
      </c>
      <c r="F619" s="1">
        <f>BDD!F622</f>
        <v>0</v>
      </c>
      <c r="G619" s="25">
        <f>'ButsMPG + Var'!$I$39*IF(C619="A",COUNTIF(BDD!H622:AR622,10)*'ButsMPG + Var'!$K$12+COUNTIF(BDD!H622:AR622,9)*'ButsMPG + Var'!$K$11+COUNTIF(BDD!H622:AR622,8)*'ButsMPG + Var'!$K$10+COUNTIF(BDD!H622:AR622,7)*'ButsMPG + Var'!$K$9+COUNTIF(BDD!H622:AR622,6)*'ButsMPG + Var'!$K$8+COUNTIF(BDD!H622:AR622,5)*'ButsMPG + Var'!$K$7+COUNTIF(BDD!H622:AR622,4)*'ButsMPG + Var'!$K$6+COUNTIF(BDD!H622:AR622,3)*'ButsMPG + Var'!$K$5+COUNTIF(BDD!H622:AR622,2)*'ButsMPG + Var'!$K$4+COUNTIF(BDD!H622:AR622,1)*'ButsMPG + Var'!$K$3,IF(C619="M",COUNTIF(BDD!H622:AR622,10)*'ButsMPG + Var'!$K$22+COUNTIF(BDD!H622:AR622,9)*'ButsMPG + Var'!$K$21+COUNTIF(BDD!H622:AR622,8)*'ButsMPG + Var'!$K$20+COUNTIF(BDD!H622:AR622,7)*'ButsMPG + Var'!$K$19+COUNTIF(BDD!H622:AR622,6)*'ButsMPG + Var'!$K$18+COUNTIF(BDD!H622:AR622,5)*'ButsMPG + Var'!$K$17+COUNTIF(BDD!H622:AR622,4)*'ButsMPG + Var'!$K$16+COUNTIF(BDD!H622:AR622,3)*'ButsMPG + Var'!$K$15+COUNTIF(BDD!H622:AR622,2)*'ButsMPG + Var'!$K$14+COUNTIF(BDD!H622:AR622,1)*'ButsMPG + Var'!$K$13,IF(C619="D",COUNTIF(BDD!H622:AR622,10)*'ButsMPG + Var'!$K$32+COUNTIF(BDD!H622:AR622,9)*'ButsMPG + Var'!$K$31+COUNTIF(BDD!H622:AR622,8)*'ButsMPG + Var'!$K$30+COUNTIF(BDD!H622:AR622,7)*'ButsMPG + Var'!$K$29+COUNTIF(BDD!H622:AR622,6)*'ButsMPG + Var'!$K$28+COUNTIF(BDD!H622:AR622,5)*'ButsMPG + Var'!$K$27+COUNTIF(BDD!H622:AR622,4)*'ButsMPG + Var'!$K$26+COUNTIF(BDD!H622:AR622,3)*'ButsMPG + Var'!$K$25+COUNTIF(BDD!H622:AR622,2)*'ButsMPG + Var'!$K$24+COUNTIF(BDD!H622:AR622,1)*'ButsMPG + Var'!$K$23,0)))</f>
        <v>0</v>
      </c>
      <c r="H619" s="25">
        <f t="shared" si="10"/>
        <v>0</v>
      </c>
      <c r="I619" s="25">
        <f>BDD!G622</f>
        <v>0</v>
      </c>
      <c r="J619" s="25">
        <f>SUMPRODUCT(BDD!H622:AS622,'ButsMPG + Var'!$B$46:$AM$46)</f>
        <v>0</v>
      </c>
      <c r="K619" s="25" t="e">
        <f>10*('ButsMPG + Var'!$H$37*J619/MAX(J:J)+'ButsMPG + Var'!$G$37*H619/MAX(H:H))</f>
        <v>#DIV/0!</v>
      </c>
      <c r="L619" s="1">
        <f>IF(ISNA(VLOOKUP(B619,PrixMini!$B$3:$E$573,4,FALSE)),1,VLOOKUP(B619,PrixMini!$B$3:$E$573,4,FALSE))</f>
        <v>1</v>
      </c>
      <c r="M619" s="25" t="e">
        <f>IF(ROUND(CalculCotation!$D$3*EXP(CalculCotation!$C$3*K619)-CalculCotation!$D$3+1,0)&gt;L619,ROUND(CalculCotation!$D$3*EXP(CalculCotation!$C$3*K619)-CalculCotation!$D$3+1,0),L619)</f>
        <v>#DIV/0!</v>
      </c>
    </row>
    <row r="620" spans="2:13" x14ac:dyDescent="0.3">
      <c r="B620" s="1">
        <f>BDD!C623</f>
        <v>0</v>
      </c>
      <c r="C620" s="1">
        <f>BDD!B623</f>
        <v>0</v>
      </c>
      <c r="D620" s="1">
        <f>BDD!A623</f>
        <v>0</v>
      </c>
      <c r="E620" s="1">
        <f>BDD!D623</f>
        <v>0</v>
      </c>
      <c r="F620" s="1">
        <f>BDD!F623</f>
        <v>0</v>
      </c>
      <c r="G620" s="25">
        <f>'ButsMPG + Var'!$I$39*IF(C620="A",COUNTIF(BDD!H623:AR623,10)*'ButsMPG + Var'!$K$12+COUNTIF(BDD!H623:AR623,9)*'ButsMPG + Var'!$K$11+COUNTIF(BDD!H623:AR623,8)*'ButsMPG + Var'!$K$10+COUNTIF(BDD!H623:AR623,7)*'ButsMPG + Var'!$K$9+COUNTIF(BDD!H623:AR623,6)*'ButsMPG + Var'!$K$8+COUNTIF(BDD!H623:AR623,5)*'ButsMPG + Var'!$K$7+COUNTIF(BDD!H623:AR623,4)*'ButsMPG + Var'!$K$6+COUNTIF(BDD!H623:AR623,3)*'ButsMPG + Var'!$K$5+COUNTIF(BDD!H623:AR623,2)*'ButsMPG + Var'!$K$4+COUNTIF(BDD!H623:AR623,1)*'ButsMPG + Var'!$K$3,IF(C620="M",COUNTIF(BDD!H623:AR623,10)*'ButsMPG + Var'!$K$22+COUNTIF(BDD!H623:AR623,9)*'ButsMPG + Var'!$K$21+COUNTIF(BDD!H623:AR623,8)*'ButsMPG + Var'!$K$20+COUNTIF(BDD!H623:AR623,7)*'ButsMPG + Var'!$K$19+COUNTIF(BDD!H623:AR623,6)*'ButsMPG + Var'!$K$18+COUNTIF(BDD!H623:AR623,5)*'ButsMPG + Var'!$K$17+COUNTIF(BDD!H623:AR623,4)*'ButsMPG + Var'!$K$16+COUNTIF(BDD!H623:AR623,3)*'ButsMPG + Var'!$K$15+COUNTIF(BDD!H623:AR623,2)*'ButsMPG + Var'!$K$14+COUNTIF(BDD!H623:AR623,1)*'ButsMPG + Var'!$K$13,IF(C620="D",COUNTIF(BDD!H623:AR623,10)*'ButsMPG + Var'!$K$32+COUNTIF(BDD!H623:AR623,9)*'ButsMPG + Var'!$K$31+COUNTIF(BDD!H623:AR623,8)*'ButsMPG + Var'!$K$30+COUNTIF(BDD!H623:AR623,7)*'ButsMPG + Var'!$K$29+COUNTIF(BDD!H623:AR623,6)*'ButsMPG + Var'!$K$28+COUNTIF(BDD!H623:AR623,5)*'ButsMPG + Var'!$K$27+COUNTIF(BDD!H623:AR623,4)*'ButsMPG + Var'!$K$26+COUNTIF(BDD!H623:AR623,3)*'ButsMPG + Var'!$K$25+COUNTIF(BDD!H623:AR623,2)*'ButsMPG + Var'!$K$24+COUNTIF(BDD!H623:AR623,1)*'ButsMPG + Var'!$K$23,0)))</f>
        <v>0</v>
      </c>
      <c r="H620" s="25">
        <f t="shared" si="10"/>
        <v>0</v>
      </c>
      <c r="I620" s="25">
        <f>BDD!G623</f>
        <v>0</v>
      </c>
      <c r="J620" s="25">
        <f>SUMPRODUCT(BDD!H623:AS623,'ButsMPG + Var'!$B$46:$AM$46)</f>
        <v>0</v>
      </c>
      <c r="K620" s="25" t="e">
        <f>10*('ButsMPG + Var'!$H$37*J620/MAX(J:J)+'ButsMPG + Var'!$G$37*H620/MAX(H:H))</f>
        <v>#DIV/0!</v>
      </c>
      <c r="L620" s="1">
        <f>IF(ISNA(VLOOKUP(B620,PrixMini!$B$3:$E$573,4,FALSE)),1,VLOOKUP(B620,PrixMini!$B$3:$E$573,4,FALSE))</f>
        <v>1</v>
      </c>
      <c r="M620" s="25" t="e">
        <f>IF(ROUND(CalculCotation!$D$3*EXP(CalculCotation!$C$3*K620)-CalculCotation!$D$3+1,0)&gt;L620,ROUND(CalculCotation!$D$3*EXP(CalculCotation!$C$3*K620)-CalculCotation!$D$3+1,0),L620)</f>
        <v>#DIV/0!</v>
      </c>
    </row>
    <row r="621" spans="2:13" x14ac:dyDescent="0.3">
      <c r="B621" s="1">
        <f>BDD!C624</f>
        <v>0</v>
      </c>
      <c r="C621" s="1">
        <f>BDD!B624</f>
        <v>0</v>
      </c>
      <c r="D621" s="1">
        <f>BDD!A624</f>
        <v>0</v>
      </c>
      <c r="E621" s="1">
        <f>BDD!D624</f>
        <v>0</v>
      </c>
      <c r="F621" s="1">
        <f>BDD!F624</f>
        <v>0</v>
      </c>
      <c r="G621" s="25">
        <f>'ButsMPG + Var'!$I$39*IF(C621="A",COUNTIF(BDD!H624:AR624,10)*'ButsMPG + Var'!$K$12+COUNTIF(BDD!H624:AR624,9)*'ButsMPG + Var'!$K$11+COUNTIF(BDD!H624:AR624,8)*'ButsMPG + Var'!$K$10+COUNTIF(BDD!H624:AR624,7)*'ButsMPG + Var'!$K$9+COUNTIF(BDD!H624:AR624,6)*'ButsMPG + Var'!$K$8+COUNTIF(BDD!H624:AR624,5)*'ButsMPG + Var'!$K$7+COUNTIF(BDD!H624:AR624,4)*'ButsMPG + Var'!$K$6+COUNTIF(BDD!H624:AR624,3)*'ButsMPG + Var'!$K$5+COUNTIF(BDD!H624:AR624,2)*'ButsMPG + Var'!$K$4+COUNTIF(BDD!H624:AR624,1)*'ButsMPG + Var'!$K$3,IF(C621="M",COUNTIF(BDD!H624:AR624,10)*'ButsMPG + Var'!$K$22+COUNTIF(BDD!H624:AR624,9)*'ButsMPG + Var'!$K$21+COUNTIF(BDD!H624:AR624,8)*'ButsMPG + Var'!$K$20+COUNTIF(BDD!H624:AR624,7)*'ButsMPG + Var'!$K$19+COUNTIF(BDD!H624:AR624,6)*'ButsMPG + Var'!$K$18+COUNTIF(BDD!H624:AR624,5)*'ButsMPG + Var'!$K$17+COUNTIF(BDD!H624:AR624,4)*'ButsMPG + Var'!$K$16+COUNTIF(BDD!H624:AR624,3)*'ButsMPG + Var'!$K$15+COUNTIF(BDD!H624:AR624,2)*'ButsMPG + Var'!$K$14+COUNTIF(BDD!H624:AR624,1)*'ButsMPG + Var'!$K$13,IF(C621="D",COUNTIF(BDD!H624:AR624,10)*'ButsMPG + Var'!$K$32+COUNTIF(BDD!H624:AR624,9)*'ButsMPG + Var'!$K$31+COUNTIF(BDD!H624:AR624,8)*'ButsMPG + Var'!$K$30+COUNTIF(BDD!H624:AR624,7)*'ButsMPG + Var'!$K$29+COUNTIF(BDD!H624:AR624,6)*'ButsMPG + Var'!$K$28+COUNTIF(BDD!H624:AR624,5)*'ButsMPG + Var'!$K$27+COUNTIF(BDD!H624:AR624,4)*'ButsMPG + Var'!$K$26+COUNTIF(BDD!H624:AR624,3)*'ButsMPG + Var'!$K$25+COUNTIF(BDD!H624:AR624,2)*'ButsMPG + Var'!$K$24+COUNTIF(BDD!H624:AR624,1)*'ButsMPG + Var'!$K$23,0)))</f>
        <v>0</v>
      </c>
      <c r="H621" s="25">
        <f t="shared" si="10"/>
        <v>0</v>
      </c>
      <c r="I621" s="25">
        <f>BDD!G624</f>
        <v>0</v>
      </c>
      <c r="J621" s="25">
        <f>SUMPRODUCT(BDD!H624:AS624,'ButsMPG + Var'!$B$46:$AM$46)</f>
        <v>0</v>
      </c>
      <c r="K621" s="25" t="e">
        <f>10*('ButsMPG + Var'!$H$37*J621/MAX(J:J)+'ButsMPG + Var'!$G$37*H621/MAX(H:H))</f>
        <v>#DIV/0!</v>
      </c>
      <c r="L621" s="1">
        <f>IF(ISNA(VLOOKUP(B621,PrixMini!$B$3:$E$573,4,FALSE)),1,VLOOKUP(B621,PrixMini!$B$3:$E$573,4,FALSE))</f>
        <v>1</v>
      </c>
      <c r="M621" s="25" t="e">
        <f>IF(ROUND(CalculCotation!$D$3*EXP(CalculCotation!$C$3*K621)-CalculCotation!$D$3+1,0)&gt;L621,ROUND(CalculCotation!$D$3*EXP(CalculCotation!$C$3*K621)-CalculCotation!$D$3+1,0),L621)</f>
        <v>#DIV/0!</v>
      </c>
    </row>
    <row r="622" spans="2:13" x14ac:dyDescent="0.3">
      <c r="B622" s="1">
        <f>BDD!C625</f>
        <v>0</v>
      </c>
      <c r="C622" s="1">
        <f>BDD!B625</f>
        <v>0</v>
      </c>
      <c r="D622" s="1">
        <f>BDD!A625</f>
        <v>0</v>
      </c>
      <c r="E622" s="1">
        <f>BDD!D625</f>
        <v>0</v>
      </c>
      <c r="F622" s="1">
        <f>BDD!F625</f>
        <v>0</v>
      </c>
      <c r="G622" s="25">
        <f>'ButsMPG + Var'!$I$39*IF(C622="A",COUNTIF(BDD!H625:AR625,10)*'ButsMPG + Var'!$K$12+COUNTIF(BDD!H625:AR625,9)*'ButsMPG + Var'!$K$11+COUNTIF(BDD!H625:AR625,8)*'ButsMPG + Var'!$K$10+COUNTIF(BDD!H625:AR625,7)*'ButsMPG + Var'!$K$9+COUNTIF(BDD!H625:AR625,6)*'ButsMPG + Var'!$K$8+COUNTIF(BDD!H625:AR625,5)*'ButsMPG + Var'!$K$7+COUNTIF(BDD!H625:AR625,4)*'ButsMPG + Var'!$K$6+COUNTIF(BDD!H625:AR625,3)*'ButsMPG + Var'!$K$5+COUNTIF(BDD!H625:AR625,2)*'ButsMPG + Var'!$K$4+COUNTIF(BDD!H625:AR625,1)*'ButsMPG + Var'!$K$3,IF(C622="M",COUNTIF(BDD!H625:AR625,10)*'ButsMPG + Var'!$K$22+COUNTIF(BDD!H625:AR625,9)*'ButsMPG + Var'!$K$21+COUNTIF(BDD!H625:AR625,8)*'ButsMPG + Var'!$K$20+COUNTIF(BDD!H625:AR625,7)*'ButsMPG + Var'!$K$19+COUNTIF(BDD!H625:AR625,6)*'ButsMPG + Var'!$K$18+COUNTIF(BDD!H625:AR625,5)*'ButsMPG + Var'!$K$17+COUNTIF(BDD!H625:AR625,4)*'ButsMPG + Var'!$K$16+COUNTIF(BDD!H625:AR625,3)*'ButsMPG + Var'!$K$15+COUNTIF(BDD!H625:AR625,2)*'ButsMPG + Var'!$K$14+COUNTIF(BDD!H625:AR625,1)*'ButsMPG + Var'!$K$13,IF(C622="D",COUNTIF(BDD!H625:AR625,10)*'ButsMPG + Var'!$K$32+COUNTIF(BDD!H625:AR625,9)*'ButsMPG + Var'!$K$31+COUNTIF(BDD!H625:AR625,8)*'ButsMPG + Var'!$K$30+COUNTIF(BDD!H625:AR625,7)*'ButsMPG + Var'!$K$29+COUNTIF(BDD!H625:AR625,6)*'ButsMPG + Var'!$K$28+COUNTIF(BDD!H625:AR625,5)*'ButsMPG + Var'!$K$27+COUNTIF(BDD!H625:AR625,4)*'ButsMPG + Var'!$K$26+COUNTIF(BDD!H625:AR625,3)*'ButsMPG + Var'!$K$25+COUNTIF(BDD!H625:AR625,2)*'ButsMPG + Var'!$K$24+COUNTIF(BDD!H625:AR625,1)*'ButsMPG + Var'!$K$23,0)))</f>
        <v>0</v>
      </c>
      <c r="H622" s="25">
        <f t="shared" si="10"/>
        <v>0</v>
      </c>
      <c r="I622" s="25">
        <f>BDD!G625</f>
        <v>0</v>
      </c>
      <c r="J622" s="25">
        <f>SUMPRODUCT(BDD!H625:AS625,'ButsMPG + Var'!$B$46:$AM$46)</f>
        <v>0</v>
      </c>
      <c r="K622" s="25" t="e">
        <f>10*('ButsMPG + Var'!$H$37*J622/MAX(J:J)+'ButsMPG + Var'!$G$37*H622/MAX(H:H))</f>
        <v>#DIV/0!</v>
      </c>
      <c r="L622" s="1">
        <f>IF(ISNA(VLOOKUP(B622,PrixMini!$B$3:$E$573,4,FALSE)),1,VLOOKUP(B622,PrixMini!$B$3:$E$573,4,FALSE))</f>
        <v>1</v>
      </c>
      <c r="M622" s="25" t="e">
        <f>IF(ROUND(CalculCotation!$D$3*EXP(CalculCotation!$C$3*K622)-CalculCotation!$D$3+1,0)&gt;L622,ROUND(CalculCotation!$D$3*EXP(CalculCotation!$C$3*K622)-CalculCotation!$D$3+1,0),L622)</f>
        <v>#DIV/0!</v>
      </c>
    </row>
    <row r="623" spans="2:13" x14ac:dyDescent="0.3">
      <c r="B623" s="1">
        <f>BDD!C626</f>
        <v>0</v>
      </c>
      <c r="C623" s="1">
        <f>BDD!B626</f>
        <v>0</v>
      </c>
      <c r="D623" s="1">
        <f>BDD!A626</f>
        <v>0</v>
      </c>
      <c r="E623" s="1">
        <f>BDD!D626</f>
        <v>0</v>
      </c>
      <c r="F623" s="1">
        <f>BDD!F626</f>
        <v>0</v>
      </c>
      <c r="G623" s="25">
        <f>'ButsMPG + Var'!$I$39*IF(C623="A",COUNTIF(BDD!H626:AR626,10)*'ButsMPG + Var'!$K$12+COUNTIF(BDD!H626:AR626,9)*'ButsMPG + Var'!$K$11+COUNTIF(BDD!H626:AR626,8)*'ButsMPG + Var'!$K$10+COUNTIF(BDD!H626:AR626,7)*'ButsMPG + Var'!$K$9+COUNTIF(BDD!H626:AR626,6)*'ButsMPG + Var'!$K$8+COUNTIF(BDD!H626:AR626,5)*'ButsMPG + Var'!$K$7+COUNTIF(BDD!H626:AR626,4)*'ButsMPG + Var'!$K$6+COUNTIF(BDD!H626:AR626,3)*'ButsMPG + Var'!$K$5+COUNTIF(BDD!H626:AR626,2)*'ButsMPG + Var'!$K$4+COUNTIF(BDD!H626:AR626,1)*'ButsMPG + Var'!$K$3,IF(C623="M",COUNTIF(BDD!H626:AR626,10)*'ButsMPG + Var'!$K$22+COUNTIF(BDD!H626:AR626,9)*'ButsMPG + Var'!$K$21+COUNTIF(BDD!H626:AR626,8)*'ButsMPG + Var'!$K$20+COUNTIF(BDD!H626:AR626,7)*'ButsMPG + Var'!$K$19+COUNTIF(BDD!H626:AR626,6)*'ButsMPG + Var'!$K$18+COUNTIF(BDD!H626:AR626,5)*'ButsMPG + Var'!$K$17+COUNTIF(BDD!H626:AR626,4)*'ButsMPG + Var'!$K$16+COUNTIF(BDD!H626:AR626,3)*'ButsMPG + Var'!$K$15+COUNTIF(BDD!H626:AR626,2)*'ButsMPG + Var'!$K$14+COUNTIF(BDD!H626:AR626,1)*'ButsMPG + Var'!$K$13,IF(C623="D",COUNTIF(BDD!H626:AR626,10)*'ButsMPG + Var'!$K$32+COUNTIF(BDD!H626:AR626,9)*'ButsMPG + Var'!$K$31+COUNTIF(BDD!H626:AR626,8)*'ButsMPG + Var'!$K$30+COUNTIF(BDD!H626:AR626,7)*'ButsMPG + Var'!$K$29+COUNTIF(BDD!H626:AR626,6)*'ButsMPG + Var'!$K$28+COUNTIF(BDD!H626:AR626,5)*'ButsMPG + Var'!$K$27+COUNTIF(BDD!H626:AR626,4)*'ButsMPG + Var'!$K$26+COUNTIF(BDD!H626:AR626,3)*'ButsMPG + Var'!$K$25+COUNTIF(BDD!H626:AR626,2)*'ButsMPG + Var'!$K$24+COUNTIF(BDD!H626:AR626,1)*'ButsMPG + Var'!$K$23,0)))</f>
        <v>0</v>
      </c>
      <c r="H623" s="25">
        <f t="shared" si="10"/>
        <v>0</v>
      </c>
      <c r="I623" s="25">
        <f>BDD!G626</f>
        <v>0</v>
      </c>
      <c r="J623" s="25">
        <f>SUMPRODUCT(BDD!H626:AS626,'ButsMPG + Var'!$B$46:$AM$46)</f>
        <v>0</v>
      </c>
      <c r="K623" s="25" t="e">
        <f>10*('ButsMPG + Var'!$H$37*J623/MAX(J:J)+'ButsMPG + Var'!$G$37*H623/MAX(H:H))</f>
        <v>#DIV/0!</v>
      </c>
      <c r="L623" s="1">
        <f>IF(ISNA(VLOOKUP(B623,PrixMini!$B$3:$E$573,4,FALSE)),1,VLOOKUP(B623,PrixMini!$B$3:$E$573,4,FALSE))</f>
        <v>1</v>
      </c>
      <c r="M623" s="25" t="e">
        <f>IF(ROUND(CalculCotation!$D$3*EXP(CalculCotation!$C$3*K623)-CalculCotation!$D$3+1,0)&gt;L623,ROUND(CalculCotation!$D$3*EXP(CalculCotation!$C$3*K623)-CalculCotation!$D$3+1,0),L623)</f>
        <v>#DIV/0!</v>
      </c>
    </row>
    <row r="624" spans="2:13" x14ac:dyDescent="0.3">
      <c r="B624" s="1">
        <f>BDD!C627</f>
        <v>0</v>
      </c>
      <c r="C624" s="1">
        <f>BDD!B627</f>
        <v>0</v>
      </c>
      <c r="D624" s="1">
        <f>BDD!A627</f>
        <v>0</v>
      </c>
      <c r="E624" s="1">
        <f>BDD!D627</f>
        <v>0</v>
      </c>
      <c r="F624" s="1">
        <f>BDD!F627</f>
        <v>0</v>
      </c>
      <c r="G624" s="25">
        <f>'ButsMPG + Var'!$I$39*IF(C624="A",COUNTIF(BDD!H627:AR627,10)*'ButsMPG + Var'!$K$12+COUNTIF(BDD!H627:AR627,9)*'ButsMPG + Var'!$K$11+COUNTIF(BDD!H627:AR627,8)*'ButsMPG + Var'!$K$10+COUNTIF(BDD!H627:AR627,7)*'ButsMPG + Var'!$K$9+COUNTIF(BDD!H627:AR627,6)*'ButsMPG + Var'!$K$8+COUNTIF(BDD!H627:AR627,5)*'ButsMPG + Var'!$K$7+COUNTIF(BDD!H627:AR627,4)*'ButsMPG + Var'!$K$6+COUNTIF(BDD!H627:AR627,3)*'ButsMPG + Var'!$K$5+COUNTIF(BDD!H627:AR627,2)*'ButsMPG + Var'!$K$4+COUNTIF(BDD!H627:AR627,1)*'ButsMPG + Var'!$K$3,IF(C624="M",COUNTIF(BDD!H627:AR627,10)*'ButsMPG + Var'!$K$22+COUNTIF(BDD!H627:AR627,9)*'ButsMPG + Var'!$K$21+COUNTIF(BDD!H627:AR627,8)*'ButsMPG + Var'!$K$20+COUNTIF(BDD!H627:AR627,7)*'ButsMPG + Var'!$K$19+COUNTIF(BDD!H627:AR627,6)*'ButsMPG + Var'!$K$18+COUNTIF(BDD!H627:AR627,5)*'ButsMPG + Var'!$K$17+COUNTIF(BDD!H627:AR627,4)*'ButsMPG + Var'!$K$16+COUNTIF(BDD!H627:AR627,3)*'ButsMPG + Var'!$K$15+COUNTIF(BDD!H627:AR627,2)*'ButsMPG + Var'!$K$14+COUNTIF(BDD!H627:AR627,1)*'ButsMPG + Var'!$K$13,IF(C624="D",COUNTIF(BDD!H627:AR627,10)*'ButsMPG + Var'!$K$32+COUNTIF(BDD!H627:AR627,9)*'ButsMPG + Var'!$K$31+COUNTIF(BDD!H627:AR627,8)*'ButsMPG + Var'!$K$30+COUNTIF(BDD!H627:AR627,7)*'ButsMPG + Var'!$K$29+COUNTIF(BDD!H627:AR627,6)*'ButsMPG + Var'!$K$28+COUNTIF(BDD!H627:AR627,5)*'ButsMPG + Var'!$K$27+COUNTIF(BDD!H627:AR627,4)*'ButsMPG + Var'!$K$26+COUNTIF(BDD!H627:AR627,3)*'ButsMPG + Var'!$K$25+COUNTIF(BDD!H627:AR627,2)*'ButsMPG + Var'!$K$24+COUNTIF(BDD!H627:AR627,1)*'ButsMPG + Var'!$K$23,0)))</f>
        <v>0</v>
      </c>
      <c r="H624" s="25">
        <f t="shared" si="10"/>
        <v>0</v>
      </c>
      <c r="I624" s="25">
        <f>BDD!G627</f>
        <v>0</v>
      </c>
      <c r="J624" s="25">
        <f>SUMPRODUCT(BDD!H627:AS627,'ButsMPG + Var'!$B$46:$AM$46)</f>
        <v>0</v>
      </c>
      <c r="K624" s="25" t="e">
        <f>10*('ButsMPG + Var'!$H$37*J624/MAX(J:J)+'ButsMPG + Var'!$G$37*H624/MAX(H:H))</f>
        <v>#DIV/0!</v>
      </c>
      <c r="L624" s="1">
        <f>IF(ISNA(VLOOKUP(B624,PrixMini!$B$3:$E$573,4,FALSE)),1,VLOOKUP(B624,PrixMini!$B$3:$E$573,4,FALSE))</f>
        <v>1</v>
      </c>
      <c r="M624" s="25" t="e">
        <f>IF(ROUND(CalculCotation!$D$3*EXP(CalculCotation!$C$3*K624)-CalculCotation!$D$3+1,0)&gt;L624,ROUND(CalculCotation!$D$3*EXP(CalculCotation!$C$3*K624)-CalculCotation!$D$3+1,0),L624)</f>
        <v>#DIV/0!</v>
      </c>
    </row>
    <row r="625" spans="2:13" x14ac:dyDescent="0.3">
      <c r="B625" s="1">
        <f>BDD!C628</f>
        <v>0</v>
      </c>
      <c r="C625" s="1">
        <f>BDD!B628</f>
        <v>0</v>
      </c>
      <c r="D625" s="1">
        <f>BDD!A628</f>
        <v>0</v>
      </c>
      <c r="E625" s="1">
        <f>BDD!D628</f>
        <v>0</v>
      </c>
      <c r="F625" s="1">
        <f>BDD!F628</f>
        <v>0</v>
      </c>
      <c r="G625" s="25">
        <f>'ButsMPG + Var'!$I$39*IF(C625="A",COUNTIF(BDD!H628:AR628,10)*'ButsMPG + Var'!$K$12+COUNTIF(BDD!H628:AR628,9)*'ButsMPG + Var'!$K$11+COUNTIF(BDD!H628:AR628,8)*'ButsMPG + Var'!$K$10+COUNTIF(BDD!H628:AR628,7)*'ButsMPG + Var'!$K$9+COUNTIF(BDD!H628:AR628,6)*'ButsMPG + Var'!$K$8+COUNTIF(BDD!H628:AR628,5)*'ButsMPG + Var'!$K$7+COUNTIF(BDD!H628:AR628,4)*'ButsMPG + Var'!$K$6+COUNTIF(BDD!H628:AR628,3)*'ButsMPG + Var'!$K$5+COUNTIF(BDD!H628:AR628,2)*'ButsMPG + Var'!$K$4+COUNTIF(BDD!H628:AR628,1)*'ButsMPG + Var'!$K$3,IF(C625="M",COUNTIF(BDD!H628:AR628,10)*'ButsMPG + Var'!$K$22+COUNTIF(BDD!H628:AR628,9)*'ButsMPG + Var'!$K$21+COUNTIF(BDD!H628:AR628,8)*'ButsMPG + Var'!$K$20+COUNTIF(BDD!H628:AR628,7)*'ButsMPG + Var'!$K$19+COUNTIF(BDD!H628:AR628,6)*'ButsMPG + Var'!$K$18+COUNTIF(BDD!H628:AR628,5)*'ButsMPG + Var'!$K$17+COUNTIF(BDD!H628:AR628,4)*'ButsMPG + Var'!$K$16+COUNTIF(BDD!H628:AR628,3)*'ButsMPG + Var'!$K$15+COUNTIF(BDD!H628:AR628,2)*'ButsMPG + Var'!$K$14+COUNTIF(BDD!H628:AR628,1)*'ButsMPG + Var'!$K$13,IF(C625="D",COUNTIF(BDD!H628:AR628,10)*'ButsMPG + Var'!$K$32+COUNTIF(BDD!H628:AR628,9)*'ButsMPG + Var'!$K$31+COUNTIF(BDD!H628:AR628,8)*'ButsMPG + Var'!$K$30+COUNTIF(BDD!H628:AR628,7)*'ButsMPG + Var'!$K$29+COUNTIF(BDD!H628:AR628,6)*'ButsMPG + Var'!$K$28+COUNTIF(BDD!H628:AR628,5)*'ButsMPG + Var'!$K$27+COUNTIF(BDD!H628:AR628,4)*'ButsMPG + Var'!$K$26+COUNTIF(BDD!H628:AR628,3)*'ButsMPG + Var'!$K$25+COUNTIF(BDD!H628:AR628,2)*'ButsMPG + Var'!$K$24+COUNTIF(BDD!H628:AR628,1)*'ButsMPG + Var'!$K$23,0)))</f>
        <v>0</v>
      </c>
      <c r="H625" s="25">
        <f t="shared" si="10"/>
        <v>0</v>
      </c>
      <c r="I625" s="25">
        <f>BDD!G628</f>
        <v>0</v>
      </c>
      <c r="J625" s="25">
        <f>SUMPRODUCT(BDD!H628:AS628,'ButsMPG + Var'!$B$46:$AM$46)</f>
        <v>0</v>
      </c>
      <c r="K625" s="25" t="e">
        <f>10*('ButsMPG + Var'!$H$37*J625/MAX(J:J)+'ButsMPG + Var'!$G$37*H625/MAX(H:H))</f>
        <v>#DIV/0!</v>
      </c>
      <c r="L625" s="1">
        <f>IF(ISNA(VLOOKUP(B625,PrixMini!$B$3:$E$573,4,FALSE)),1,VLOOKUP(B625,PrixMini!$B$3:$E$573,4,FALSE))</f>
        <v>1</v>
      </c>
      <c r="M625" s="25" t="e">
        <f>IF(ROUND(CalculCotation!$D$3*EXP(CalculCotation!$C$3*K625)-CalculCotation!$D$3+1,0)&gt;L625,ROUND(CalculCotation!$D$3*EXP(CalculCotation!$C$3*K625)-CalculCotation!$D$3+1,0),L625)</f>
        <v>#DIV/0!</v>
      </c>
    </row>
    <row r="626" spans="2:13" x14ac:dyDescent="0.3">
      <c r="B626" s="1">
        <f>BDD!C629</f>
        <v>0</v>
      </c>
      <c r="C626" s="1">
        <f>BDD!B629</f>
        <v>0</v>
      </c>
      <c r="D626" s="1">
        <f>BDD!A629</f>
        <v>0</v>
      </c>
      <c r="E626" s="1">
        <f>BDD!D629</f>
        <v>0</v>
      </c>
      <c r="F626" s="1">
        <f>BDD!F629</f>
        <v>0</v>
      </c>
      <c r="G626" s="25">
        <f>'ButsMPG + Var'!$I$39*IF(C626="A",COUNTIF(BDD!H629:AR629,10)*'ButsMPG + Var'!$K$12+COUNTIF(BDD!H629:AR629,9)*'ButsMPG + Var'!$K$11+COUNTIF(BDD!H629:AR629,8)*'ButsMPG + Var'!$K$10+COUNTIF(BDD!H629:AR629,7)*'ButsMPG + Var'!$K$9+COUNTIF(BDD!H629:AR629,6)*'ButsMPG + Var'!$K$8+COUNTIF(BDD!H629:AR629,5)*'ButsMPG + Var'!$K$7+COUNTIF(BDD!H629:AR629,4)*'ButsMPG + Var'!$K$6+COUNTIF(BDD!H629:AR629,3)*'ButsMPG + Var'!$K$5+COUNTIF(BDD!H629:AR629,2)*'ButsMPG + Var'!$K$4+COUNTIF(BDD!H629:AR629,1)*'ButsMPG + Var'!$K$3,IF(C626="M",COUNTIF(BDD!H629:AR629,10)*'ButsMPG + Var'!$K$22+COUNTIF(BDD!H629:AR629,9)*'ButsMPG + Var'!$K$21+COUNTIF(BDD!H629:AR629,8)*'ButsMPG + Var'!$K$20+COUNTIF(BDD!H629:AR629,7)*'ButsMPG + Var'!$K$19+COUNTIF(BDD!H629:AR629,6)*'ButsMPG + Var'!$K$18+COUNTIF(BDD!H629:AR629,5)*'ButsMPG + Var'!$K$17+COUNTIF(BDD!H629:AR629,4)*'ButsMPG + Var'!$K$16+COUNTIF(BDD!H629:AR629,3)*'ButsMPG + Var'!$K$15+COUNTIF(BDD!H629:AR629,2)*'ButsMPG + Var'!$K$14+COUNTIF(BDD!H629:AR629,1)*'ButsMPG + Var'!$K$13,IF(C626="D",COUNTIF(BDD!H629:AR629,10)*'ButsMPG + Var'!$K$32+COUNTIF(BDD!H629:AR629,9)*'ButsMPG + Var'!$K$31+COUNTIF(BDD!H629:AR629,8)*'ButsMPG + Var'!$K$30+COUNTIF(BDD!H629:AR629,7)*'ButsMPG + Var'!$K$29+COUNTIF(BDD!H629:AR629,6)*'ButsMPG + Var'!$K$28+COUNTIF(BDD!H629:AR629,5)*'ButsMPG + Var'!$K$27+COUNTIF(BDD!H629:AR629,4)*'ButsMPG + Var'!$K$26+COUNTIF(BDD!H629:AR629,3)*'ButsMPG + Var'!$K$25+COUNTIF(BDD!H629:AR629,2)*'ButsMPG + Var'!$K$24+COUNTIF(BDD!H629:AR629,1)*'ButsMPG + Var'!$K$23,0)))</f>
        <v>0</v>
      </c>
      <c r="H626" s="25">
        <f t="shared" si="10"/>
        <v>0</v>
      </c>
      <c r="I626" s="25">
        <f>BDD!G629</f>
        <v>0</v>
      </c>
      <c r="J626" s="25">
        <f>SUMPRODUCT(BDD!H629:AS629,'ButsMPG + Var'!$B$46:$AM$46)</f>
        <v>0</v>
      </c>
      <c r="K626" s="25" t="e">
        <f>10*('ButsMPG + Var'!$H$37*J626/MAX(J:J)+'ButsMPG + Var'!$G$37*H626/MAX(H:H))</f>
        <v>#DIV/0!</v>
      </c>
      <c r="L626" s="1">
        <f>IF(ISNA(VLOOKUP(B626,PrixMini!$B$3:$E$573,4,FALSE)),1,VLOOKUP(B626,PrixMini!$B$3:$E$573,4,FALSE))</f>
        <v>1</v>
      </c>
      <c r="M626" s="25" t="e">
        <f>IF(ROUND(CalculCotation!$D$3*EXP(CalculCotation!$C$3*K626)-CalculCotation!$D$3+1,0)&gt;L626,ROUND(CalculCotation!$D$3*EXP(CalculCotation!$C$3*K626)-CalculCotation!$D$3+1,0),L626)</f>
        <v>#DIV/0!</v>
      </c>
    </row>
    <row r="627" spans="2:13" x14ac:dyDescent="0.3">
      <c r="B627" s="1">
        <f>BDD!C630</f>
        <v>0</v>
      </c>
      <c r="C627" s="1">
        <f>BDD!B630</f>
        <v>0</v>
      </c>
      <c r="D627" s="1">
        <f>BDD!A630</f>
        <v>0</v>
      </c>
      <c r="E627" s="1">
        <f>BDD!D630</f>
        <v>0</v>
      </c>
      <c r="F627" s="1">
        <f>BDD!F630</f>
        <v>0</v>
      </c>
      <c r="G627" s="25">
        <f>'ButsMPG + Var'!$I$39*IF(C627="A",COUNTIF(BDD!H630:AR630,10)*'ButsMPG + Var'!$K$12+COUNTIF(BDD!H630:AR630,9)*'ButsMPG + Var'!$K$11+COUNTIF(BDD!H630:AR630,8)*'ButsMPG + Var'!$K$10+COUNTIF(BDD!H630:AR630,7)*'ButsMPG + Var'!$K$9+COUNTIF(BDD!H630:AR630,6)*'ButsMPG + Var'!$K$8+COUNTIF(BDD!H630:AR630,5)*'ButsMPG + Var'!$K$7+COUNTIF(BDD!H630:AR630,4)*'ButsMPG + Var'!$K$6+COUNTIF(BDD!H630:AR630,3)*'ButsMPG + Var'!$K$5+COUNTIF(BDD!H630:AR630,2)*'ButsMPG + Var'!$K$4+COUNTIF(BDD!H630:AR630,1)*'ButsMPG + Var'!$K$3,IF(C627="M",COUNTIF(BDD!H630:AR630,10)*'ButsMPG + Var'!$K$22+COUNTIF(BDD!H630:AR630,9)*'ButsMPG + Var'!$K$21+COUNTIF(BDD!H630:AR630,8)*'ButsMPG + Var'!$K$20+COUNTIF(BDD!H630:AR630,7)*'ButsMPG + Var'!$K$19+COUNTIF(BDD!H630:AR630,6)*'ButsMPG + Var'!$K$18+COUNTIF(BDD!H630:AR630,5)*'ButsMPG + Var'!$K$17+COUNTIF(BDD!H630:AR630,4)*'ButsMPG + Var'!$K$16+COUNTIF(BDD!H630:AR630,3)*'ButsMPG + Var'!$K$15+COUNTIF(BDD!H630:AR630,2)*'ButsMPG + Var'!$K$14+COUNTIF(BDD!H630:AR630,1)*'ButsMPG + Var'!$K$13,IF(C627="D",COUNTIF(BDD!H630:AR630,10)*'ButsMPG + Var'!$K$32+COUNTIF(BDD!H630:AR630,9)*'ButsMPG + Var'!$K$31+COUNTIF(BDD!H630:AR630,8)*'ButsMPG + Var'!$K$30+COUNTIF(BDD!H630:AR630,7)*'ButsMPG + Var'!$K$29+COUNTIF(BDD!H630:AR630,6)*'ButsMPG + Var'!$K$28+COUNTIF(BDD!H630:AR630,5)*'ButsMPG + Var'!$K$27+COUNTIF(BDD!H630:AR630,4)*'ButsMPG + Var'!$K$26+COUNTIF(BDD!H630:AR630,3)*'ButsMPG + Var'!$K$25+COUNTIF(BDD!H630:AR630,2)*'ButsMPG + Var'!$K$24+COUNTIF(BDD!H630:AR630,1)*'ButsMPG + Var'!$K$23,0)))</f>
        <v>0</v>
      </c>
      <c r="H627" s="25">
        <f t="shared" si="10"/>
        <v>0</v>
      </c>
      <c r="I627" s="25">
        <f>BDD!G630</f>
        <v>0</v>
      </c>
      <c r="J627" s="25">
        <f>SUMPRODUCT(BDD!H630:AS630,'ButsMPG + Var'!$B$46:$AM$46)</f>
        <v>0</v>
      </c>
      <c r="K627" s="25" t="e">
        <f>10*('ButsMPG + Var'!$H$37*J627/MAX(J:J)+'ButsMPG + Var'!$G$37*H627/MAX(H:H))</f>
        <v>#DIV/0!</v>
      </c>
      <c r="L627" s="1">
        <f>IF(ISNA(VLOOKUP(B627,PrixMini!$B$3:$E$573,4,FALSE)),1,VLOOKUP(B627,PrixMini!$B$3:$E$573,4,FALSE))</f>
        <v>1</v>
      </c>
      <c r="M627" s="25" t="e">
        <f>IF(ROUND(CalculCotation!$D$3*EXP(CalculCotation!$C$3*K627)-CalculCotation!$D$3+1,0)&gt;L627,ROUND(CalculCotation!$D$3*EXP(CalculCotation!$C$3*K627)-CalculCotation!$D$3+1,0),L627)</f>
        <v>#DIV/0!</v>
      </c>
    </row>
    <row r="628" spans="2:13" x14ac:dyDescent="0.3">
      <c r="B628" s="1">
        <f>BDD!C631</f>
        <v>0</v>
      </c>
      <c r="C628" s="1">
        <f>BDD!B631</f>
        <v>0</v>
      </c>
      <c r="D628" s="1">
        <f>BDD!A631</f>
        <v>0</v>
      </c>
      <c r="E628" s="1">
        <f>BDD!D631</f>
        <v>0</v>
      </c>
      <c r="F628" s="1">
        <f>BDD!F631</f>
        <v>0</v>
      </c>
      <c r="G628" s="25">
        <f>'ButsMPG + Var'!$I$39*IF(C628="A",COUNTIF(BDD!H631:AR631,10)*'ButsMPG + Var'!$K$12+COUNTIF(BDD!H631:AR631,9)*'ButsMPG + Var'!$K$11+COUNTIF(BDD!H631:AR631,8)*'ButsMPG + Var'!$K$10+COUNTIF(BDD!H631:AR631,7)*'ButsMPG + Var'!$K$9+COUNTIF(BDD!H631:AR631,6)*'ButsMPG + Var'!$K$8+COUNTIF(BDD!H631:AR631,5)*'ButsMPG + Var'!$K$7+COUNTIF(BDD!H631:AR631,4)*'ButsMPG + Var'!$K$6+COUNTIF(BDD!H631:AR631,3)*'ButsMPG + Var'!$K$5+COUNTIF(BDD!H631:AR631,2)*'ButsMPG + Var'!$K$4+COUNTIF(BDD!H631:AR631,1)*'ButsMPG + Var'!$K$3,IF(C628="M",COUNTIF(BDD!H631:AR631,10)*'ButsMPG + Var'!$K$22+COUNTIF(BDD!H631:AR631,9)*'ButsMPG + Var'!$K$21+COUNTIF(BDD!H631:AR631,8)*'ButsMPG + Var'!$K$20+COUNTIF(BDD!H631:AR631,7)*'ButsMPG + Var'!$K$19+COUNTIF(BDD!H631:AR631,6)*'ButsMPG + Var'!$K$18+COUNTIF(BDD!H631:AR631,5)*'ButsMPG + Var'!$K$17+COUNTIF(BDD!H631:AR631,4)*'ButsMPG + Var'!$K$16+COUNTIF(BDD!H631:AR631,3)*'ButsMPG + Var'!$K$15+COUNTIF(BDD!H631:AR631,2)*'ButsMPG + Var'!$K$14+COUNTIF(BDD!H631:AR631,1)*'ButsMPG + Var'!$K$13,IF(C628="D",COUNTIF(BDD!H631:AR631,10)*'ButsMPG + Var'!$K$32+COUNTIF(BDD!H631:AR631,9)*'ButsMPG + Var'!$K$31+COUNTIF(BDD!H631:AR631,8)*'ButsMPG + Var'!$K$30+COUNTIF(BDD!H631:AR631,7)*'ButsMPG + Var'!$K$29+COUNTIF(BDD!H631:AR631,6)*'ButsMPG + Var'!$K$28+COUNTIF(BDD!H631:AR631,5)*'ButsMPG + Var'!$K$27+COUNTIF(BDD!H631:AR631,4)*'ButsMPG + Var'!$K$26+COUNTIF(BDD!H631:AR631,3)*'ButsMPG + Var'!$K$25+COUNTIF(BDD!H631:AR631,2)*'ButsMPG + Var'!$K$24+COUNTIF(BDD!H631:AR631,1)*'ButsMPG + Var'!$K$23,0)))</f>
        <v>0</v>
      </c>
      <c r="H628" s="25">
        <f t="shared" si="10"/>
        <v>0</v>
      </c>
      <c r="I628" s="25">
        <f>BDD!G631</f>
        <v>0</v>
      </c>
      <c r="J628" s="25">
        <f>SUMPRODUCT(BDD!H631:AS631,'ButsMPG + Var'!$B$46:$AM$46)</f>
        <v>0</v>
      </c>
      <c r="K628" s="25" t="e">
        <f>10*('ButsMPG + Var'!$H$37*J628/MAX(J:J)+'ButsMPG + Var'!$G$37*H628/MAX(H:H))</f>
        <v>#DIV/0!</v>
      </c>
      <c r="L628" s="1">
        <f>IF(ISNA(VLOOKUP(B628,PrixMini!$B$3:$E$573,4,FALSE)),1,VLOOKUP(B628,PrixMini!$B$3:$E$573,4,FALSE))</f>
        <v>1</v>
      </c>
      <c r="M628" s="25" t="e">
        <f>IF(ROUND(CalculCotation!$D$3*EXP(CalculCotation!$C$3*K628)-CalculCotation!$D$3+1,0)&gt;L628,ROUND(CalculCotation!$D$3*EXP(CalculCotation!$C$3*K628)-CalculCotation!$D$3+1,0),L628)</f>
        <v>#DIV/0!</v>
      </c>
    </row>
    <row r="629" spans="2:13" x14ac:dyDescent="0.3">
      <c r="B629" s="1">
        <f>BDD!C632</f>
        <v>0</v>
      </c>
      <c r="C629" s="1">
        <f>BDD!B632</f>
        <v>0</v>
      </c>
      <c r="D629" s="1">
        <f>BDD!A632</f>
        <v>0</v>
      </c>
      <c r="E629" s="1">
        <f>BDD!D632</f>
        <v>0</v>
      </c>
      <c r="F629" s="1">
        <f>BDD!F632</f>
        <v>0</v>
      </c>
      <c r="G629" s="25">
        <f>'ButsMPG + Var'!$I$39*IF(C629="A",COUNTIF(BDD!H632:AR632,10)*'ButsMPG + Var'!$K$12+COUNTIF(BDD!H632:AR632,9)*'ButsMPG + Var'!$K$11+COUNTIF(BDD!H632:AR632,8)*'ButsMPG + Var'!$K$10+COUNTIF(BDD!H632:AR632,7)*'ButsMPG + Var'!$K$9+COUNTIF(BDD!H632:AR632,6)*'ButsMPG + Var'!$K$8+COUNTIF(BDD!H632:AR632,5)*'ButsMPG + Var'!$K$7+COUNTIF(BDD!H632:AR632,4)*'ButsMPG + Var'!$K$6+COUNTIF(BDD!H632:AR632,3)*'ButsMPG + Var'!$K$5+COUNTIF(BDD!H632:AR632,2)*'ButsMPG + Var'!$K$4+COUNTIF(BDD!H632:AR632,1)*'ButsMPG + Var'!$K$3,IF(C629="M",COUNTIF(BDD!H632:AR632,10)*'ButsMPG + Var'!$K$22+COUNTIF(BDD!H632:AR632,9)*'ButsMPG + Var'!$K$21+COUNTIF(BDD!H632:AR632,8)*'ButsMPG + Var'!$K$20+COUNTIF(BDD!H632:AR632,7)*'ButsMPG + Var'!$K$19+COUNTIF(BDD!H632:AR632,6)*'ButsMPG + Var'!$K$18+COUNTIF(BDD!H632:AR632,5)*'ButsMPG + Var'!$K$17+COUNTIF(BDD!H632:AR632,4)*'ButsMPG + Var'!$K$16+COUNTIF(BDD!H632:AR632,3)*'ButsMPG + Var'!$K$15+COUNTIF(BDD!H632:AR632,2)*'ButsMPG + Var'!$K$14+COUNTIF(BDD!H632:AR632,1)*'ButsMPG + Var'!$K$13,IF(C629="D",COUNTIF(BDD!H632:AR632,10)*'ButsMPG + Var'!$K$32+COUNTIF(BDD!H632:AR632,9)*'ButsMPG + Var'!$K$31+COUNTIF(BDD!H632:AR632,8)*'ButsMPG + Var'!$K$30+COUNTIF(BDD!H632:AR632,7)*'ButsMPG + Var'!$K$29+COUNTIF(BDD!H632:AR632,6)*'ButsMPG + Var'!$K$28+COUNTIF(BDD!H632:AR632,5)*'ButsMPG + Var'!$K$27+COUNTIF(BDD!H632:AR632,4)*'ButsMPG + Var'!$K$26+COUNTIF(BDD!H632:AR632,3)*'ButsMPG + Var'!$K$25+COUNTIF(BDD!H632:AR632,2)*'ButsMPG + Var'!$K$24+COUNTIF(BDD!H632:AR632,1)*'ButsMPG + Var'!$K$23,0)))</f>
        <v>0</v>
      </c>
      <c r="H629" s="25">
        <f t="shared" si="10"/>
        <v>0</v>
      </c>
      <c r="I629" s="25">
        <f>BDD!G632</f>
        <v>0</v>
      </c>
      <c r="J629" s="25">
        <f>SUMPRODUCT(BDD!H632:AS632,'ButsMPG + Var'!$B$46:$AM$46)</f>
        <v>0</v>
      </c>
      <c r="K629" s="25" t="e">
        <f>10*('ButsMPG + Var'!$H$37*J629/MAX(J:J)+'ButsMPG + Var'!$G$37*H629/MAX(H:H))</f>
        <v>#DIV/0!</v>
      </c>
      <c r="L629" s="1">
        <f>IF(ISNA(VLOOKUP(B629,PrixMini!$B$3:$E$573,4,FALSE)),1,VLOOKUP(B629,PrixMini!$B$3:$E$573,4,FALSE))</f>
        <v>1</v>
      </c>
      <c r="M629" s="25" t="e">
        <f>IF(ROUND(CalculCotation!$D$3*EXP(CalculCotation!$C$3*K629)-CalculCotation!$D$3+1,0)&gt;L629,ROUND(CalculCotation!$D$3*EXP(CalculCotation!$C$3*K629)-CalculCotation!$D$3+1,0),L629)</f>
        <v>#DIV/0!</v>
      </c>
    </row>
    <row r="630" spans="2:13" x14ac:dyDescent="0.3">
      <c r="B630" s="1">
        <f>BDD!C633</f>
        <v>0</v>
      </c>
      <c r="C630" s="1">
        <f>BDD!B633</f>
        <v>0</v>
      </c>
      <c r="D630" s="1">
        <f>BDD!A633</f>
        <v>0</v>
      </c>
      <c r="E630" s="1">
        <f>BDD!D633</f>
        <v>0</v>
      </c>
      <c r="F630" s="1">
        <f>BDD!F633</f>
        <v>0</v>
      </c>
      <c r="G630" s="25">
        <f>'ButsMPG + Var'!$I$39*IF(C630="A",COUNTIF(BDD!H633:AR633,10)*'ButsMPG + Var'!$K$12+COUNTIF(BDD!H633:AR633,9)*'ButsMPG + Var'!$K$11+COUNTIF(BDD!H633:AR633,8)*'ButsMPG + Var'!$K$10+COUNTIF(BDD!H633:AR633,7)*'ButsMPG + Var'!$K$9+COUNTIF(BDD!H633:AR633,6)*'ButsMPG + Var'!$K$8+COUNTIF(BDD!H633:AR633,5)*'ButsMPG + Var'!$K$7+COUNTIF(BDD!H633:AR633,4)*'ButsMPG + Var'!$K$6+COUNTIF(BDD!H633:AR633,3)*'ButsMPG + Var'!$K$5+COUNTIF(BDD!H633:AR633,2)*'ButsMPG + Var'!$K$4+COUNTIF(BDD!H633:AR633,1)*'ButsMPG + Var'!$K$3,IF(C630="M",COUNTIF(BDD!H633:AR633,10)*'ButsMPG + Var'!$K$22+COUNTIF(BDD!H633:AR633,9)*'ButsMPG + Var'!$K$21+COUNTIF(BDD!H633:AR633,8)*'ButsMPG + Var'!$K$20+COUNTIF(BDD!H633:AR633,7)*'ButsMPG + Var'!$K$19+COUNTIF(BDD!H633:AR633,6)*'ButsMPG + Var'!$K$18+COUNTIF(BDD!H633:AR633,5)*'ButsMPG + Var'!$K$17+COUNTIF(BDD!H633:AR633,4)*'ButsMPG + Var'!$K$16+COUNTIF(BDD!H633:AR633,3)*'ButsMPG + Var'!$K$15+COUNTIF(BDD!H633:AR633,2)*'ButsMPG + Var'!$K$14+COUNTIF(BDD!H633:AR633,1)*'ButsMPG + Var'!$K$13,IF(C630="D",COUNTIF(BDD!H633:AR633,10)*'ButsMPG + Var'!$K$32+COUNTIF(BDD!H633:AR633,9)*'ButsMPG + Var'!$K$31+COUNTIF(BDD!H633:AR633,8)*'ButsMPG + Var'!$K$30+COUNTIF(BDD!H633:AR633,7)*'ButsMPG + Var'!$K$29+COUNTIF(BDD!H633:AR633,6)*'ButsMPG + Var'!$K$28+COUNTIF(BDD!H633:AR633,5)*'ButsMPG + Var'!$K$27+COUNTIF(BDD!H633:AR633,4)*'ButsMPG + Var'!$K$26+COUNTIF(BDD!H633:AR633,3)*'ButsMPG + Var'!$K$25+COUNTIF(BDD!H633:AR633,2)*'ButsMPG + Var'!$K$24+COUNTIF(BDD!H633:AR633,1)*'ButsMPG + Var'!$K$23,0)))</f>
        <v>0</v>
      </c>
      <c r="H630" s="25">
        <f t="shared" si="10"/>
        <v>0</v>
      </c>
      <c r="I630" s="25">
        <f>BDD!G633</f>
        <v>0</v>
      </c>
      <c r="J630" s="25">
        <f>SUMPRODUCT(BDD!H633:AS633,'ButsMPG + Var'!$B$46:$AM$46)</f>
        <v>0</v>
      </c>
      <c r="K630" s="25" t="e">
        <f>10*('ButsMPG + Var'!$H$37*J630/MAX(J:J)+'ButsMPG + Var'!$G$37*H630/MAX(H:H))</f>
        <v>#DIV/0!</v>
      </c>
      <c r="L630" s="1">
        <f>IF(ISNA(VLOOKUP(B630,PrixMini!$B$3:$E$573,4,FALSE)),1,VLOOKUP(B630,PrixMini!$B$3:$E$573,4,FALSE))</f>
        <v>1</v>
      </c>
      <c r="M630" s="25" t="e">
        <f>IF(ROUND(CalculCotation!$D$3*EXP(CalculCotation!$C$3*K630)-CalculCotation!$D$3+1,0)&gt;L630,ROUND(CalculCotation!$D$3*EXP(CalculCotation!$C$3*K630)-CalculCotation!$D$3+1,0),L630)</f>
        <v>#DIV/0!</v>
      </c>
    </row>
    <row r="631" spans="2:13" x14ac:dyDescent="0.3">
      <c r="B631" s="1">
        <f>BDD!C634</f>
        <v>0</v>
      </c>
      <c r="C631" s="1">
        <f>BDD!B634</f>
        <v>0</v>
      </c>
      <c r="D631" s="1">
        <f>BDD!A634</f>
        <v>0</v>
      </c>
      <c r="E631" s="1">
        <f>BDD!D634</f>
        <v>0</v>
      </c>
      <c r="F631" s="1">
        <f>BDD!F634</f>
        <v>0</v>
      </c>
      <c r="G631" s="25">
        <f>'ButsMPG + Var'!$I$39*IF(C631="A",COUNTIF(BDD!H634:AR634,10)*'ButsMPG + Var'!$K$12+COUNTIF(BDD!H634:AR634,9)*'ButsMPG + Var'!$K$11+COUNTIF(BDD!H634:AR634,8)*'ButsMPG + Var'!$K$10+COUNTIF(BDD!H634:AR634,7)*'ButsMPG + Var'!$K$9+COUNTIF(BDD!H634:AR634,6)*'ButsMPG + Var'!$K$8+COUNTIF(BDD!H634:AR634,5)*'ButsMPG + Var'!$K$7+COUNTIF(BDD!H634:AR634,4)*'ButsMPG + Var'!$K$6+COUNTIF(BDD!H634:AR634,3)*'ButsMPG + Var'!$K$5+COUNTIF(BDD!H634:AR634,2)*'ButsMPG + Var'!$K$4+COUNTIF(BDD!H634:AR634,1)*'ButsMPG + Var'!$K$3,IF(C631="M",COUNTIF(BDD!H634:AR634,10)*'ButsMPG + Var'!$K$22+COUNTIF(BDD!H634:AR634,9)*'ButsMPG + Var'!$K$21+COUNTIF(BDD!H634:AR634,8)*'ButsMPG + Var'!$K$20+COUNTIF(BDD!H634:AR634,7)*'ButsMPG + Var'!$K$19+COUNTIF(BDD!H634:AR634,6)*'ButsMPG + Var'!$K$18+COUNTIF(BDD!H634:AR634,5)*'ButsMPG + Var'!$K$17+COUNTIF(BDD!H634:AR634,4)*'ButsMPG + Var'!$K$16+COUNTIF(BDD!H634:AR634,3)*'ButsMPG + Var'!$K$15+COUNTIF(BDD!H634:AR634,2)*'ButsMPG + Var'!$K$14+COUNTIF(BDD!H634:AR634,1)*'ButsMPG + Var'!$K$13,IF(C631="D",COUNTIF(BDD!H634:AR634,10)*'ButsMPG + Var'!$K$32+COUNTIF(BDD!H634:AR634,9)*'ButsMPG + Var'!$K$31+COUNTIF(BDD!H634:AR634,8)*'ButsMPG + Var'!$K$30+COUNTIF(BDD!H634:AR634,7)*'ButsMPG + Var'!$K$29+COUNTIF(BDD!H634:AR634,6)*'ButsMPG + Var'!$K$28+COUNTIF(BDD!H634:AR634,5)*'ButsMPG + Var'!$K$27+COUNTIF(BDD!H634:AR634,4)*'ButsMPG + Var'!$K$26+COUNTIF(BDD!H634:AR634,3)*'ButsMPG + Var'!$K$25+COUNTIF(BDD!H634:AR634,2)*'ButsMPG + Var'!$K$24+COUNTIF(BDD!H634:AR634,1)*'ButsMPG + Var'!$K$23,0)))</f>
        <v>0</v>
      </c>
      <c r="H631" s="25">
        <f t="shared" si="10"/>
        <v>0</v>
      </c>
      <c r="I631" s="25">
        <f>BDD!G634</f>
        <v>0</v>
      </c>
      <c r="J631" s="25">
        <f>SUMPRODUCT(BDD!H634:AS634,'ButsMPG + Var'!$B$46:$AM$46)</f>
        <v>0</v>
      </c>
      <c r="K631" s="25" t="e">
        <f>10*('ButsMPG + Var'!$H$37*J631/MAX(J:J)+'ButsMPG + Var'!$G$37*H631/MAX(H:H))</f>
        <v>#DIV/0!</v>
      </c>
      <c r="L631" s="1">
        <f>IF(ISNA(VLOOKUP(B631,PrixMini!$B$3:$E$573,4,FALSE)),1,VLOOKUP(B631,PrixMini!$B$3:$E$573,4,FALSE))</f>
        <v>1</v>
      </c>
      <c r="M631" s="25" t="e">
        <f>IF(ROUND(CalculCotation!$D$3*EXP(CalculCotation!$C$3*K631)-CalculCotation!$D$3+1,0)&gt;L631,ROUND(CalculCotation!$D$3*EXP(CalculCotation!$C$3*K631)-CalculCotation!$D$3+1,0),L631)</f>
        <v>#DIV/0!</v>
      </c>
    </row>
    <row r="632" spans="2:13" x14ac:dyDescent="0.3">
      <c r="B632" s="1">
        <f>BDD!C635</f>
        <v>0</v>
      </c>
      <c r="C632" s="1">
        <f>BDD!B635</f>
        <v>0</v>
      </c>
      <c r="D632" s="1">
        <f>BDD!A635</f>
        <v>0</v>
      </c>
      <c r="E632" s="1">
        <f>BDD!D635</f>
        <v>0</v>
      </c>
      <c r="F632" s="1">
        <f>BDD!F635</f>
        <v>0</v>
      </c>
      <c r="G632" s="25">
        <f>'ButsMPG + Var'!$I$39*IF(C632="A",COUNTIF(BDD!H635:AR635,10)*'ButsMPG + Var'!$K$12+COUNTIF(BDD!H635:AR635,9)*'ButsMPG + Var'!$K$11+COUNTIF(BDD!H635:AR635,8)*'ButsMPG + Var'!$K$10+COUNTIF(BDD!H635:AR635,7)*'ButsMPG + Var'!$K$9+COUNTIF(BDD!H635:AR635,6)*'ButsMPG + Var'!$K$8+COUNTIF(BDD!H635:AR635,5)*'ButsMPG + Var'!$K$7+COUNTIF(BDD!H635:AR635,4)*'ButsMPG + Var'!$K$6+COUNTIF(BDD!H635:AR635,3)*'ButsMPG + Var'!$K$5+COUNTIF(BDD!H635:AR635,2)*'ButsMPG + Var'!$K$4+COUNTIF(BDD!H635:AR635,1)*'ButsMPG + Var'!$K$3,IF(C632="M",COUNTIF(BDD!H635:AR635,10)*'ButsMPG + Var'!$K$22+COUNTIF(BDD!H635:AR635,9)*'ButsMPG + Var'!$K$21+COUNTIF(BDD!H635:AR635,8)*'ButsMPG + Var'!$K$20+COUNTIF(BDD!H635:AR635,7)*'ButsMPG + Var'!$K$19+COUNTIF(BDD!H635:AR635,6)*'ButsMPG + Var'!$K$18+COUNTIF(BDD!H635:AR635,5)*'ButsMPG + Var'!$K$17+COUNTIF(BDD!H635:AR635,4)*'ButsMPG + Var'!$K$16+COUNTIF(BDD!H635:AR635,3)*'ButsMPG + Var'!$K$15+COUNTIF(BDD!H635:AR635,2)*'ButsMPG + Var'!$K$14+COUNTIF(BDD!H635:AR635,1)*'ButsMPG + Var'!$K$13,IF(C632="D",COUNTIF(BDD!H635:AR635,10)*'ButsMPG + Var'!$K$32+COUNTIF(BDD!H635:AR635,9)*'ButsMPG + Var'!$K$31+COUNTIF(BDD!H635:AR635,8)*'ButsMPG + Var'!$K$30+COUNTIF(BDD!H635:AR635,7)*'ButsMPG + Var'!$K$29+COUNTIF(BDD!H635:AR635,6)*'ButsMPG + Var'!$K$28+COUNTIF(BDD!H635:AR635,5)*'ButsMPG + Var'!$K$27+COUNTIF(BDD!H635:AR635,4)*'ButsMPG + Var'!$K$26+COUNTIF(BDD!H635:AR635,3)*'ButsMPG + Var'!$K$25+COUNTIF(BDD!H635:AR635,2)*'ButsMPG + Var'!$K$24+COUNTIF(BDD!H635:AR635,1)*'ButsMPG + Var'!$K$23,0)))</f>
        <v>0</v>
      </c>
      <c r="H632" s="25">
        <f t="shared" si="10"/>
        <v>0</v>
      </c>
      <c r="I632" s="25">
        <f>BDD!G635</f>
        <v>0</v>
      </c>
      <c r="J632" s="25">
        <f>SUMPRODUCT(BDD!H635:AS635,'ButsMPG + Var'!$B$46:$AM$46)</f>
        <v>0</v>
      </c>
      <c r="K632" s="25" t="e">
        <f>10*('ButsMPG + Var'!$H$37*J632/MAX(J:J)+'ButsMPG + Var'!$G$37*H632/MAX(H:H))</f>
        <v>#DIV/0!</v>
      </c>
      <c r="L632" s="1">
        <f>IF(ISNA(VLOOKUP(B632,PrixMini!$B$3:$E$573,4,FALSE)),1,VLOOKUP(B632,PrixMini!$B$3:$E$573,4,FALSE))</f>
        <v>1</v>
      </c>
      <c r="M632" s="25" t="e">
        <f>IF(ROUND(CalculCotation!$D$3*EXP(CalculCotation!$C$3*K632)-CalculCotation!$D$3+1,0)&gt;L632,ROUND(CalculCotation!$D$3*EXP(CalculCotation!$C$3*K632)-CalculCotation!$D$3+1,0),L632)</f>
        <v>#DIV/0!</v>
      </c>
    </row>
    <row r="633" spans="2:13" x14ac:dyDescent="0.3">
      <c r="B633" s="1">
        <f>BDD!C636</f>
        <v>0</v>
      </c>
      <c r="C633" s="1">
        <f>BDD!B636</f>
        <v>0</v>
      </c>
      <c r="D633" s="1">
        <f>BDD!A636</f>
        <v>0</v>
      </c>
      <c r="E633" s="1">
        <f>BDD!D636</f>
        <v>0</v>
      </c>
      <c r="F633" s="1">
        <f>BDD!F636</f>
        <v>0</v>
      </c>
      <c r="G633" s="25">
        <f>'ButsMPG + Var'!$I$39*IF(C633="A",COUNTIF(BDD!H636:AR636,10)*'ButsMPG + Var'!$K$12+COUNTIF(BDD!H636:AR636,9)*'ButsMPG + Var'!$K$11+COUNTIF(BDD!H636:AR636,8)*'ButsMPG + Var'!$K$10+COUNTIF(BDD!H636:AR636,7)*'ButsMPG + Var'!$K$9+COUNTIF(BDD!H636:AR636,6)*'ButsMPG + Var'!$K$8+COUNTIF(BDD!H636:AR636,5)*'ButsMPG + Var'!$K$7+COUNTIF(BDD!H636:AR636,4)*'ButsMPG + Var'!$K$6+COUNTIF(BDD!H636:AR636,3)*'ButsMPG + Var'!$K$5+COUNTIF(BDD!H636:AR636,2)*'ButsMPG + Var'!$K$4+COUNTIF(BDD!H636:AR636,1)*'ButsMPG + Var'!$K$3,IF(C633="M",COUNTIF(BDD!H636:AR636,10)*'ButsMPG + Var'!$K$22+COUNTIF(BDD!H636:AR636,9)*'ButsMPG + Var'!$K$21+COUNTIF(BDD!H636:AR636,8)*'ButsMPG + Var'!$K$20+COUNTIF(BDD!H636:AR636,7)*'ButsMPG + Var'!$K$19+COUNTIF(BDD!H636:AR636,6)*'ButsMPG + Var'!$K$18+COUNTIF(BDD!H636:AR636,5)*'ButsMPG + Var'!$K$17+COUNTIF(BDD!H636:AR636,4)*'ButsMPG + Var'!$K$16+COUNTIF(BDD!H636:AR636,3)*'ButsMPG + Var'!$K$15+COUNTIF(BDD!H636:AR636,2)*'ButsMPG + Var'!$K$14+COUNTIF(BDD!H636:AR636,1)*'ButsMPG + Var'!$K$13,IF(C633="D",COUNTIF(BDD!H636:AR636,10)*'ButsMPG + Var'!$K$32+COUNTIF(BDD!H636:AR636,9)*'ButsMPG + Var'!$K$31+COUNTIF(BDD!H636:AR636,8)*'ButsMPG + Var'!$K$30+COUNTIF(BDD!H636:AR636,7)*'ButsMPG + Var'!$K$29+COUNTIF(BDD!H636:AR636,6)*'ButsMPG + Var'!$K$28+COUNTIF(BDD!H636:AR636,5)*'ButsMPG + Var'!$K$27+COUNTIF(BDD!H636:AR636,4)*'ButsMPG + Var'!$K$26+COUNTIF(BDD!H636:AR636,3)*'ButsMPG + Var'!$K$25+COUNTIF(BDD!H636:AR636,2)*'ButsMPG + Var'!$K$24+COUNTIF(BDD!H636:AR636,1)*'ButsMPG + Var'!$K$23,0)))</f>
        <v>0</v>
      </c>
      <c r="H633" s="25">
        <f t="shared" si="10"/>
        <v>0</v>
      </c>
      <c r="I633" s="25">
        <f>BDD!G636</f>
        <v>0</v>
      </c>
      <c r="J633" s="25">
        <f>SUMPRODUCT(BDD!H636:AS636,'ButsMPG + Var'!$B$46:$AM$46)</f>
        <v>0</v>
      </c>
      <c r="K633" s="25" t="e">
        <f>10*('ButsMPG + Var'!$H$37*J633/MAX(J:J)+'ButsMPG + Var'!$G$37*H633/MAX(H:H))</f>
        <v>#DIV/0!</v>
      </c>
      <c r="L633" s="1">
        <f>IF(ISNA(VLOOKUP(B633,PrixMini!$B$3:$E$573,4,FALSE)),1,VLOOKUP(B633,PrixMini!$B$3:$E$573,4,FALSE))</f>
        <v>1</v>
      </c>
      <c r="M633" s="25" t="e">
        <f>IF(ROUND(CalculCotation!$D$3*EXP(CalculCotation!$C$3*K633)-CalculCotation!$D$3+1,0)&gt;L633,ROUND(CalculCotation!$D$3*EXP(CalculCotation!$C$3*K633)-CalculCotation!$D$3+1,0),L633)</f>
        <v>#DIV/0!</v>
      </c>
    </row>
    <row r="634" spans="2:13" x14ac:dyDescent="0.3">
      <c r="B634" s="1">
        <f>BDD!C637</f>
        <v>0</v>
      </c>
      <c r="C634" s="1">
        <f>BDD!B637</f>
        <v>0</v>
      </c>
      <c r="D634" s="1">
        <f>BDD!A637</f>
        <v>0</v>
      </c>
      <c r="E634" s="1">
        <f>BDD!D637</f>
        <v>0</v>
      </c>
      <c r="F634" s="1">
        <f>BDD!F637</f>
        <v>0</v>
      </c>
      <c r="G634" s="25">
        <f>'ButsMPG + Var'!$I$39*IF(C634="A",COUNTIF(BDD!H637:AR637,10)*'ButsMPG + Var'!$K$12+COUNTIF(BDD!H637:AR637,9)*'ButsMPG + Var'!$K$11+COUNTIF(BDD!H637:AR637,8)*'ButsMPG + Var'!$K$10+COUNTIF(BDD!H637:AR637,7)*'ButsMPG + Var'!$K$9+COUNTIF(BDD!H637:AR637,6)*'ButsMPG + Var'!$K$8+COUNTIF(BDD!H637:AR637,5)*'ButsMPG + Var'!$K$7+COUNTIF(BDD!H637:AR637,4)*'ButsMPG + Var'!$K$6+COUNTIF(BDD!H637:AR637,3)*'ButsMPG + Var'!$K$5+COUNTIF(BDD!H637:AR637,2)*'ButsMPG + Var'!$K$4+COUNTIF(BDD!H637:AR637,1)*'ButsMPG + Var'!$K$3,IF(C634="M",COUNTIF(BDD!H637:AR637,10)*'ButsMPG + Var'!$K$22+COUNTIF(BDD!H637:AR637,9)*'ButsMPG + Var'!$K$21+COUNTIF(BDD!H637:AR637,8)*'ButsMPG + Var'!$K$20+COUNTIF(BDD!H637:AR637,7)*'ButsMPG + Var'!$K$19+COUNTIF(BDD!H637:AR637,6)*'ButsMPG + Var'!$K$18+COUNTIF(BDD!H637:AR637,5)*'ButsMPG + Var'!$K$17+COUNTIF(BDD!H637:AR637,4)*'ButsMPG + Var'!$K$16+COUNTIF(BDD!H637:AR637,3)*'ButsMPG + Var'!$K$15+COUNTIF(BDD!H637:AR637,2)*'ButsMPG + Var'!$K$14+COUNTIF(BDD!H637:AR637,1)*'ButsMPG + Var'!$K$13,IF(C634="D",COUNTIF(BDD!H637:AR637,10)*'ButsMPG + Var'!$K$32+COUNTIF(BDD!H637:AR637,9)*'ButsMPG + Var'!$K$31+COUNTIF(BDD!H637:AR637,8)*'ButsMPG + Var'!$K$30+COUNTIF(BDD!H637:AR637,7)*'ButsMPG + Var'!$K$29+COUNTIF(BDD!H637:AR637,6)*'ButsMPG + Var'!$K$28+COUNTIF(BDD!H637:AR637,5)*'ButsMPG + Var'!$K$27+COUNTIF(BDD!H637:AR637,4)*'ButsMPG + Var'!$K$26+COUNTIF(BDD!H637:AR637,3)*'ButsMPG + Var'!$K$25+COUNTIF(BDD!H637:AR637,2)*'ButsMPG + Var'!$K$24+COUNTIF(BDD!H637:AR637,1)*'ButsMPG + Var'!$K$23,0)))</f>
        <v>0</v>
      </c>
      <c r="H634" s="25">
        <f t="shared" si="10"/>
        <v>0</v>
      </c>
      <c r="I634" s="25">
        <f>BDD!G637</f>
        <v>0</v>
      </c>
      <c r="J634" s="25">
        <f>SUMPRODUCT(BDD!H637:AS637,'ButsMPG + Var'!$B$46:$AM$46)</f>
        <v>0</v>
      </c>
      <c r="K634" s="25" t="e">
        <f>10*('ButsMPG + Var'!$H$37*J634/MAX(J:J)+'ButsMPG + Var'!$G$37*H634/MAX(H:H))</f>
        <v>#DIV/0!</v>
      </c>
      <c r="L634" s="1">
        <f>IF(ISNA(VLOOKUP(B634,PrixMini!$B$3:$E$573,4,FALSE)),1,VLOOKUP(B634,PrixMini!$B$3:$E$573,4,FALSE))</f>
        <v>1</v>
      </c>
      <c r="M634" s="25" t="e">
        <f>IF(ROUND(CalculCotation!$D$3*EXP(CalculCotation!$C$3*K634)-CalculCotation!$D$3+1,0)&gt;L634,ROUND(CalculCotation!$D$3*EXP(CalculCotation!$C$3*K634)-CalculCotation!$D$3+1,0),L634)</f>
        <v>#DIV/0!</v>
      </c>
    </row>
    <row r="635" spans="2:13" x14ac:dyDescent="0.3">
      <c r="B635" s="1">
        <f>BDD!C638</f>
        <v>0</v>
      </c>
      <c r="C635" s="1">
        <f>BDD!B638</f>
        <v>0</v>
      </c>
      <c r="D635" s="1">
        <f>BDD!A638</f>
        <v>0</v>
      </c>
      <c r="E635" s="1">
        <f>BDD!D638</f>
        <v>0</v>
      </c>
      <c r="F635" s="1">
        <f>BDD!F638</f>
        <v>0</v>
      </c>
      <c r="G635" s="25">
        <f>'ButsMPG + Var'!$I$39*IF(C635="A",COUNTIF(BDD!H638:AR638,10)*'ButsMPG + Var'!$K$12+COUNTIF(BDD!H638:AR638,9)*'ButsMPG + Var'!$K$11+COUNTIF(BDD!H638:AR638,8)*'ButsMPG + Var'!$K$10+COUNTIF(BDD!H638:AR638,7)*'ButsMPG + Var'!$K$9+COUNTIF(BDD!H638:AR638,6)*'ButsMPG + Var'!$K$8+COUNTIF(BDD!H638:AR638,5)*'ButsMPG + Var'!$K$7+COUNTIF(BDD!H638:AR638,4)*'ButsMPG + Var'!$K$6+COUNTIF(BDD!H638:AR638,3)*'ButsMPG + Var'!$K$5+COUNTIF(BDD!H638:AR638,2)*'ButsMPG + Var'!$K$4+COUNTIF(BDD!H638:AR638,1)*'ButsMPG + Var'!$K$3,IF(C635="M",COUNTIF(BDD!H638:AR638,10)*'ButsMPG + Var'!$K$22+COUNTIF(BDD!H638:AR638,9)*'ButsMPG + Var'!$K$21+COUNTIF(BDD!H638:AR638,8)*'ButsMPG + Var'!$K$20+COUNTIF(BDD!H638:AR638,7)*'ButsMPG + Var'!$K$19+COUNTIF(BDD!H638:AR638,6)*'ButsMPG + Var'!$K$18+COUNTIF(BDD!H638:AR638,5)*'ButsMPG + Var'!$K$17+COUNTIF(BDD!H638:AR638,4)*'ButsMPG + Var'!$K$16+COUNTIF(BDD!H638:AR638,3)*'ButsMPG + Var'!$K$15+COUNTIF(BDD!H638:AR638,2)*'ButsMPG + Var'!$K$14+COUNTIF(BDD!H638:AR638,1)*'ButsMPG + Var'!$K$13,IF(C635="D",COUNTIF(BDD!H638:AR638,10)*'ButsMPG + Var'!$K$32+COUNTIF(BDD!H638:AR638,9)*'ButsMPG + Var'!$K$31+COUNTIF(BDD!H638:AR638,8)*'ButsMPG + Var'!$K$30+COUNTIF(BDD!H638:AR638,7)*'ButsMPG + Var'!$K$29+COUNTIF(BDD!H638:AR638,6)*'ButsMPG + Var'!$K$28+COUNTIF(BDD!H638:AR638,5)*'ButsMPG + Var'!$K$27+COUNTIF(BDD!H638:AR638,4)*'ButsMPG + Var'!$K$26+COUNTIF(BDD!H638:AR638,3)*'ButsMPG + Var'!$K$25+COUNTIF(BDD!H638:AR638,2)*'ButsMPG + Var'!$K$24+COUNTIF(BDD!H638:AR638,1)*'ButsMPG + Var'!$K$23,0)))</f>
        <v>0</v>
      </c>
      <c r="H635" s="25">
        <f t="shared" si="10"/>
        <v>0</v>
      </c>
      <c r="I635" s="25">
        <f>BDD!G638</f>
        <v>0</v>
      </c>
      <c r="J635" s="25">
        <f>SUMPRODUCT(BDD!H638:AS638,'ButsMPG + Var'!$B$46:$AM$46)</f>
        <v>0</v>
      </c>
      <c r="K635" s="25" t="e">
        <f>10*('ButsMPG + Var'!$H$37*J635/MAX(J:J)+'ButsMPG + Var'!$G$37*H635/MAX(H:H))</f>
        <v>#DIV/0!</v>
      </c>
      <c r="L635" s="1">
        <f>IF(ISNA(VLOOKUP(B635,PrixMini!$B$3:$E$573,4,FALSE)),1,VLOOKUP(B635,PrixMini!$B$3:$E$573,4,FALSE))</f>
        <v>1</v>
      </c>
      <c r="M635" s="25" t="e">
        <f>IF(ROUND(CalculCotation!$D$3*EXP(CalculCotation!$C$3*K635)-CalculCotation!$D$3+1,0)&gt;L635,ROUND(CalculCotation!$D$3*EXP(CalculCotation!$C$3*K635)-CalculCotation!$D$3+1,0),L635)</f>
        <v>#DIV/0!</v>
      </c>
    </row>
    <row r="636" spans="2:13" x14ac:dyDescent="0.3">
      <c r="B636" s="1">
        <f>BDD!C639</f>
        <v>0</v>
      </c>
      <c r="C636" s="1">
        <f>BDD!B639</f>
        <v>0</v>
      </c>
      <c r="D636" s="1">
        <f>BDD!A639</f>
        <v>0</v>
      </c>
      <c r="E636" s="1">
        <f>BDD!D639</f>
        <v>0</v>
      </c>
      <c r="F636" s="1">
        <f>BDD!F639</f>
        <v>0</v>
      </c>
      <c r="G636" s="25">
        <f>'ButsMPG + Var'!$I$39*IF(C636="A",COUNTIF(BDD!H639:AR639,10)*'ButsMPG + Var'!$K$12+COUNTIF(BDD!H639:AR639,9)*'ButsMPG + Var'!$K$11+COUNTIF(BDD!H639:AR639,8)*'ButsMPG + Var'!$K$10+COUNTIF(BDD!H639:AR639,7)*'ButsMPG + Var'!$K$9+COUNTIF(BDD!H639:AR639,6)*'ButsMPG + Var'!$K$8+COUNTIF(BDD!H639:AR639,5)*'ButsMPG + Var'!$K$7+COUNTIF(BDD!H639:AR639,4)*'ButsMPG + Var'!$K$6+COUNTIF(BDD!H639:AR639,3)*'ButsMPG + Var'!$K$5+COUNTIF(BDD!H639:AR639,2)*'ButsMPG + Var'!$K$4+COUNTIF(BDD!H639:AR639,1)*'ButsMPG + Var'!$K$3,IF(C636="M",COUNTIF(BDD!H639:AR639,10)*'ButsMPG + Var'!$K$22+COUNTIF(BDD!H639:AR639,9)*'ButsMPG + Var'!$K$21+COUNTIF(BDD!H639:AR639,8)*'ButsMPG + Var'!$K$20+COUNTIF(BDD!H639:AR639,7)*'ButsMPG + Var'!$K$19+COUNTIF(BDD!H639:AR639,6)*'ButsMPG + Var'!$K$18+COUNTIF(BDD!H639:AR639,5)*'ButsMPG + Var'!$K$17+COUNTIF(BDD!H639:AR639,4)*'ButsMPG + Var'!$K$16+COUNTIF(BDD!H639:AR639,3)*'ButsMPG + Var'!$K$15+COUNTIF(BDD!H639:AR639,2)*'ButsMPG + Var'!$K$14+COUNTIF(BDD!H639:AR639,1)*'ButsMPG + Var'!$K$13,IF(C636="D",COUNTIF(BDD!H639:AR639,10)*'ButsMPG + Var'!$K$32+COUNTIF(BDD!H639:AR639,9)*'ButsMPG + Var'!$K$31+COUNTIF(BDD!H639:AR639,8)*'ButsMPG + Var'!$K$30+COUNTIF(BDD!H639:AR639,7)*'ButsMPG + Var'!$K$29+COUNTIF(BDD!H639:AR639,6)*'ButsMPG + Var'!$K$28+COUNTIF(BDD!H639:AR639,5)*'ButsMPG + Var'!$K$27+COUNTIF(BDD!H639:AR639,4)*'ButsMPG + Var'!$K$26+COUNTIF(BDD!H639:AR639,3)*'ButsMPG + Var'!$K$25+COUNTIF(BDD!H639:AR639,2)*'ButsMPG + Var'!$K$24+COUNTIF(BDD!H639:AR639,1)*'ButsMPG + Var'!$K$23,0)))</f>
        <v>0</v>
      </c>
      <c r="H636" s="25">
        <f t="shared" si="10"/>
        <v>0</v>
      </c>
      <c r="I636" s="25">
        <f>BDD!G639</f>
        <v>0</v>
      </c>
      <c r="J636" s="25">
        <f>SUMPRODUCT(BDD!H639:AS639,'ButsMPG + Var'!$B$46:$AM$46)</f>
        <v>0</v>
      </c>
      <c r="K636" s="25" t="e">
        <f>10*('ButsMPG + Var'!$H$37*J636/MAX(J:J)+'ButsMPG + Var'!$G$37*H636/MAX(H:H))</f>
        <v>#DIV/0!</v>
      </c>
      <c r="L636" s="1">
        <f>IF(ISNA(VLOOKUP(B636,PrixMini!$B$3:$E$573,4,FALSE)),1,VLOOKUP(B636,PrixMini!$B$3:$E$573,4,FALSE))</f>
        <v>1</v>
      </c>
      <c r="M636" s="25" t="e">
        <f>IF(ROUND(CalculCotation!$D$3*EXP(CalculCotation!$C$3*K636)-CalculCotation!$D$3+1,0)&gt;L636,ROUND(CalculCotation!$D$3*EXP(CalculCotation!$C$3*K636)-CalculCotation!$D$3+1,0),L636)</f>
        <v>#DIV/0!</v>
      </c>
    </row>
    <row r="637" spans="2:13" x14ac:dyDescent="0.3">
      <c r="B637" s="1">
        <f>BDD!C640</f>
        <v>0</v>
      </c>
      <c r="C637" s="1">
        <f>BDD!B640</f>
        <v>0</v>
      </c>
      <c r="D637" s="1">
        <f>BDD!A640</f>
        <v>0</v>
      </c>
      <c r="E637" s="1">
        <f>BDD!D640</f>
        <v>0</v>
      </c>
      <c r="F637" s="1">
        <f>BDD!F640</f>
        <v>0</v>
      </c>
      <c r="G637" s="25">
        <f>'ButsMPG + Var'!$I$39*IF(C637="A",COUNTIF(BDD!H640:AR640,10)*'ButsMPG + Var'!$K$12+COUNTIF(BDD!H640:AR640,9)*'ButsMPG + Var'!$K$11+COUNTIF(BDD!H640:AR640,8)*'ButsMPG + Var'!$K$10+COUNTIF(BDD!H640:AR640,7)*'ButsMPG + Var'!$K$9+COUNTIF(BDD!H640:AR640,6)*'ButsMPG + Var'!$K$8+COUNTIF(BDD!H640:AR640,5)*'ButsMPG + Var'!$K$7+COUNTIF(BDD!H640:AR640,4)*'ButsMPG + Var'!$K$6+COUNTIF(BDD!H640:AR640,3)*'ButsMPG + Var'!$K$5+COUNTIF(BDD!H640:AR640,2)*'ButsMPG + Var'!$K$4+COUNTIF(BDD!H640:AR640,1)*'ButsMPG + Var'!$K$3,IF(C637="M",COUNTIF(BDD!H640:AR640,10)*'ButsMPG + Var'!$K$22+COUNTIF(BDD!H640:AR640,9)*'ButsMPG + Var'!$K$21+COUNTIF(BDD!H640:AR640,8)*'ButsMPG + Var'!$K$20+COUNTIF(BDD!H640:AR640,7)*'ButsMPG + Var'!$K$19+COUNTIF(BDD!H640:AR640,6)*'ButsMPG + Var'!$K$18+COUNTIF(BDD!H640:AR640,5)*'ButsMPG + Var'!$K$17+COUNTIF(BDD!H640:AR640,4)*'ButsMPG + Var'!$K$16+COUNTIF(BDD!H640:AR640,3)*'ButsMPG + Var'!$K$15+COUNTIF(BDD!H640:AR640,2)*'ButsMPG + Var'!$K$14+COUNTIF(BDD!H640:AR640,1)*'ButsMPG + Var'!$K$13,IF(C637="D",COUNTIF(BDD!H640:AR640,10)*'ButsMPG + Var'!$K$32+COUNTIF(BDD!H640:AR640,9)*'ButsMPG + Var'!$K$31+COUNTIF(BDD!H640:AR640,8)*'ButsMPG + Var'!$K$30+COUNTIF(BDD!H640:AR640,7)*'ButsMPG + Var'!$K$29+COUNTIF(BDD!H640:AR640,6)*'ButsMPG + Var'!$K$28+COUNTIF(BDD!H640:AR640,5)*'ButsMPG + Var'!$K$27+COUNTIF(BDD!H640:AR640,4)*'ButsMPG + Var'!$K$26+COUNTIF(BDD!H640:AR640,3)*'ButsMPG + Var'!$K$25+COUNTIF(BDD!H640:AR640,2)*'ButsMPG + Var'!$K$24+COUNTIF(BDD!H640:AR640,1)*'ButsMPG + Var'!$K$23,0)))</f>
        <v>0</v>
      </c>
      <c r="H637" s="25">
        <f t="shared" si="10"/>
        <v>0</v>
      </c>
      <c r="I637" s="25">
        <f>BDD!G640</f>
        <v>0</v>
      </c>
      <c r="J637" s="25">
        <f>SUMPRODUCT(BDD!H640:AS640,'ButsMPG + Var'!$B$46:$AM$46)</f>
        <v>0</v>
      </c>
      <c r="K637" s="25" t="e">
        <f>10*('ButsMPG + Var'!$H$37*J637/MAX(J:J)+'ButsMPG + Var'!$G$37*H637/MAX(H:H))</f>
        <v>#DIV/0!</v>
      </c>
      <c r="L637" s="1">
        <f>IF(ISNA(VLOOKUP(B637,PrixMini!$B$3:$E$573,4,FALSE)),1,VLOOKUP(B637,PrixMini!$B$3:$E$573,4,FALSE))</f>
        <v>1</v>
      </c>
      <c r="M637" s="25" t="e">
        <f>IF(ROUND(CalculCotation!$D$3*EXP(CalculCotation!$C$3*K637)-CalculCotation!$D$3+1,0)&gt;L637,ROUND(CalculCotation!$D$3*EXP(CalculCotation!$C$3*K637)-CalculCotation!$D$3+1,0),L637)</f>
        <v>#DIV/0!</v>
      </c>
    </row>
    <row r="638" spans="2:13" x14ac:dyDescent="0.3">
      <c r="B638" s="1">
        <f>BDD!C641</f>
        <v>0</v>
      </c>
      <c r="C638" s="1">
        <f>BDD!B641</f>
        <v>0</v>
      </c>
      <c r="D638" s="1">
        <f>BDD!A641</f>
        <v>0</v>
      </c>
      <c r="E638" s="1">
        <f>BDD!D641</f>
        <v>0</v>
      </c>
      <c r="F638" s="1">
        <f>BDD!F641</f>
        <v>0</v>
      </c>
      <c r="G638" s="25">
        <f>'ButsMPG + Var'!$I$39*IF(C638="A",COUNTIF(BDD!H641:AR641,10)*'ButsMPG + Var'!$K$12+COUNTIF(BDD!H641:AR641,9)*'ButsMPG + Var'!$K$11+COUNTIF(BDD!H641:AR641,8)*'ButsMPG + Var'!$K$10+COUNTIF(BDD!H641:AR641,7)*'ButsMPG + Var'!$K$9+COUNTIF(BDD!H641:AR641,6)*'ButsMPG + Var'!$K$8+COUNTIF(BDD!H641:AR641,5)*'ButsMPG + Var'!$K$7+COUNTIF(BDD!H641:AR641,4)*'ButsMPG + Var'!$K$6+COUNTIF(BDD!H641:AR641,3)*'ButsMPG + Var'!$K$5+COUNTIF(BDD!H641:AR641,2)*'ButsMPG + Var'!$K$4+COUNTIF(BDD!H641:AR641,1)*'ButsMPG + Var'!$K$3,IF(C638="M",COUNTIF(BDD!H641:AR641,10)*'ButsMPG + Var'!$K$22+COUNTIF(BDD!H641:AR641,9)*'ButsMPG + Var'!$K$21+COUNTIF(BDD!H641:AR641,8)*'ButsMPG + Var'!$K$20+COUNTIF(BDD!H641:AR641,7)*'ButsMPG + Var'!$K$19+COUNTIF(BDD!H641:AR641,6)*'ButsMPG + Var'!$K$18+COUNTIF(BDD!H641:AR641,5)*'ButsMPG + Var'!$K$17+COUNTIF(BDD!H641:AR641,4)*'ButsMPG + Var'!$K$16+COUNTIF(BDD!H641:AR641,3)*'ButsMPG + Var'!$K$15+COUNTIF(BDD!H641:AR641,2)*'ButsMPG + Var'!$K$14+COUNTIF(BDD!H641:AR641,1)*'ButsMPG + Var'!$K$13,IF(C638="D",COUNTIF(BDD!H641:AR641,10)*'ButsMPG + Var'!$K$32+COUNTIF(BDD!H641:AR641,9)*'ButsMPG + Var'!$K$31+COUNTIF(BDD!H641:AR641,8)*'ButsMPG + Var'!$K$30+COUNTIF(BDD!H641:AR641,7)*'ButsMPG + Var'!$K$29+COUNTIF(BDD!H641:AR641,6)*'ButsMPG + Var'!$K$28+COUNTIF(BDD!H641:AR641,5)*'ButsMPG + Var'!$K$27+COUNTIF(BDD!H641:AR641,4)*'ButsMPG + Var'!$K$26+COUNTIF(BDD!H641:AR641,3)*'ButsMPG + Var'!$K$25+COUNTIF(BDD!H641:AR641,2)*'ButsMPG + Var'!$K$24+COUNTIF(BDD!H641:AR641,1)*'ButsMPG + Var'!$K$23,0)))</f>
        <v>0</v>
      </c>
      <c r="H638" s="25">
        <f t="shared" si="10"/>
        <v>0</v>
      </c>
      <c r="I638" s="25">
        <f>BDD!G641</f>
        <v>0</v>
      </c>
      <c r="J638" s="25">
        <f>SUMPRODUCT(BDD!H641:AS641,'ButsMPG + Var'!$B$46:$AM$46)</f>
        <v>0</v>
      </c>
      <c r="K638" s="25" t="e">
        <f>10*('ButsMPG + Var'!$H$37*J638/MAX(J:J)+'ButsMPG + Var'!$G$37*H638/MAX(H:H))</f>
        <v>#DIV/0!</v>
      </c>
      <c r="L638" s="1">
        <f>IF(ISNA(VLOOKUP(B638,PrixMini!$B$3:$E$573,4,FALSE)),1,VLOOKUP(B638,PrixMini!$B$3:$E$573,4,FALSE))</f>
        <v>1</v>
      </c>
      <c r="M638" s="25" t="e">
        <f>IF(ROUND(CalculCotation!$D$3*EXP(CalculCotation!$C$3*K638)-CalculCotation!$D$3+1,0)&gt;L638,ROUND(CalculCotation!$D$3*EXP(CalculCotation!$C$3*K638)-CalculCotation!$D$3+1,0),L638)</f>
        <v>#DIV/0!</v>
      </c>
    </row>
    <row r="639" spans="2:13" x14ac:dyDescent="0.3">
      <c r="B639" s="1">
        <f>BDD!C642</f>
        <v>0</v>
      </c>
      <c r="C639" s="1">
        <f>BDD!B642</f>
        <v>0</v>
      </c>
      <c r="D639" s="1">
        <f>BDD!A642</f>
        <v>0</v>
      </c>
      <c r="E639" s="1">
        <f>BDD!D642</f>
        <v>0</v>
      </c>
      <c r="F639" s="1">
        <f>BDD!F642</f>
        <v>0</v>
      </c>
      <c r="G639" s="25">
        <f>'ButsMPG + Var'!$I$39*IF(C639="A",COUNTIF(BDD!H642:AR642,10)*'ButsMPG + Var'!$K$12+COUNTIF(BDD!H642:AR642,9)*'ButsMPG + Var'!$K$11+COUNTIF(BDD!H642:AR642,8)*'ButsMPG + Var'!$K$10+COUNTIF(BDD!H642:AR642,7)*'ButsMPG + Var'!$K$9+COUNTIF(BDD!H642:AR642,6)*'ButsMPG + Var'!$K$8+COUNTIF(BDD!H642:AR642,5)*'ButsMPG + Var'!$K$7+COUNTIF(BDD!H642:AR642,4)*'ButsMPG + Var'!$K$6+COUNTIF(BDD!H642:AR642,3)*'ButsMPG + Var'!$K$5+COUNTIF(BDD!H642:AR642,2)*'ButsMPG + Var'!$K$4+COUNTIF(BDD!H642:AR642,1)*'ButsMPG + Var'!$K$3,IF(C639="M",COUNTIF(BDD!H642:AR642,10)*'ButsMPG + Var'!$K$22+COUNTIF(BDD!H642:AR642,9)*'ButsMPG + Var'!$K$21+COUNTIF(BDD!H642:AR642,8)*'ButsMPG + Var'!$K$20+COUNTIF(BDD!H642:AR642,7)*'ButsMPG + Var'!$K$19+COUNTIF(BDD!H642:AR642,6)*'ButsMPG + Var'!$K$18+COUNTIF(BDD!H642:AR642,5)*'ButsMPG + Var'!$K$17+COUNTIF(BDD!H642:AR642,4)*'ButsMPG + Var'!$K$16+COUNTIF(BDD!H642:AR642,3)*'ButsMPG + Var'!$K$15+COUNTIF(BDD!H642:AR642,2)*'ButsMPG + Var'!$K$14+COUNTIF(BDD!H642:AR642,1)*'ButsMPG + Var'!$K$13,IF(C639="D",COUNTIF(BDD!H642:AR642,10)*'ButsMPG + Var'!$K$32+COUNTIF(BDD!H642:AR642,9)*'ButsMPG + Var'!$K$31+COUNTIF(BDD!H642:AR642,8)*'ButsMPG + Var'!$K$30+COUNTIF(BDD!H642:AR642,7)*'ButsMPG + Var'!$K$29+COUNTIF(BDD!H642:AR642,6)*'ButsMPG + Var'!$K$28+COUNTIF(BDD!H642:AR642,5)*'ButsMPG + Var'!$K$27+COUNTIF(BDD!H642:AR642,4)*'ButsMPG + Var'!$K$26+COUNTIF(BDD!H642:AR642,3)*'ButsMPG + Var'!$K$25+COUNTIF(BDD!H642:AR642,2)*'ButsMPG + Var'!$K$24+COUNTIF(BDD!H642:AR642,1)*'ButsMPG + Var'!$K$23,0)))</f>
        <v>0</v>
      </c>
      <c r="H639" s="25">
        <f t="shared" si="10"/>
        <v>0</v>
      </c>
      <c r="I639" s="25">
        <f>BDD!G642</f>
        <v>0</v>
      </c>
      <c r="J639" s="25">
        <f>SUMPRODUCT(BDD!H642:AS642,'ButsMPG + Var'!$B$46:$AM$46)</f>
        <v>0</v>
      </c>
      <c r="K639" s="25" t="e">
        <f>10*('ButsMPG + Var'!$H$37*J639/MAX(J:J)+'ButsMPG + Var'!$G$37*H639/MAX(H:H))</f>
        <v>#DIV/0!</v>
      </c>
      <c r="L639" s="1">
        <f>IF(ISNA(VLOOKUP(B639,PrixMini!$B$3:$E$573,4,FALSE)),1,VLOOKUP(B639,PrixMini!$B$3:$E$573,4,FALSE))</f>
        <v>1</v>
      </c>
      <c r="M639" s="25" t="e">
        <f>IF(ROUND(CalculCotation!$D$3*EXP(CalculCotation!$C$3*K639)-CalculCotation!$D$3+1,0)&gt;L639,ROUND(CalculCotation!$D$3*EXP(CalculCotation!$C$3*K639)-CalculCotation!$D$3+1,0),L639)</f>
        <v>#DIV/0!</v>
      </c>
    </row>
    <row r="640" spans="2:13" x14ac:dyDescent="0.3">
      <c r="B640" s="1">
        <f>BDD!C643</f>
        <v>0</v>
      </c>
      <c r="C640" s="1">
        <f>BDD!B643</f>
        <v>0</v>
      </c>
      <c r="D640" s="1">
        <f>BDD!A643</f>
        <v>0</v>
      </c>
      <c r="E640" s="1">
        <f>BDD!D643</f>
        <v>0</v>
      </c>
      <c r="F640" s="1">
        <f>BDD!F643</f>
        <v>0</v>
      </c>
      <c r="G640" s="25">
        <f>'ButsMPG + Var'!$I$39*IF(C640="A",COUNTIF(BDD!H643:AR643,10)*'ButsMPG + Var'!$K$12+COUNTIF(BDD!H643:AR643,9)*'ButsMPG + Var'!$K$11+COUNTIF(BDD!H643:AR643,8)*'ButsMPG + Var'!$K$10+COUNTIF(BDD!H643:AR643,7)*'ButsMPG + Var'!$K$9+COUNTIF(BDD!H643:AR643,6)*'ButsMPG + Var'!$K$8+COUNTIF(BDD!H643:AR643,5)*'ButsMPG + Var'!$K$7+COUNTIF(BDD!H643:AR643,4)*'ButsMPG + Var'!$K$6+COUNTIF(BDD!H643:AR643,3)*'ButsMPG + Var'!$K$5+COUNTIF(BDD!H643:AR643,2)*'ButsMPG + Var'!$K$4+COUNTIF(BDD!H643:AR643,1)*'ButsMPG + Var'!$K$3,IF(C640="M",COUNTIF(BDD!H643:AR643,10)*'ButsMPG + Var'!$K$22+COUNTIF(BDD!H643:AR643,9)*'ButsMPG + Var'!$K$21+COUNTIF(BDD!H643:AR643,8)*'ButsMPG + Var'!$K$20+COUNTIF(BDD!H643:AR643,7)*'ButsMPG + Var'!$K$19+COUNTIF(BDD!H643:AR643,6)*'ButsMPG + Var'!$K$18+COUNTIF(BDD!H643:AR643,5)*'ButsMPG + Var'!$K$17+COUNTIF(BDD!H643:AR643,4)*'ButsMPG + Var'!$K$16+COUNTIF(BDD!H643:AR643,3)*'ButsMPG + Var'!$K$15+COUNTIF(BDD!H643:AR643,2)*'ButsMPG + Var'!$K$14+COUNTIF(BDD!H643:AR643,1)*'ButsMPG + Var'!$K$13,IF(C640="D",COUNTIF(BDD!H643:AR643,10)*'ButsMPG + Var'!$K$32+COUNTIF(BDD!H643:AR643,9)*'ButsMPG + Var'!$K$31+COUNTIF(BDD!H643:AR643,8)*'ButsMPG + Var'!$K$30+COUNTIF(BDD!H643:AR643,7)*'ButsMPG + Var'!$K$29+COUNTIF(BDD!H643:AR643,6)*'ButsMPG + Var'!$K$28+COUNTIF(BDD!H643:AR643,5)*'ButsMPG + Var'!$K$27+COUNTIF(BDD!H643:AR643,4)*'ButsMPG + Var'!$K$26+COUNTIF(BDD!H643:AR643,3)*'ButsMPG + Var'!$K$25+COUNTIF(BDD!H643:AR643,2)*'ButsMPG + Var'!$K$24+COUNTIF(BDD!H643:AR643,1)*'ButsMPG + Var'!$K$23,0)))</f>
        <v>0</v>
      </c>
      <c r="H640" s="25">
        <f t="shared" si="10"/>
        <v>0</v>
      </c>
      <c r="I640" s="25">
        <f>BDD!G643</f>
        <v>0</v>
      </c>
      <c r="J640" s="25">
        <f>SUMPRODUCT(BDD!H643:AS643,'ButsMPG + Var'!$B$46:$AM$46)</f>
        <v>0</v>
      </c>
      <c r="K640" s="25" t="e">
        <f>10*('ButsMPG + Var'!$H$37*J640/MAX(J:J)+'ButsMPG + Var'!$G$37*H640/MAX(H:H))</f>
        <v>#DIV/0!</v>
      </c>
      <c r="L640" s="1">
        <f>IF(ISNA(VLOOKUP(B640,PrixMini!$B$3:$E$573,4,FALSE)),1,VLOOKUP(B640,PrixMini!$B$3:$E$573,4,FALSE))</f>
        <v>1</v>
      </c>
      <c r="M640" s="25" t="e">
        <f>IF(ROUND(CalculCotation!$D$3*EXP(CalculCotation!$C$3*K640)-CalculCotation!$D$3+1,0)&gt;L640,ROUND(CalculCotation!$D$3*EXP(CalculCotation!$C$3*K640)-CalculCotation!$D$3+1,0),L640)</f>
        <v>#DIV/0!</v>
      </c>
    </row>
    <row r="641" spans="2:13" x14ac:dyDescent="0.3">
      <c r="B641" s="1">
        <f>BDD!C644</f>
        <v>0</v>
      </c>
      <c r="C641" s="1">
        <f>BDD!B644</f>
        <v>0</v>
      </c>
      <c r="D641" s="1">
        <f>BDD!A644</f>
        <v>0</v>
      </c>
      <c r="E641" s="1">
        <f>BDD!D644</f>
        <v>0</v>
      </c>
      <c r="F641" s="1">
        <f>BDD!F644</f>
        <v>0</v>
      </c>
      <c r="G641" s="25">
        <f>'ButsMPG + Var'!$I$39*IF(C641="A",COUNTIF(BDD!H644:AR644,10)*'ButsMPG + Var'!$K$12+COUNTIF(BDD!H644:AR644,9)*'ButsMPG + Var'!$K$11+COUNTIF(BDD!H644:AR644,8)*'ButsMPG + Var'!$K$10+COUNTIF(BDD!H644:AR644,7)*'ButsMPG + Var'!$K$9+COUNTIF(BDD!H644:AR644,6)*'ButsMPG + Var'!$K$8+COUNTIF(BDD!H644:AR644,5)*'ButsMPG + Var'!$K$7+COUNTIF(BDD!H644:AR644,4)*'ButsMPG + Var'!$K$6+COUNTIF(BDD!H644:AR644,3)*'ButsMPG + Var'!$K$5+COUNTIF(BDD!H644:AR644,2)*'ButsMPG + Var'!$K$4+COUNTIF(BDD!H644:AR644,1)*'ButsMPG + Var'!$K$3,IF(C641="M",COUNTIF(BDD!H644:AR644,10)*'ButsMPG + Var'!$K$22+COUNTIF(BDD!H644:AR644,9)*'ButsMPG + Var'!$K$21+COUNTIF(BDD!H644:AR644,8)*'ButsMPG + Var'!$K$20+COUNTIF(BDD!H644:AR644,7)*'ButsMPG + Var'!$K$19+COUNTIF(BDD!H644:AR644,6)*'ButsMPG + Var'!$K$18+COUNTIF(BDD!H644:AR644,5)*'ButsMPG + Var'!$K$17+COUNTIF(BDD!H644:AR644,4)*'ButsMPG + Var'!$K$16+COUNTIF(BDD!H644:AR644,3)*'ButsMPG + Var'!$K$15+COUNTIF(BDD!H644:AR644,2)*'ButsMPG + Var'!$K$14+COUNTIF(BDD!H644:AR644,1)*'ButsMPG + Var'!$K$13,IF(C641="D",COUNTIF(BDD!H644:AR644,10)*'ButsMPG + Var'!$K$32+COUNTIF(BDD!H644:AR644,9)*'ButsMPG + Var'!$K$31+COUNTIF(BDD!H644:AR644,8)*'ButsMPG + Var'!$K$30+COUNTIF(BDD!H644:AR644,7)*'ButsMPG + Var'!$K$29+COUNTIF(BDD!H644:AR644,6)*'ButsMPG + Var'!$K$28+COUNTIF(BDD!H644:AR644,5)*'ButsMPG + Var'!$K$27+COUNTIF(BDD!H644:AR644,4)*'ButsMPG + Var'!$K$26+COUNTIF(BDD!H644:AR644,3)*'ButsMPG + Var'!$K$25+COUNTIF(BDD!H644:AR644,2)*'ButsMPG + Var'!$K$24+COUNTIF(BDD!H644:AR644,1)*'ButsMPG + Var'!$K$23,0)))</f>
        <v>0</v>
      </c>
      <c r="H641" s="25">
        <f t="shared" si="10"/>
        <v>0</v>
      </c>
      <c r="I641" s="25">
        <f>BDD!G644</f>
        <v>0</v>
      </c>
      <c r="J641" s="25">
        <f>SUMPRODUCT(BDD!H644:AS644,'ButsMPG + Var'!$B$46:$AM$46)</f>
        <v>0</v>
      </c>
      <c r="K641" s="25" t="e">
        <f>10*('ButsMPG + Var'!$H$37*J641/MAX(J:J)+'ButsMPG + Var'!$G$37*H641/MAX(H:H))</f>
        <v>#DIV/0!</v>
      </c>
      <c r="L641" s="1">
        <f>IF(ISNA(VLOOKUP(B641,PrixMini!$B$3:$E$573,4,FALSE)),1,VLOOKUP(B641,PrixMini!$B$3:$E$573,4,FALSE))</f>
        <v>1</v>
      </c>
      <c r="M641" s="25" t="e">
        <f>IF(ROUND(CalculCotation!$D$3*EXP(CalculCotation!$C$3*K641)-CalculCotation!$D$3+1,0)&gt;L641,ROUND(CalculCotation!$D$3*EXP(CalculCotation!$C$3*K641)-CalculCotation!$D$3+1,0),L641)</f>
        <v>#DIV/0!</v>
      </c>
    </row>
    <row r="642" spans="2:13" x14ac:dyDescent="0.3">
      <c r="B642" s="1">
        <f>BDD!C645</f>
        <v>0</v>
      </c>
      <c r="C642" s="1">
        <f>BDD!B645</f>
        <v>0</v>
      </c>
      <c r="D642" s="1">
        <f>BDD!A645</f>
        <v>0</v>
      </c>
      <c r="E642" s="1">
        <f>BDD!D645</f>
        <v>0</v>
      </c>
      <c r="F642" s="1">
        <f>BDD!F645</f>
        <v>0</v>
      </c>
      <c r="G642" s="25">
        <f>'ButsMPG + Var'!$I$39*IF(C642="A",COUNTIF(BDD!H645:AR645,10)*'ButsMPG + Var'!$K$12+COUNTIF(BDD!H645:AR645,9)*'ButsMPG + Var'!$K$11+COUNTIF(BDD!H645:AR645,8)*'ButsMPG + Var'!$K$10+COUNTIF(BDD!H645:AR645,7)*'ButsMPG + Var'!$K$9+COUNTIF(BDD!H645:AR645,6)*'ButsMPG + Var'!$K$8+COUNTIF(BDD!H645:AR645,5)*'ButsMPG + Var'!$K$7+COUNTIF(BDD!H645:AR645,4)*'ButsMPG + Var'!$K$6+COUNTIF(BDD!H645:AR645,3)*'ButsMPG + Var'!$K$5+COUNTIF(BDD!H645:AR645,2)*'ButsMPG + Var'!$K$4+COUNTIF(BDD!H645:AR645,1)*'ButsMPG + Var'!$K$3,IF(C642="M",COUNTIF(BDD!H645:AR645,10)*'ButsMPG + Var'!$K$22+COUNTIF(BDD!H645:AR645,9)*'ButsMPG + Var'!$K$21+COUNTIF(BDD!H645:AR645,8)*'ButsMPG + Var'!$K$20+COUNTIF(BDD!H645:AR645,7)*'ButsMPG + Var'!$K$19+COUNTIF(BDD!H645:AR645,6)*'ButsMPG + Var'!$K$18+COUNTIF(BDD!H645:AR645,5)*'ButsMPG + Var'!$K$17+COUNTIF(BDD!H645:AR645,4)*'ButsMPG + Var'!$K$16+COUNTIF(BDD!H645:AR645,3)*'ButsMPG + Var'!$K$15+COUNTIF(BDD!H645:AR645,2)*'ButsMPG + Var'!$K$14+COUNTIF(BDD!H645:AR645,1)*'ButsMPG + Var'!$K$13,IF(C642="D",COUNTIF(BDD!H645:AR645,10)*'ButsMPG + Var'!$K$32+COUNTIF(BDD!H645:AR645,9)*'ButsMPG + Var'!$K$31+COUNTIF(BDD!H645:AR645,8)*'ButsMPG + Var'!$K$30+COUNTIF(BDD!H645:AR645,7)*'ButsMPG + Var'!$K$29+COUNTIF(BDD!H645:AR645,6)*'ButsMPG + Var'!$K$28+COUNTIF(BDD!H645:AR645,5)*'ButsMPG + Var'!$K$27+COUNTIF(BDD!H645:AR645,4)*'ButsMPG + Var'!$K$26+COUNTIF(BDD!H645:AR645,3)*'ButsMPG + Var'!$K$25+COUNTIF(BDD!H645:AR645,2)*'ButsMPG + Var'!$K$24+COUNTIF(BDD!H645:AR645,1)*'ButsMPG + Var'!$K$23,0)))</f>
        <v>0</v>
      </c>
      <c r="H642" s="25">
        <f t="shared" si="10"/>
        <v>0</v>
      </c>
      <c r="I642" s="25">
        <f>BDD!G645</f>
        <v>0</v>
      </c>
      <c r="J642" s="25">
        <f>SUMPRODUCT(BDD!H645:AS645,'ButsMPG + Var'!$B$46:$AM$46)</f>
        <v>0</v>
      </c>
      <c r="K642" s="25" t="e">
        <f>10*('ButsMPG + Var'!$H$37*J642/MAX(J:J)+'ButsMPG + Var'!$G$37*H642/MAX(H:H))</f>
        <v>#DIV/0!</v>
      </c>
      <c r="L642" s="1">
        <f>IF(ISNA(VLOOKUP(B642,PrixMini!$B$3:$E$573,4,FALSE)),1,VLOOKUP(B642,PrixMini!$B$3:$E$573,4,FALSE))</f>
        <v>1</v>
      </c>
      <c r="M642" s="25" t="e">
        <f>IF(ROUND(CalculCotation!$D$3*EXP(CalculCotation!$C$3*K642)-CalculCotation!$D$3+1,0)&gt;L642,ROUND(CalculCotation!$D$3*EXP(CalculCotation!$C$3*K642)-CalculCotation!$D$3+1,0),L642)</f>
        <v>#DIV/0!</v>
      </c>
    </row>
    <row r="643" spans="2:13" x14ac:dyDescent="0.3">
      <c r="B643" s="1">
        <f>BDD!C646</f>
        <v>0</v>
      </c>
      <c r="C643" s="1">
        <f>BDD!B646</f>
        <v>0</v>
      </c>
      <c r="D643" s="1">
        <f>BDD!A646</f>
        <v>0</v>
      </c>
      <c r="E643" s="1">
        <f>BDD!D646</f>
        <v>0</v>
      </c>
      <c r="F643" s="1">
        <f>BDD!F646</f>
        <v>0</v>
      </c>
      <c r="G643" s="25">
        <f>'ButsMPG + Var'!$I$39*IF(C643="A",COUNTIF(BDD!H646:AR646,10)*'ButsMPG + Var'!$K$12+COUNTIF(BDD!H646:AR646,9)*'ButsMPG + Var'!$K$11+COUNTIF(BDD!H646:AR646,8)*'ButsMPG + Var'!$K$10+COUNTIF(BDD!H646:AR646,7)*'ButsMPG + Var'!$K$9+COUNTIF(BDD!H646:AR646,6)*'ButsMPG + Var'!$K$8+COUNTIF(BDD!H646:AR646,5)*'ButsMPG + Var'!$K$7+COUNTIF(BDD!H646:AR646,4)*'ButsMPG + Var'!$K$6+COUNTIF(BDD!H646:AR646,3)*'ButsMPG + Var'!$K$5+COUNTIF(BDD!H646:AR646,2)*'ButsMPG + Var'!$K$4+COUNTIF(BDD!H646:AR646,1)*'ButsMPG + Var'!$K$3,IF(C643="M",COUNTIF(BDD!H646:AR646,10)*'ButsMPG + Var'!$K$22+COUNTIF(BDD!H646:AR646,9)*'ButsMPG + Var'!$K$21+COUNTIF(BDD!H646:AR646,8)*'ButsMPG + Var'!$K$20+COUNTIF(BDD!H646:AR646,7)*'ButsMPG + Var'!$K$19+COUNTIF(BDD!H646:AR646,6)*'ButsMPG + Var'!$K$18+COUNTIF(BDD!H646:AR646,5)*'ButsMPG + Var'!$K$17+COUNTIF(BDD!H646:AR646,4)*'ButsMPG + Var'!$K$16+COUNTIF(BDD!H646:AR646,3)*'ButsMPG + Var'!$K$15+COUNTIF(BDD!H646:AR646,2)*'ButsMPG + Var'!$K$14+COUNTIF(BDD!H646:AR646,1)*'ButsMPG + Var'!$K$13,IF(C643="D",COUNTIF(BDD!H646:AR646,10)*'ButsMPG + Var'!$K$32+COUNTIF(BDD!H646:AR646,9)*'ButsMPG + Var'!$K$31+COUNTIF(BDD!H646:AR646,8)*'ButsMPG + Var'!$K$30+COUNTIF(BDD!H646:AR646,7)*'ButsMPG + Var'!$K$29+COUNTIF(BDD!H646:AR646,6)*'ButsMPG + Var'!$K$28+COUNTIF(BDD!H646:AR646,5)*'ButsMPG + Var'!$K$27+COUNTIF(BDD!H646:AR646,4)*'ButsMPG + Var'!$K$26+COUNTIF(BDD!H646:AR646,3)*'ButsMPG + Var'!$K$25+COUNTIF(BDD!H646:AR646,2)*'ButsMPG + Var'!$K$24+COUNTIF(BDD!H646:AR646,1)*'ButsMPG + Var'!$K$23,0)))</f>
        <v>0</v>
      </c>
      <c r="H643" s="25">
        <f t="shared" si="10"/>
        <v>0</v>
      </c>
      <c r="I643" s="25">
        <f>BDD!G646</f>
        <v>0</v>
      </c>
      <c r="J643" s="25">
        <f>SUMPRODUCT(BDD!H646:AS646,'ButsMPG + Var'!$B$46:$AM$46)</f>
        <v>0</v>
      </c>
      <c r="K643" s="25" t="e">
        <f>10*('ButsMPG + Var'!$H$37*J643/MAX(J:J)+'ButsMPG + Var'!$G$37*H643/MAX(H:H))</f>
        <v>#DIV/0!</v>
      </c>
      <c r="L643" s="1">
        <f>IF(ISNA(VLOOKUP(B643,PrixMini!$B$3:$E$573,4,FALSE)),1,VLOOKUP(B643,PrixMini!$B$3:$E$573,4,FALSE))</f>
        <v>1</v>
      </c>
      <c r="M643" s="25" t="e">
        <f>IF(ROUND(CalculCotation!$D$3*EXP(CalculCotation!$C$3*K643)-CalculCotation!$D$3+1,0)&gt;L643,ROUND(CalculCotation!$D$3*EXP(CalculCotation!$C$3*K643)-CalculCotation!$D$3+1,0),L643)</f>
        <v>#DIV/0!</v>
      </c>
    </row>
    <row r="644" spans="2:13" x14ac:dyDescent="0.3">
      <c r="B644" s="1">
        <f>BDD!C647</f>
        <v>0</v>
      </c>
      <c r="C644" s="1">
        <f>BDD!B647</f>
        <v>0</v>
      </c>
      <c r="D644" s="1">
        <f>BDD!A647</f>
        <v>0</v>
      </c>
      <c r="E644" s="1">
        <f>BDD!D647</f>
        <v>0</v>
      </c>
      <c r="F644" s="1">
        <f>BDD!F647</f>
        <v>0</v>
      </c>
      <c r="G644" s="25">
        <f>'ButsMPG + Var'!$I$39*IF(C644="A",COUNTIF(BDD!H647:AR647,10)*'ButsMPG + Var'!$K$12+COUNTIF(BDD!H647:AR647,9)*'ButsMPG + Var'!$K$11+COUNTIF(BDD!H647:AR647,8)*'ButsMPG + Var'!$K$10+COUNTIF(BDD!H647:AR647,7)*'ButsMPG + Var'!$K$9+COUNTIF(BDD!H647:AR647,6)*'ButsMPG + Var'!$K$8+COUNTIF(BDD!H647:AR647,5)*'ButsMPG + Var'!$K$7+COUNTIF(BDD!H647:AR647,4)*'ButsMPG + Var'!$K$6+COUNTIF(BDD!H647:AR647,3)*'ButsMPG + Var'!$K$5+COUNTIF(BDD!H647:AR647,2)*'ButsMPG + Var'!$K$4+COUNTIF(BDD!H647:AR647,1)*'ButsMPG + Var'!$K$3,IF(C644="M",COUNTIF(BDD!H647:AR647,10)*'ButsMPG + Var'!$K$22+COUNTIF(BDD!H647:AR647,9)*'ButsMPG + Var'!$K$21+COUNTIF(BDD!H647:AR647,8)*'ButsMPG + Var'!$K$20+COUNTIF(BDD!H647:AR647,7)*'ButsMPG + Var'!$K$19+COUNTIF(BDD!H647:AR647,6)*'ButsMPG + Var'!$K$18+COUNTIF(BDD!H647:AR647,5)*'ButsMPG + Var'!$K$17+COUNTIF(BDD!H647:AR647,4)*'ButsMPG + Var'!$K$16+COUNTIF(BDD!H647:AR647,3)*'ButsMPG + Var'!$K$15+COUNTIF(BDD!H647:AR647,2)*'ButsMPG + Var'!$K$14+COUNTIF(BDD!H647:AR647,1)*'ButsMPG + Var'!$K$13,IF(C644="D",COUNTIF(BDD!H647:AR647,10)*'ButsMPG + Var'!$K$32+COUNTIF(BDD!H647:AR647,9)*'ButsMPG + Var'!$K$31+COUNTIF(BDD!H647:AR647,8)*'ButsMPG + Var'!$K$30+COUNTIF(BDD!H647:AR647,7)*'ButsMPG + Var'!$K$29+COUNTIF(BDD!H647:AR647,6)*'ButsMPG + Var'!$K$28+COUNTIF(BDD!H647:AR647,5)*'ButsMPG + Var'!$K$27+COUNTIF(BDD!H647:AR647,4)*'ButsMPG + Var'!$K$26+COUNTIF(BDD!H647:AR647,3)*'ButsMPG + Var'!$K$25+COUNTIF(BDD!H647:AR647,2)*'ButsMPG + Var'!$K$24+COUNTIF(BDD!H647:AR647,1)*'ButsMPG + Var'!$K$23,0)))</f>
        <v>0</v>
      </c>
      <c r="H644" s="25">
        <f t="shared" ref="H644:H650" si="11">SUM(F644:G644)</f>
        <v>0</v>
      </c>
      <c r="I644" s="25">
        <f>BDD!G647</f>
        <v>0</v>
      </c>
      <c r="J644" s="25">
        <f>SUMPRODUCT(BDD!H647:AS647,'ButsMPG + Var'!$B$46:$AM$46)</f>
        <v>0</v>
      </c>
      <c r="K644" s="25" t="e">
        <f>10*('ButsMPG + Var'!$H$37*J644/MAX(J:J)+'ButsMPG + Var'!$G$37*H644/MAX(H:H))</f>
        <v>#DIV/0!</v>
      </c>
      <c r="L644" s="1">
        <f>IF(ISNA(VLOOKUP(B644,PrixMini!$B$3:$E$573,4,FALSE)),1,VLOOKUP(B644,PrixMini!$B$3:$E$573,4,FALSE))</f>
        <v>1</v>
      </c>
      <c r="M644" s="25" t="e">
        <f>IF(ROUND(CalculCotation!$D$3*EXP(CalculCotation!$C$3*K644)-CalculCotation!$D$3+1,0)&gt;L644,ROUND(CalculCotation!$D$3*EXP(CalculCotation!$C$3*K644)-CalculCotation!$D$3+1,0),L644)</f>
        <v>#DIV/0!</v>
      </c>
    </row>
    <row r="645" spans="2:13" x14ac:dyDescent="0.3">
      <c r="B645" s="1">
        <f>BDD!C648</f>
        <v>0</v>
      </c>
      <c r="C645" s="1">
        <f>BDD!B648</f>
        <v>0</v>
      </c>
      <c r="D645" s="1">
        <f>BDD!A648</f>
        <v>0</v>
      </c>
      <c r="E645" s="1">
        <f>BDD!D648</f>
        <v>0</v>
      </c>
      <c r="F645" s="1">
        <f>BDD!F648</f>
        <v>0</v>
      </c>
      <c r="G645" s="25">
        <f>'ButsMPG + Var'!$I$39*IF(C645="A",COUNTIF(BDD!H648:AR648,10)*'ButsMPG + Var'!$K$12+COUNTIF(BDD!H648:AR648,9)*'ButsMPG + Var'!$K$11+COUNTIF(BDD!H648:AR648,8)*'ButsMPG + Var'!$K$10+COUNTIF(BDD!H648:AR648,7)*'ButsMPG + Var'!$K$9+COUNTIF(BDD!H648:AR648,6)*'ButsMPG + Var'!$K$8+COUNTIF(BDD!H648:AR648,5)*'ButsMPG + Var'!$K$7+COUNTIF(BDD!H648:AR648,4)*'ButsMPG + Var'!$K$6+COUNTIF(BDD!H648:AR648,3)*'ButsMPG + Var'!$K$5+COUNTIF(BDD!H648:AR648,2)*'ButsMPG + Var'!$K$4+COUNTIF(BDD!H648:AR648,1)*'ButsMPG + Var'!$K$3,IF(C645="M",COUNTIF(BDD!H648:AR648,10)*'ButsMPG + Var'!$K$22+COUNTIF(BDD!H648:AR648,9)*'ButsMPG + Var'!$K$21+COUNTIF(BDD!H648:AR648,8)*'ButsMPG + Var'!$K$20+COUNTIF(BDD!H648:AR648,7)*'ButsMPG + Var'!$K$19+COUNTIF(BDD!H648:AR648,6)*'ButsMPG + Var'!$K$18+COUNTIF(BDD!H648:AR648,5)*'ButsMPG + Var'!$K$17+COUNTIF(BDD!H648:AR648,4)*'ButsMPG + Var'!$K$16+COUNTIF(BDD!H648:AR648,3)*'ButsMPG + Var'!$K$15+COUNTIF(BDD!H648:AR648,2)*'ButsMPG + Var'!$K$14+COUNTIF(BDD!H648:AR648,1)*'ButsMPG + Var'!$K$13,IF(C645="D",COUNTIF(BDD!H648:AR648,10)*'ButsMPG + Var'!$K$32+COUNTIF(BDD!H648:AR648,9)*'ButsMPG + Var'!$K$31+COUNTIF(BDD!H648:AR648,8)*'ButsMPG + Var'!$K$30+COUNTIF(BDD!H648:AR648,7)*'ButsMPG + Var'!$K$29+COUNTIF(BDD!H648:AR648,6)*'ButsMPG + Var'!$K$28+COUNTIF(BDD!H648:AR648,5)*'ButsMPG + Var'!$K$27+COUNTIF(BDD!H648:AR648,4)*'ButsMPG + Var'!$K$26+COUNTIF(BDD!H648:AR648,3)*'ButsMPG + Var'!$K$25+COUNTIF(BDD!H648:AR648,2)*'ButsMPG + Var'!$K$24+COUNTIF(BDD!H648:AR648,1)*'ButsMPG + Var'!$K$23,0)))</f>
        <v>0</v>
      </c>
      <c r="H645" s="25">
        <f t="shared" si="11"/>
        <v>0</v>
      </c>
      <c r="I645" s="25">
        <f>BDD!G648</f>
        <v>0</v>
      </c>
      <c r="J645" s="25">
        <f>SUMPRODUCT(BDD!H648:AS648,'ButsMPG + Var'!$B$46:$AM$46)</f>
        <v>0</v>
      </c>
      <c r="K645" s="25" t="e">
        <f>10*('ButsMPG + Var'!$H$37*J645/MAX(J:J)+'ButsMPG + Var'!$G$37*H645/MAX(H:H))</f>
        <v>#DIV/0!</v>
      </c>
      <c r="L645" s="1">
        <f>IF(ISNA(VLOOKUP(B645,PrixMini!$B$3:$E$573,4,FALSE)),1,VLOOKUP(B645,PrixMini!$B$3:$E$573,4,FALSE))</f>
        <v>1</v>
      </c>
      <c r="M645" s="25" t="e">
        <f>IF(ROUND(CalculCotation!$D$3*EXP(CalculCotation!$C$3*K645)-CalculCotation!$D$3+1,0)&gt;L645,ROUND(CalculCotation!$D$3*EXP(CalculCotation!$C$3*K645)-CalculCotation!$D$3+1,0),L645)</f>
        <v>#DIV/0!</v>
      </c>
    </row>
    <row r="646" spans="2:13" x14ac:dyDescent="0.3">
      <c r="B646" s="1">
        <f>BDD!C649</f>
        <v>0</v>
      </c>
      <c r="C646" s="1">
        <f>BDD!B649</f>
        <v>0</v>
      </c>
      <c r="D646" s="1">
        <f>BDD!A649</f>
        <v>0</v>
      </c>
      <c r="E646" s="1">
        <f>BDD!D649</f>
        <v>0</v>
      </c>
      <c r="F646" s="1">
        <f>BDD!F649</f>
        <v>0</v>
      </c>
      <c r="G646" s="25">
        <f>'ButsMPG + Var'!$I$39*IF(C646="A",COUNTIF(BDD!H649:AR649,10)*'ButsMPG + Var'!$K$12+COUNTIF(BDD!H649:AR649,9)*'ButsMPG + Var'!$K$11+COUNTIF(BDD!H649:AR649,8)*'ButsMPG + Var'!$K$10+COUNTIF(BDD!H649:AR649,7)*'ButsMPG + Var'!$K$9+COUNTIF(BDD!H649:AR649,6)*'ButsMPG + Var'!$K$8+COUNTIF(BDD!H649:AR649,5)*'ButsMPG + Var'!$K$7+COUNTIF(BDD!H649:AR649,4)*'ButsMPG + Var'!$K$6+COUNTIF(BDD!H649:AR649,3)*'ButsMPG + Var'!$K$5+COUNTIF(BDD!H649:AR649,2)*'ButsMPG + Var'!$K$4+COUNTIF(BDD!H649:AR649,1)*'ButsMPG + Var'!$K$3,IF(C646="M",COUNTIF(BDD!H649:AR649,10)*'ButsMPG + Var'!$K$22+COUNTIF(BDD!H649:AR649,9)*'ButsMPG + Var'!$K$21+COUNTIF(BDD!H649:AR649,8)*'ButsMPG + Var'!$K$20+COUNTIF(BDD!H649:AR649,7)*'ButsMPG + Var'!$K$19+COUNTIF(BDD!H649:AR649,6)*'ButsMPG + Var'!$K$18+COUNTIF(BDD!H649:AR649,5)*'ButsMPG + Var'!$K$17+COUNTIF(BDD!H649:AR649,4)*'ButsMPG + Var'!$K$16+COUNTIF(BDD!H649:AR649,3)*'ButsMPG + Var'!$K$15+COUNTIF(BDD!H649:AR649,2)*'ButsMPG + Var'!$K$14+COUNTIF(BDD!H649:AR649,1)*'ButsMPG + Var'!$K$13,IF(C646="D",COUNTIF(BDD!H649:AR649,10)*'ButsMPG + Var'!$K$32+COUNTIF(BDD!H649:AR649,9)*'ButsMPG + Var'!$K$31+COUNTIF(BDD!H649:AR649,8)*'ButsMPG + Var'!$K$30+COUNTIF(BDD!H649:AR649,7)*'ButsMPG + Var'!$K$29+COUNTIF(BDD!H649:AR649,6)*'ButsMPG + Var'!$K$28+COUNTIF(BDD!H649:AR649,5)*'ButsMPG + Var'!$K$27+COUNTIF(BDD!H649:AR649,4)*'ButsMPG + Var'!$K$26+COUNTIF(BDD!H649:AR649,3)*'ButsMPG + Var'!$K$25+COUNTIF(BDD!H649:AR649,2)*'ButsMPG + Var'!$K$24+COUNTIF(BDD!H649:AR649,1)*'ButsMPG + Var'!$K$23,0)))</f>
        <v>0</v>
      </c>
      <c r="H646" s="25">
        <f t="shared" si="11"/>
        <v>0</v>
      </c>
      <c r="I646" s="25">
        <f>BDD!G649</f>
        <v>0</v>
      </c>
      <c r="J646" s="25">
        <f>SUMPRODUCT(BDD!H649:AS649,'ButsMPG + Var'!$B$46:$AM$46)</f>
        <v>0</v>
      </c>
      <c r="K646" s="25" t="e">
        <f>10*('ButsMPG + Var'!$H$37*J646/MAX(J:J)+'ButsMPG + Var'!$G$37*H646/MAX(H:H))</f>
        <v>#DIV/0!</v>
      </c>
      <c r="L646" s="1">
        <f>IF(ISNA(VLOOKUP(B646,PrixMini!$B$3:$E$573,4,FALSE)),1,VLOOKUP(B646,PrixMini!$B$3:$E$573,4,FALSE))</f>
        <v>1</v>
      </c>
      <c r="M646" s="25" t="e">
        <f>IF(ROUND(CalculCotation!$D$3*EXP(CalculCotation!$C$3*K646)-CalculCotation!$D$3+1,0)&gt;L646,ROUND(CalculCotation!$D$3*EXP(CalculCotation!$C$3*K646)-CalculCotation!$D$3+1,0),L646)</f>
        <v>#DIV/0!</v>
      </c>
    </row>
    <row r="647" spans="2:13" x14ac:dyDescent="0.3">
      <c r="B647" s="1">
        <f>BDD!C650</f>
        <v>0</v>
      </c>
      <c r="C647" s="1">
        <f>BDD!B650</f>
        <v>0</v>
      </c>
      <c r="D647" s="1">
        <f>BDD!A650</f>
        <v>0</v>
      </c>
      <c r="E647" s="1">
        <f>BDD!D650</f>
        <v>0</v>
      </c>
      <c r="F647" s="1">
        <f>BDD!F650</f>
        <v>0</v>
      </c>
      <c r="G647" s="25">
        <f>'ButsMPG + Var'!$I$39*IF(C647="A",COUNTIF(BDD!H650:AR650,10)*'ButsMPG + Var'!$K$12+COUNTIF(BDD!H650:AR650,9)*'ButsMPG + Var'!$K$11+COUNTIF(BDD!H650:AR650,8)*'ButsMPG + Var'!$K$10+COUNTIF(BDD!H650:AR650,7)*'ButsMPG + Var'!$K$9+COUNTIF(BDD!H650:AR650,6)*'ButsMPG + Var'!$K$8+COUNTIF(BDD!H650:AR650,5)*'ButsMPG + Var'!$K$7+COUNTIF(BDD!H650:AR650,4)*'ButsMPG + Var'!$K$6+COUNTIF(BDD!H650:AR650,3)*'ButsMPG + Var'!$K$5+COUNTIF(BDD!H650:AR650,2)*'ButsMPG + Var'!$K$4+COUNTIF(BDD!H650:AR650,1)*'ButsMPG + Var'!$K$3,IF(C647="M",COUNTIF(BDD!H650:AR650,10)*'ButsMPG + Var'!$K$22+COUNTIF(BDD!H650:AR650,9)*'ButsMPG + Var'!$K$21+COUNTIF(BDD!H650:AR650,8)*'ButsMPG + Var'!$K$20+COUNTIF(BDD!H650:AR650,7)*'ButsMPG + Var'!$K$19+COUNTIF(BDD!H650:AR650,6)*'ButsMPG + Var'!$K$18+COUNTIF(BDD!H650:AR650,5)*'ButsMPG + Var'!$K$17+COUNTIF(BDD!H650:AR650,4)*'ButsMPG + Var'!$K$16+COUNTIF(BDD!H650:AR650,3)*'ButsMPG + Var'!$K$15+COUNTIF(BDD!H650:AR650,2)*'ButsMPG + Var'!$K$14+COUNTIF(BDD!H650:AR650,1)*'ButsMPG + Var'!$K$13,IF(C647="D",COUNTIF(BDD!H650:AR650,10)*'ButsMPG + Var'!$K$32+COUNTIF(BDD!H650:AR650,9)*'ButsMPG + Var'!$K$31+COUNTIF(BDD!H650:AR650,8)*'ButsMPG + Var'!$K$30+COUNTIF(BDD!H650:AR650,7)*'ButsMPG + Var'!$K$29+COUNTIF(BDD!H650:AR650,6)*'ButsMPG + Var'!$K$28+COUNTIF(BDD!H650:AR650,5)*'ButsMPG + Var'!$K$27+COUNTIF(BDD!H650:AR650,4)*'ButsMPG + Var'!$K$26+COUNTIF(BDD!H650:AR650,3)*'ButsMPG + Var'!$K$25+COUNTIF(BDD!H650:AR650,2)*'ButsMPG + Var'!$K$24+COUNTIF(BDD!H650:AR650,1)*'ButsMPG + Var'!$K$23,0)))</f>
        <v>0</v>
      </c>
      <c r="H647" s="25">
        <f t="shared" si="11"/>
        <v>0</v>
      </c>
      <c r="I647" s="25">
        <f>BDD!G650</f>
        <v>0</v>
      </c>
      <c r="J647" s="25">
        <f>SUMPRODUCT(BDD!H650:AS650,'ButsMPG + Var'!$B$46:$AM$46)</f>
        <v>0</v>
      </c>
      <c r="K647" s="25" t="e">
        <f>10*('ButsMPG + Var'!$H$37*J647/MAX(J:J)+'ButsMPG + Var'!$G$37*H647/MAX(H:H))</f>
        <v>#DIV/0!</v>
      </c>
      <c r="L647" s="1">
        <f>IF(ISNA(VLOOKUP(B647,PrixMini!$B$3:$E$573,4,FALSE)),1,VLOOKUP(B647,PrixMini!$B$3:$E$573,4,FALSE))</f>
        <v>1</v>
      </c>
      <c r="M647" s="25" t="e">
        <f>IF(ROUND(CalculCotation!$D$3*EXP(CalculCotation!$C$3*K647)-CalculCotation!$D$3+1,0)&gt;L647,ROUND(CalculCotation!$D$3*EXP(CalculCotation!$C$3*K647)-CalculCotation!$D$3+1,0),L647)</f>
        <v>#DIV/0!</v>
      </c>
    </row>
    <row r="648" spans="2:13" x14ac:dyDescent="0.3">
      <c r="B648" s="1">
        <f>BDD!C651</f>
        <v>0</v>
      </c>
      <c r="C648" s="1">
        <f>BDD!B651</f>
        <v>0</v>
      </c>
      <c r="D648" s="1">
        <f>BDD!A651</f>
        <v>0</v>
      </c>
      <c r="E648" s="1">
        <f>BDD!D651</f>
        <v>0</v>
      </c>
      <c r="F648" s="1">
        <f>BDD!F651</f>
        <v>0</v>
      </c>
      <c r="G648" s="25">
        <f>'ButsMPG + Var'!$I$39*IF(C648="A",COUNTIF(BDD!H651:AR651,10)*'ButsMPG + Var'!$K$12+COUNTIF(BDD!H651:AR651,9)*'ButsMPG + Var'!$K$11+COUNTIF(BDD!H651:AR651,8)*'ButsMPG + Var'!$K$10+COUNTIF(BDD!H651:AR651,7)*'ButsMPG + Var'!$K$9+COUNTIF(BDD!H651:AR651,6)*'ButsMPG + Var'!$K$8+COUNTIF(BDD!H651:AR651,5)*'ButsMPG + Var'!$K$7+COUNTIF(BDD!H651:AR651,4)*'ButsMPG + Var'!$K$6+COUNTIF(BDD!H651:AR651,3)*'ButsMPG + Var'!$K$5+COUNTIF(BDD!H651:AR651,2)*'ButsMPG + Var'!$K$4+COUNTIF(BDD!H651:AR651,1)*'ButsMPG + Var'!$K$3,IF(C648="M",COUNTIF(BDD!H651:AR651,10)*'ButsMPG + Var'!$K$22+COUNTIF(BDD!H651:AR651,9)*'ButsMPG + Var'!$K$21+COUNTIF(BDD!H651:AR651,8)*'ButsMPG + Var'!$K$20+COUNTIF(BDD!H651:AR651,7)*'ButsMPG + Var'!$K$19+COUNTIF(BDD!H651:AR651,6)*'ButsMPG + Var'!$K$18+COUNTIF(BDD!H651:AR651,5)*'ButsMPG + Var'!$K$17+COUNTIF(BDD!H651:AR651,4)*'ButsMPG + Var'!$K$16+COUNTIF(BDD!H651:AR651,3)*'ButsMPG + Var'!$K$15+COUNTIF(BDD!H651:AR651,2)*'ButsMPG + Var'!$K$14+COUNTIF(BDD!H651:AR651,1)*'ButsMPG + Var'!$K$13,IF(C648="D",COUNTIF(BDD!H651:AR651,10)*'ButsMPG + Var'!$K$32+COUNTIF(BDD!H651:AR651,9)*'ButsMPG + Var'!$K$31+COUNTIF(BDD!H651:AR651,8)*'ButsMPG + Var'!$K$30+COUNTIF(BDD!H651:AR651,7)*'ButsMPG + Var'!$K$29+COUNTIF(BDD!H651:AR651,6)*'ButsMPG + Var'!$K$28+COUNTIF(BDD!H651:AR651,5)*'ButsMPG + Var'!$K$27+COUNTIF(BDD!H651:AR651,4)*'ButsMPG + Var'!$K$26+COUNTIF(BDD!H651:AR651,3)*'ButsMPG + Var'!$K$25+COUNTIF(BDD!H651:AR651,2)*'ButsMPG + Var'!$K$24+COUNTIF(BDD!H651:AR651,1)*'ButsMPG + Var'!$K$23,0)))</f>
        <v>0</v>
      </c>
      <c r="H648" s="25">
        <f t="shared" si="11"/>
        <v>0</v>
      </c>
      <c r="I648" s="25">
        <f>BDD!G651</f>
        <v>0</v>
      </c>
      <c r="J648" s="25">
        <f>SUMPRODUCT(BDD!H651:AS651,'ButsMPG + Var'!$B$46:$AM$46)</f>
        <v>0</v>
      </c>
      <c r="K648" s="25" t="e">
        <f>10*('ButsMPG + Var'!$H$37*J648/MAX(J:J)+'ButsMPG + Var'!$G$37*H648/MAX(H:H))</f>
        <v>#DIV/0!</v>
      </c>
      <c r="L648" s="1">
        <f>IF(ISNA(VLOOKUP(B648,PrixMini!$B$3:$E$573,4,FALSE)),1,VLOOKUP(B648,PrixMini!$B$3:$E$573,4,FALSE))</f>
        <v>1</v>
      </c>
      <c r="M648" s="25" t="e">
        <f>IF(ROUND(CalculCotation!$D$3*EXP(CalculCotation!$C$3*K648)-CalculCotation!$D$3+1,0)&gt;L648,ROUND(CalculCotation!$D$3*EXP(CalculCotation!$C$3*K648)-CalculCotation!$D$3+1,0),L648)</f>
        <v>#DIV/0!</v>
      </c>
    </row>
    <row r="649" spans="2:13" x14ac:dyDescent="0.3">
      <c r="B649" s="1">
        <f>BDD!C652</f>
        <v>0</v>
      </c>
      <c r="C649" s="1">
        <f>BDD!B652</f>
        <v>0</v>
      </c>
      <c r="D649" s="1">
        <f>BDD!A652</f>
        <v>0</v>
      </c>
      <c r="E649" s="1">
        <f>BDD!D652</f>
        <v>0</v>
      </c>
      <c r="F649" s="1">
        <f>BDD!F652</f>
        <v>0</v>
      </c>
      <c r="G649" s="25">
        <f>'ButsMPG + Var'!$I$39*IF(C649="A",COUNTIF(BDD!H652:AR652,10)*'ButsMPG + Var'!$K$12+COUNTIF(BDD!H652:AR652,9)*'ButsMPG + Var'!$K$11+COUNTIF(BDD!H652:AR652,8)*'ButsMPG + Var'!$K$10+COUNTIF(BDD!H652:AR652,7)*'ButsMPG + Var'!$K$9+COUNTIF(BDD!H652:AR652,6)*'ButsMPG + Var'!$K$8+COUNTIF(BDD!H652:AR652,5)*'ButsMPG + Var'!$K$7+COUNTIF(BDD!H652:AR652,4)*'ButsMPG + Var'!$K$6+COUNTIF(BDD!H652:AR652,3)*'ButsMPG + Var'!$K$5+COUNTIF(BDD!H652:AR652,2)*'ButsMPG + Var'!$K$4+COUNTIF(BDD!H652:AR652,1)*'ButsMPG + Var'!$K$3,IF(C649="M",COUNTIF(BDD!H652:AR652,10)*'ButsMPG + Var'!$K$22+COUNTIF(BDD!H652:AR652,9)*'ButsMPG + Var'!$K$21+COUNTIF(BDD!H652:AR652,8)*'ButsMPG + Var'!$K$20+COUNTIF(BDD!H652:AR652,7)*'ButsMPG + Var'!$K$19+COUNTIF(BDD!H652:AR652,6)*'ButsMPG + Var'!$K$18+COUNTIF(BDD!H652:AR652,5)*'ButsMPG + Var'!$K$17+COUNTIF(BDD!H652:AR652,4)*'ButsMPG + Var'!$K$16+COUNTIF(BDD!H652:AR652,3)*'ButsMPG + Var'!$K$15+COUNTIF(BDD!H652:AR652,2)*'ButsMPG + Var'!$K$14+COUNTIF(BDD!H652:AR652,1)*'ButsMPG + Var'!$K$13,IF(C649="D",COUNTIF(BDD!H652:AR652,10)*'ButsMPG + Var'!$K$32+COUNTIF(BDD!H652:AR652,9)*'ButsMPG + Var'!$K$31+COUNTIF(BDD!H652:AR652,8)*'ButsMPG + Var'!$K$30+COUNTIF(BDD!H652:AR652,7)*'ButsMPG + Var'!$K$29+COUNTIF(BDD!H652:AR652,6)*'ButsMPG + Var'!$K$28+COUNTIF(BDD!H652:AR652,5)*'ButsMPG + Var'!$K$27+COUNTIF(BDD!H652:AR652,4)*'ButsMPG + Var'!$K$26+COUNTIF(BDD!H652:AR652,3)*'ButsMPG + Var'!$K$25+COUNTIF(BDD!H652:AR652,2)*'ButsMPG + Var'!$K$24+COUNTIF(BDD!H652:AR652,1)*'ButsMPG + Var'!$K$23,0)))</f>
        <v>0</v>
      </c>
      <c r="H649" s="25">
        <f t="shared" si="11"/>
        <v>0</v>
      </c>
      <c r="I649" s="25">
        <f>BDD!G652</f>
        <v>0</v>
      </c>
      <c r="J649" s="25">
        <f>SUMPRODUCT(BDD!H652:AS652,'ButsMPG + Var'!$B$46:$AM$46)</f>
        <v>0</v>
      </c>
      <c r="K649" s="25" t="e">
        <f>10*('ButsMPG + Var'!$H$37*J649/MAX(J:J)+'ButsMPG + Var'!$G$37*H649/MAX(H:H))</f>
        <v>#DIV/0!</v>
      </c>
      <c r="L649" s="1">
        <f>IF(ISNA(VLOOKUP(B649,PrixMini!$B$3:$E$573,4,FALSE)),1,VLOOKUP(B649,PrixMini!$B$3:$E$573,4,FALSE))</f>
        <v>1</v>
      </c>
      <c r="M649" s="25" t="e">
        <f>IF(ROUND(CalculCotation!$D$3*EXP(CalculCotation!$C$3*K649)-CalculCotation!$D$3+1,0)&gt;L649,ROUND(CalculCotation!$D$3*EXP(CalculCotation!$C$3*K649)-CalculCotation!$D$3+1,0),L649)</f>
        <v>#DIV/0!</v>
      </c>
    </row>
    <row r="650" spans="2:13" x14ac:dyDescent="0.3">
      <c r="B650" s="1">
        <f>BDD!C653</f>
        <v>0</v>
      </c>
      <c r="C650" s="1">
        <f>BDD!B653</f>
        <v>0</v>
      </c>
      <c r="D650" s="1">
        <f>BDD!A653</f>
        <v>0</v>
      </c>
      <c r="E650" s="1">
        <f>BDD!D653</f>
        <v>0</v>
      </c>
      <c r="F650" s="1">
        <f>BDD!F653</f>
        <v>0</v>
      </c>
      <c r="G650" s="25">
        <f>'ButsMPG + Var'!$I$39*IF(C650="A",COUNTIF(BDD!H653:AR653,10)*'ButsMPG + Var'!$K$12+COUNTIF(BDD!H653:AR653,9)*'ButsMPG + Var'!$K$11+COUNTIF(BDD!H653:AR653,8)*'ButsMPG + Var'!$K$10+COUNTIF(BDD!H653:AR653,7)*'ButsMPG + Var'!$K$9+COUNTIF(BDD!H653:AR653,6)*'ButsMPG + Var'!$K$8+COUNTIF(BDD!H653:AR653,5)*'ButsMPG + Var'!$K$7+COUNTIF(BDD!H653:AR653,4)*'ButsMPG + Var'!$K$6+COUNTIF(BDD!H653:AR653,3)*'ButsMPG + Var'!$K$5+COUNTIF(BDD!H653:AR653,2)*'ButsMPG + Var'!$K$4+COUNTIF(BDD!H653:AR653,1)*'ButsMPG + Var'!$K$3,IF(C650="M",COUNTIF(BDD!H653:AR653,10)*'ButsMPG + Var'!$K$22+COUNTIF(BDD!H653:AR653,9)*'ButsMPG + Var'!$K$21+COUNTIF(BDD!H653:AR653,8)*'ButsMPG + Var'!$K$20+COUNTIF(BDD!H653:AR653,7)*'ButsMPG + Var'!$K$19+COUNTIF(BDD!H653:AR653,6)*'ButsMPG + Var'!$K$18+COUNTIF(BDD!H653:AR653,5)*'ButsMPG + Var'!$K$17+COUNTIF(BDD!H653:AR653,4)*'ButsMPG + Var'!$K$16+COUNTIF(BDD!H653:AR653,3)*'ButsMPG + Var'!$K$15+COUNTIF(BDD!H653:AR653,2)*'ButsMPG + Var'!$K$14+COUNTIF(BDD!H653:AR653,1)*'ButsMPG + Var'!$K$13,IF(C650="D",COUNTIF(BDD!H653:AR653,10)*'ButsMPG + Var'!$K$32+COUNTIF(BDD!H653:AR653,9)*'ButsMPG + Var'!$K$31+COUNTIF(BDD!H653:AR653,8)*'ButsMPG + Var'!$K$30+COUNTIF(BDD!H653:AR653,7)*'ButsMPG + Var'!$K$29+COUNTIF(BDD!H653:AR653,6)*'ButsMPG + Var'!$K$28+COUNTIF(BDD!H653:AR653,5)*'ButsMPG + Var'!$K$27+COUNTIF(BDD!H653:AR653,4)*'ButsMPG + Var'!$K$26+COUNTIF(BDD!H653:AR653,3)*'ButsMPG + Var'!$K$25+COUNTIF(BDD!H653:AR653,2)*'ButsMPG + Var'!$K$24+COUNTIF(BDD!H653:AR653,1)*'ButsMPG + Var'!$K$23,0)))</f>
        <v>0</v>
      </c>
      <c r="H650" s="25">
        <f t="shared" si="11"/>
        <v>0</v>
      </c>
      <c r="I650" s="25">
        <f>BDD!G653</f>
        <v>0</v>
      </c>
      <c r="J650" s="25">
        <f>SUMPRODUCT(BDD!H653:AS653,'ButsMPG + Var'!$B$46:$AM$46)</f>
        <v>0</v>
      </c>
      <c r="K650" s="25" t="e">
        <f>10*('ButsMPG + Var'!$H$37*J650/MAX(J:J)+'ButsMPG + Var'!$G$37*H650/MAX(H:H))</f>
        <v>#DIV/0!</v>
      </c>
      <c r="L650" s="1">
        <f>IF(ISNA(VLOOKUP(B650,PrixMini!$B$3:$E$573,4,FALSE)),1,VLOOKUP(B650,PrixMini!$B$3:$E$573,4,FALSE))</f>
        <v>1</v>
      </c>
      <c r="M650" s="25" t="e">
        <f>IF(ROUND(CalculCotation!$D$3*EXP(CalculCotation!$C$3*K650)-CalculCotation!$D$3+1,0)&gt;L650,ROUND(CalculCotation!$D$3*EXP(CalculCotation!$C$3*K650)-CalculCotation!$D$3+1,0),L650)</f>
        <v>#DIV/0!</v>
      </c>
    </row>
  </sheetData>
  <sheetProtection algorithmName="SHA-512" hashValue="EiTItzk1ornJZcmn5N5Ve89R2kmIDvbNGAhETH5JUNL6IwfVBlUBSb4zUP+ysqTn4BF8Z972LTObGvveFLogkQ==" saltValue="RYtmwPoZz2y8pCJmwl94Y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"/>
  <sheetViews>
    <sheetView topLeftCell="A189" workbookViewId="0">
      <selection activeCell="A204" sqref="A204:XFD260"/>
    </sheetView>
  </sheetViews>
  <sheetFormatPr baseColWidth="10" defaultRowHeight="14.4" x14ac:dyDescent="0.3"/>
  <sheetData/>
  <sortState xmlns:xlrd2="http://schemas.microsoft.com/office/spreadsheetml/2017/richdata2" ref="B2:M67">
    <sortCondition ref="C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B2:O208"/>
  <sheetViews>
    <sheetView topLeftCell="F1" zoomScale="115" zoomScaleNormal="115" workbookViewId="0">
      <selection activeCell="B203" sqref="B203"/>
    </sheetView>
  </sheetViews>
  <sheetFormatPr baseColWidth="10" defaultColWidth="11.44140625" defaultRowHeight="14.4" x14ac:dyDescent="0.3"/>
  <cols>
    <col min="1" max="1" width="11.44140625" style="1"/>
    <col min="2" max="2" width="19.5546875" style="1" bestFit="1" customWidth="1"/>
    <col min="3" max="5" width="11.44140625" style="1"/>
    <col min="6" max="6" width="18.109375" style="1" bestFit="1" customWidth="1"/>
    <col min="7" max="9" width="11.44140625" style="1"/>
    <col min="10" max="10" width="13.44140625" style="1" bestFit="1" customWidth="1"/>
    <col min="11" max="11" width="11.44140625" style="1"/>
    <col min="12" max="12" width="11.44140625" style="50"/>
    <col min="13" max="13" width="11.44140625" style="1"/>
    <col min="14" max="14" width="22.44140625" style="1" bestFit="1" customWidth="1"/>
    <col min="15" max="16384" width="11.44140625" style="1"/>
  </cols>
  <sheetData>
    <row r="2" spans="2:15" x14ac:dyDescent="0.3">
      <c r="B2" s="3" t="s">
        <v>4</v>
      </c>
      <c r="C2" s="3" t="s">
        <v>35</v>
      </c>
      <c r="D2" s="3" t="s">
        <v>36</v>
      </c>
      <c r="F2" s="47" t="s">
        <v>39</v>
      </c>
      <c r="G2" s="47">
        <f>SUM(G3:G6)</f>
        <v>200</v>
      </c>
      <c r="J2" s="47" t="s">
        <v>42</v>
      </c>
      <c r="K2" s="43">
        <f>SUMPRODUCT(K9:K208,N9:N208)</f>
        <v>0</v>
      </c>
    </row>
    <row r="3" spans="2:15" x14ac:dyDescent="0.3">
      <c r="B3" s="3" t="s">
        <v>0</v>
      </c>
      <c r="C3" s="3">
        <v>2</v>
      </c>
      <c r="D3" s="3">
        <f>SUM(N74:N93)</f>
        <v>0</v>
      </c>
      <c r="F3" s="3" t="s">
        <v>0</v>
      </c>
      <c r="G3" s="3">
        <v>20</v>
      </c>
    </row>
    <row r="4" spans="2:15" x14ac:dyDescent="0.3">
      <c r="B4" s="3" t="s">
        <v>1</v>
      </c>
      <c r="C4" s="3">
        <v>6</v>
      </c>
      <c r="D4" s="3">
        <f>SUM(N94:N158)</f>
        <v>0</v>
      </c>
      <c r="F4" s="3" t="s">
        <v>1</v>
      </c>
      <c r="G4" s="3">
        <v>65</v>
      </c>
      <c r="J4" s="3" t="s">
        <v>37</v>
      </c>
      <c r="K4" s="3">
        <v>500</v>
      </c>
    </row>
    <row r="5" spans="2:15" x14ac:dyDescent="0.3">
      <c r="B5" s="3" t="s">
        <v>2</v>
      </c>
      <c r="C5" s="3">
        <v>6</v>
      </c>
      <c r="D5" s="3">
        <f>SUM(N9:N73)</f>
        <v>0</v>
      </c>
      <c r="F5" s="3" t="s">
        <v>2</v>
      </c>
      <c r="G5" s="3">
        <v>65</v>
      </c>
      <c r="J5" s="3" t="s">
        <v>38</v>
      </c>
      <c r="K5" s="43">
        <f>SUMPRODUCT(M9:M208,N9:N208)</f>
        <v>0</v>
      </c>
    </row>
    <row r="6" spans="2:15" x14ac:dyDescent="0.3">
      <c r="B6" s="3" t="s">
        <v>3</v>
      </c>
      <c r="C6" s="3">
        <v>4</v>
      </c>
      <c r="D6" s="3">
        <f>SUM(N159:N208)</f>
        <v>0</v>
      </c>
      <c r="F6" s="3" t="s">
        <v>3</v>
      </c>
      <c r="G6" s="3">
        <v>50</v>
      </c>
    </row>
    <row r="8" spans="2:15" s="26" customFormat="1" x14ac:dyDescent="0.3">
      <c r="B8" s="26" t="s">
        <v>19</v>
      </c>
      <c r="C8" s="26" t="s">
        <v>4</v>
      </c>
      <c r="D8" s="26" t="s">
        <v>7</v>
      </c>
      <c r="E8" s="26" t="s">
        <v>26</v>
      </c>
      <c r="F8" s="26" t="s">
        <v>6</v>
      </c>
      <c r="G8" s="27" t="s">
        <v>28</v>
      </c>
      <c r="H8" s="27" t="s">
        <v>30</v>
      </c>
      <c r="I8" s="27" t="s">
        <v>27</v>
      </c>
      <c r="J8" s="27" t="s">
        <v>29</v>
      </c>
      <c r="K8" s="27" t="s">
        <v>31</v>
      </c>
      <c r="L8" s="51" t="s">
        <v>18</v>
      </c>
      <c r="M8" s="26" t="s">
        <v>33</v>
      </c>
      <c r="N8" s="26" t="s">
        <v>40</v>
      </c>
      <c r="O8" s="26" t="s">
        <v>41</v>
      </c>
    </row>
    <row r="9" spans="2:15" x14ac:dyDescent="0.3">
      <c r="B9"/>
      <c r="C9"/>
      <c r="D9"/>
      <c r="E9"/>
      <c r="F9"/>
      <c r="G9"/>
      <c r="H9"/>
      <c r="I9"/>
      <c r="J9"/>
      <c r="K9"/>
      <c r="L9"/>
      <c r="M9"/>
      <c r="N9"/>
      <c r="O9" s="1">
        <f>M9*N9</f>
        <v>0</v>
      </c>
    </row>
    <row r="10" spans="2:15" x14ac:dyDescent="0.3">
      <c r="B10"/>
      <c r="C10"/>
      <c r="D10"/>
      <c r="E10"/>
      <c r="F10"/>
      <c r="G10"/>
      <c r="H10"/>
      <c r="I10"/>
      <c r="J10"/>
      <c r="K10"/>
      <c r="L10"/>
      <c r="M10"/>
      <c r="N10"/>
      <c r="O10" s="1">
        <f t="shared" ref="O10:O73" si="0">M10*N10</f>
        <v>0</v>
      </c>
    </row>
    <row r="11" spans="2:15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O11" s="1">
        <f t="shared" si="0"/>
        <v>0</v>
      </c>
    </row>
    <row r="12" spans="2:15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O12" s="1">
        <f t="shared" si="0"/>
        <v>0</v>
      </c>
    </row>
    <row r="13" spans="2:15" x14ac:dyDescent="0.3">
      <c r="B13"/>
      <c r="C13"/>
      <c r="D13"/>
      <c r="E13"/>
      <c r="F13"/>
      <c r="G13"/>
      <c r="H13"/>
      <c r="I13"/>
      <c r="J13"/>
      <c r="K13"/>
      <c r="L13"/>
      <c r="M13"/>
      <c r="N13"/>
      <c r="O13" s="1">
        <f t="shared" si="0"/>
        <v>0</v>
      </c>
    </row>
    <row r="14" spans="2:15" x14ac:dyDescent="0.3">
      <c r="B14"/>
      <c r="C14"/>
      <c r="D14"/>
      <c r="E14"/>
      <c r="F14"/>
      <c r="G14"/>
      <c r="H14"/>
      <c r="I14"/>
      <c r="J14"/>
      <c r="K14"/>
      <c r="L14"/>
      <c r="M14"/>
      <c r="N14"/>
      <c r="O14" s="1">
        <f t="shared" si="0"/>
        <v>0</v>
      </c>
    </row>
    <row r="15" spans="2:15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 s="1">
        <f t="shared" si="0"/>
        <v>0</v>
      </c>
    </row>
    <row r="16" spans="2:15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 s="1">
        <f t="shared" si="0"/>
        <v>0</v>
      </c>
    </row>
    <row r="17" spans="2:15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 s="1">
        <f t="shared" si="0"/>
        <v>0</v>
      </c>
    </row>
    <row r="18" spans="2:15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 s="1">
        <f t="shared" si="0"/>
        <v>0</v>
      </c>
    </row>
    <row r="19" spans="2:15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 s="1">
        <f t="shared" si="0"/>
        <v>0</v>
      </c>
    </row>
    <row r="20" spans="2:15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 s="1">
        <f t="shared" si="0"/>
        <v>0</v>
      </c>
    </row>
    <row r="21" spans="2:15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 s="1">
        <f t="shared" si="0"/>
        <v>0</v>
      </c>
    </row>
    <row r="22" spans="2:15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O22" s="1">
        <f t="shared" si="0"/>
        <v>0</v>
      </c>
    </row>
    <row r="23" spans="2:15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 s="1">
        <f t="shared" si="0"/>
        <v>0</v>
      </c>
    </row>
    <row r="24" spans="2:15" x14ac:dyDescent="0.3">
      <c r="B24"/>
      <c r="C24"/>
      <c r="D24"/>
      <c r="E24"/>
      <c r="F24"/>
      <c r="G24"/>
      <c r="H24"/>
      <c r="I24"/>
      <c r="J24"/>
      <c r="K24"/>
      <c r="L24"/>
      <c r="M24"/>
      <c r="N24"/>
      <c r="O24" s="1">
        <f t="shared" si="0"/>
        <v>0</v>
      </c>
    </row>
    <row r="25" spans="2:15" x14ac:dyDescent="0.3">
      <c r="B25"/>
      <c r="C25"/>
      <c r="D25"/>
      <c r="E25"/>
      <c r="F25"/>
      <c r="G25"/>
      <c r="H25"/>
      <c r="I25"/>
      <c r="J25"/>
      <c r="K25"/>
      <c r="L25"/>
      <c r="M25"/>
      <c r="N25"/>
      <c r="O25" s="1">
        <f t="shared" si="0"/>
        <v>0</v>
      </c>
    </row>
    <row r="26" spans="2:15" x14ac:dyDescent="0.3">
      <c r="B26"/>
      <c r="C26"/>
      <c r="D26"/>
      <c r="E26"/>
      <c r="F26"/>
      <c r="G26"/>
      <c r="H26"/>
      <c r="I26"/>
      <c r="J26"/>
      <c r="K26"/>
      <c r="L26"/>
      <c r="M26"/>
      <c r="N26"/>
      <c r="O26" s="1">
        <f t="shared" si="0"/>
        <v>0</v>
      </c>
    </row>
    <row r="27" spans="2:15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O27" s="1">
        <f t="shared" si="0"/>
        <v>0</v>
      </c>
    </row>
    <row r="28" spans="2:15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O28" s="1">
        <f t="shared" si="0"/>
        <v>0</v>
      </c>
    </row>
    <row r="29" spans="2:15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 s="1">
        <f t="shared" si="0"/>
        <v>0</v>
      </c>
    </row>
    <row r="30" spans="2:15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 s="1">
        <f t="shared" si="0"/>
        <v>0</v>
      </c>
    </row>
    <row r="31" spans="2:15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 s="1">
        <f t="shared" si="0"/>
        <v>0</v>
      </c>
    </row>
    <row r="32" spans="2:15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 s="1">
        <f t="shared" si="0"/>
        <v>0</v>
      </c>
    </row>
    <row r="33" spans="2:15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 s="1">
        <f t="shared" si="0"/>
        <v>0</v>
      </c>
    </row>
    <row r="34" spans="2:15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 s="1">
        <f t="shared" si="0"/>
        <v>0</v>
      </c>
    </row>
    <row r="35" spans="2:15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 s="1">
        <f t="shared" si="0"/>
        <v>0</v>
      </c>
    </row>
    <row r="36" spans="2:15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 s="1">
        <f t="shared" si="0"/>
        <v>0</v>
      </c>
    </row>
    <row r="37" spans="2:15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 s="1">
        <f t="shared" si="0"/>
        <v>0</v>
      </c>
    </row>
    <row r="38" spans="2:15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 s="1">
        <f t="shared" si="0"/>
        <v>0</v>
      </c>
    </row>
    <row r="39" spans="2:15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 s="1">
        <f t="shared" si="0"/>
        <v>0</v>
      </c>
    </row>
    <row r="40" spans="2:15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 s="1">
        <f t="shared" si="0"/>
        <v>0</v>
      </c>
    </row>
    <row r="41" spans="2:15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 s="1">
        <f t="shared" si="0"/>
        <v>0</v>
      </c>
    </row>
    <row r="42" spans="2:15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 s="1">
        <f t="shared" si="0"/>
        <v>0</v>
      </c>
    </row>
    <row r="43" spans="2:15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 s="1">
        <f t="shared" si="0"/>
        <v>0</v>
      </c>
    </row>
    <row r="44" spans="2:15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 s="1">
        <f t="shared" si="0"/>
        <v>0</v>
      </c>
    </row>
    <row r="45" spans="2:15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 s="1">
        <f t="shared" si="0"/>
        <v>0</v>
      </c>
    </row>
    <row r="46" spans="2:15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 s="1">
        <f t="shared" si="0"/>
        <v>0</v>
      </c>
    </row>
    <row r="47" spans="2:15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 s="1">
        <f t="shared" si="0"/>
        <v>0</v>
      </c>
    </row>
    <row r="48" spans="2:15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 s="1">
        <f t="shared" si="0"/>
        <v>0</v>
      </c>
    </row>
    <row r="49" spans="2:15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 s="1">
        <f t="shared" si="0"/>
        <v>0</v>
      </c>
    </row>
    <row r="50" spans="2:15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 s="1">
        <f t="shared" si="0"/>
        <v>0</v>
      </c>
    </row>
    <row r="51" spans="2:15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 s="1">
        <f t="shared" si="0"/>
        <v>0</v>
      </c>
    </row>
    <row r="52" spans="2:15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 s="1">
        <f t="shared" si="0"/>
        <v>0</v>
      </c>
    </row>
    <row r="53" spans="2:15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 s="1">
        <f t="shared" si="0"/>
        <v>0</v>
      </c>
    </row>
    <row r="54" spans="2:15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 s="1">
        <f t="shared" si="0"/>
        <v>0</v>
      </c>
    </row>
    <row r="55" spans="2:15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 s="1">
        <f t="shared" si="0"/>
        <v>0</v>
      </c>
    </row>
    <row r="56" spans="2:15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 s="1">
        <f t="shared" si="0"/>
        <v>0</v>
      </c>
    </row>
    <row r="57" spans="2:15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 s="1">
        <f t="shared" si="0"/>
        <v>0</v>
      </c>
    </row>
    <row r="58" spans="2:15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 s="1">
        <f t="shared" si="0"/>
        <v>0</v>
      </c>
    </row>
    <row r="59" spans="2:15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 s="1">
        <f t="shared" si="0"/>
        <v>0</v>
      </c>
    </row>
    <row r="60" spans="2:15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 s="1">
        <f t="shared" si="0"/>
        <v>0</v>
      </c>
    </row>
    <row r="61" spans="2:15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 s="1">
        <f t="shared" si="0"/>
        <v>0</v>
      </c>
    </row>
    <row r="62" spans="2:15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 s="1">
        <f t="shared" si="0"/>
        <v>0</v>
      </c>
    </row>
    <row r="63" spans="2:15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 s="1">
        <f t="shared" si="0"/>
        <v>0</v>
      </c>
    </row>
    <row r="64" spans="2:15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 s="1">
        <f t="shared" si="0"/>
        <v>0</v>
      </c>
    </row>
    <row r="65" spans="2:15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 s="1">
        <f t="shared" si="0"/>
        <v>0</v>
      </c>
    </row>
    <row r="66" spans="2:15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 s="1">
        <f t="shared" si="0"/>
        <v>0</v>
      </c>
    </row>
    <row r="67" spans="2:15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 s="1">
        <f t="shared" si="0"/>
        <v>0</v>
      </c>
    </row>
    <row r="68" spans="2:15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 s="1">
        <f t="shared" si="0"/>
        <v>0</v>
      </c>
    </row>
    <row r="69" spans="2:15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 s="1">
        <f t="shared" si="0"/>
        <v>0</v>
      </c>
    </row>
    <row r="70" spans="2:15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 s="1">
        <f t="shared" si="0"/>
        <v>0</v>
      </c>
    </row>
    <row r="71" spans="2:15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 s="1">
        <f t="shared" si="0"/>
        <v>0</v>
      </c>
    </row>
    <row r="72" spans="2:15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 s="1">
        <f t="shared" si="0"/>
        <v>0</v>
      </c>
    </row>
    <row r="73" spans="2:15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 s="1">
        <f t="shared" si="0"/>
        <v>0</v>
      </c>
    </row>
    <row r="74" spans="2:15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 s="1">
        <f t="shared" ref="O74:O137" si="1">M74*N74</f>
        <v>0</v>
      </c>
    </row>
    <row r="75" spans="2:15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 s="1">
        <f t="shared" si="1"/>
        <v>0</v>
      </c>
    </row>
    <row r="76" spans="2:15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 s="1">
        <f t="shared" si="1"/>
        <v>0</v>
      </c>
    </row>
    <row r="77" spans="2:15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 s="1">
        <f t="shared" si="1"/>
        <v>0</v>
      </c>
    </row>
    <row r="78" spans="2:15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 s="1">
        <f t="shared" si="1"/>
        <v>0</v>
      </c>
    </row>
    <row r="79" spans="2:15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 s="1">
        <f t="shared" si="1"/>
        <v>0</v>
      </c>
    </row>
    <row r="80" spans="2:15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 s="1">
        <f t="shared" si="1"/>
        <v>0</v>
      </c>
    </row>
    <row r="81" spans="2:15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 s="1">
        <f t="shared" si="1"/>
        <v>0</v>
      </c>
    </row>
    <row r="82" spans="2:15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 s="1">
        <f t="shared" si="1"/>
        <v>0</v>
      </c>
    </row>
    <row r="83" spans="2:15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 s="1">
        <f t="shared" si="1"/>
        <v>0</v>
      </c>
    </row>
    <row r="84" spans="2:15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 s="1">
        <f t="shared" si="1"/>
        <v>0</v>
      </c>
    </row>
    <row r="85" spans="2:15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 s="1">
        <f t="shared" si="1"/>
        <v>0</v>
      </c>
    </row>
    <row r="86" spans="2:15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 s="1">
        <f t="shared" si="1"/>
        <v>0</v>
      </c>
    </row>
    <row r="87" spans="2:15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 s="1">
        <f t="shared" si="1"/>
        <v>0</v>
      </c>
    </row>
    <row r="88" spans="2:15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 s="1">
        <f t="shared" si="1"/>
        <v>0</v>
      </c>
    </row>
    <row r="89" spans="2:15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 s="1">
        <f t="shared" si="1"/>
        <v>0</v>
      </c>
    </row>
    <row r="90" spans="2:15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 s="1">
        <f t="shared" si="1"/>
        <v>0</v>
      </c>
    </row>
    <row r="91" spans="2:15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 s="1">
        <f t="shared" si="1"/>
        <v>0</v>
      </c>
    </row>
    <row r="92" spans="2:15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 s="1">
        <f t="shared" si="1"/>
        <v>0</v>
      </c>
    </row>
    <row r="93" spans="2:15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 s="1">
        <f t="shared" si="1"/>
        <v>0</v>
      </c>
    </row>
    <row r="94" spans="2:15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 s="1">
        <f t="shared" si="1"/>
        <v>0</v>
      </c>
    </row>
    <row r="95" spans="2:15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 s="1">
        <f t="shared" si="1"/>
        <v>0</v>
      </c>
    </row>
    <row r="96" spans="2:15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 s="1">
        <f t="shared" si="1"/>
        <v>0</v>
      </c>
    </row>
    <row r="97" spans="2:15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 s="1">
        <f t="shared" si="1"/>
        <v>0</v>
      </c>
    </row>
    <row r="98" spans="2:15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 s="1">
        <f t="shared" si="1"/>
        <v>0</v>
      </c>
    </row>
    <row r="99" spans="2:15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 s="1">
        <f t="shared" si="1"/>
        <v>0</v>
      </c>
    </row>
    <row r="100" spans="2:15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 s="1">
        <f t="shared" si="1"/>
        <v>0</v>
      </c>
    </row>
    <row r="101" spans="2:15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 s="1">
        <f t="shared" si="1"/>
        <v>0</v>
      </c>
    </row>
    <row r="102" spans="2:15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 s="1">
        <f t="shared" si="1"/>
        <v>0</v>
      </c>
    </row>
    <row r="103" spans="2:15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 s="1">
        <f t="shared" si="1"/>
        <v>0</v>
      </c>
    </row>
    <row r="104" spans="2:15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 s="1">
        <f t="shared" si="1"/>
        <v>0</v>
      </c>
    </row>
    <row r="105" spans="2:15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 s="1">
        <f t="shared" si="1"/>
        <v>0</v>
      </c>
    </row>
    <row r="106" spans="2:15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 s="1">
        <f t="shared" si="1"/>
        <v>0</v>
      </c>
    </row>
    <row r="107" spans="2:15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 s="1">
        <f t="shared" si="1"/>
        <v>0</v>
      </c>
    </row>
    <row r="108" spans="2:15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 s="1">
        <f t="shared" si="1"/>
        <v>0</v>
      </c>
    </row>
    <row r="109" spans="2:15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 s="1">
        <f t="shared" si="1"/>
        <v>0</v>
      </c>
    </row>
    <row r="110" spans="2:15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 s="1">
        <f t="shared" si="1"/>
        <v>0</v>
      </c>
    </row>
    <row r="111" spans="2:15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 s="1">
        <f t="shared" si="1"/>
        <v>0</v>
      </c>
    </row>
    <row r="112" spans="2:15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 s="1">
        <f t="shared" si="1"/>
        <v>0</v>
      </c>
    </row>
    <row r="113" spans="2:15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 s="1">
        <f t="shared" si="1"/>
        <v>0</v>
      </c>
    </row>
    <row r="114" spans="2:15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 s="1">
        <f t="shared" si="1"/>
        <v>0</v>
      </c>
    </row>
    <row r="115" spans="2:15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 s="1">
        <f t="shared" si="1"/>
        <v>0</v>
      </c>
    </row>
    <row r="116" spans="2:15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 s="1">
        <f t="shared" si="1"/>
        <v>0</v>
      </c>
    </row>
    <row r="117" spans="2:15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 s="1">
        <f t="shared" si="1"/>
        <v>0</v>
      </c>
    </row>
    <row r="118" spans="2:15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 s="1">
        <f t="shared" si="1"/>
        <v>0</v>
      </c>
    </row>
    <row r="119" spans="2:15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 s="1">
        <f t="shared" si="1"/>
        <v>0</v>
      </c>
    </row>
    <row r="120" spans="2:15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 s="1">
        <f t="shared" si="1"/>
        <v>0</v>
      </c>
    </row>
    <row r="121" spans="2:15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 s="1">
        <f t="shared" si="1"/>
        <v>0</v>
      </c>
    </row>
    <row r="122" spans="2:15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 s="1">
        <f t="shared" si="1"/>
        <v>0</v>
      </c>
    </row>
    <row r="123" spans="2:15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 s="1">
        <f t="shared" si="1"/>
        <v>0</v>
      </c>
    </row>
    <row r="124" spans="2:15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 s="1">
        <f t="shared" si="1"/>
        <v>0</v>
      </c>
    </row>
    <row r="125" spans="2:15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 s="1">
        <f t="shared" si="1"/>
        <v>0</v>
      </c>
    </row>
    <row r="126" spans="2:15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 s="1">
        <f t="shared" si="1"/>
        <v>0</v>
      </c>
    </row>
    <row r="127" spans="2:15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 s="1">
        <f t="shared" si="1"/>
        <v>0</v>
      </c>
    </row>
    <row r="128" spans="2:15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 s="1">
        <f t="shared" si="1"/>
        <v>0</v>
      </c>
    </row>
    <row r="129" spans="2:15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 s="1">
        <f t="shared" si="1"/>
        <v>0</v>
      </c>
    </row>
    <row r="130" spans="2:15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 s="1">
        <f t="shared" si="1"/>
        <v>0</v>
      </c>
    </row>
    <row r="131" spans="2:15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 s="1">
        <f t="shared" si="1"/>
        <v>0</v>
      </c>
    </row>
    <row r="132" spans="2:15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 s="1">
        <f t="shared" si="1"/>
        <v>0</v>
      </c>
    </row>
    <row r="133" spans="2:15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 s="1">
        <f t="shared" si="1"/>
        <v>0</v>
      </c>
    </row>
    <row r="134" spans="2:15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 s="1">
        <f t="shared" si="1"/>
        <v>0</v>
      </c>
    </row>
    <row r="135" spans="2:15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 s="1">
        <f t="shared" si="1"/>
        <v>0</v>
      </c>
    </row>
    <row r="136" spans="2:15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 s="1">
        <f t="shared" si="1"/>
        <v>0</v>
      </c>
    </row>
    <row r="137" spans="2:15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 s="1">
        <f t="shared" si="1"/>
        <v>0</v>
      </c>
    </row>
    <row r="138" spans="2:15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 s="1">
        <f t="shared" ref="O138:O201" si="2">M138*N138</f>
        <v>0</v>
      </c>
    </row>
    <row r="139" spans="2:15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 s="1">
        <f t="shared" si="2"/>
        <v>0</v>
      </c>
    </row>
    <row r="140" spans="2:15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 s="1">
        <f t="shared" si="2"/>
        <v>0</v>
      </c>
    </row>
    <row r="141" spans="2:15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 s="1">
        <f t="shared" si="2"/>
        <v>0</v>
      </c>
    </row>
    <row r="142" spans="2:15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 s="1">
        <f t="shared" si="2"/>
        <v>0</v>
      </c>
    </row>
    <row r="143" spans="2:15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 s="1">
        <f t="shared" si="2"/>
        <v>0</v>
      </c>
    </row>
    <row r="144" spans="2:15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 s="1">
        <f t="shared" si="2"/>
        <v>0</v>
      </c>
    </row>
    <row r="145" spans="2:15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 s="1">
        <f t="shared" si="2"/>
        <v>0</v>
      </c>
    </row>
    <row r="146" spans="2:15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 s="1">
        <f t="shared" si="2"/>
        <v>0</v>
      </c>
    </row>
    <row r="147" spans="2:15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 s="1">
        <f t="shared" si="2"/>
        <v>0</v>
      </c>
    </row>
    <row r="148" spans="2:15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 s="1">
        <f t="shared" si="2"/>
        <v>0</v>
      </c>
    </row>
    <row r="149" spans="2:15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 s="1">
        <f t="shared" si="2"/>
        <v>0</v>
      </c>
    </row>
    <row r="150" spans="2:15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 s="1">
        <f t="shared" si="2"/>
        <v>0</v>
      </c>
    </row>
    <row r="151" spans="2:15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 s="1">
        <f t="shared" si="2"/>
        <v>0</v>
      </c>
    </row>
    <row r="152" spans="2:15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 s="1">
        <f t="shared" si="2"/>
        <v>0</v>
      </c>
    </row>
    <row r="153" spans="2:15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 s="1">
        <f t="shared" si="2"/>
        <v>0</v>
      </c>
    </row>
    <row r="154" spans="2:15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 s="1">
        <f t="shared" si="2"/>
        <v>0</v>
      </c>
    </row>
    <row r="155" spans="2:15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 s="1">
        <f t="shared" si="2"/>
        <v>0</v>
      </c>
    </row>
    <row r="156" spans="2:15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 s="1">
        <f t="shared" si="2"/>
        <v>0</v>
      </c>
    </row>
    <row r="157" spans="2:15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 s="1">
        <f t="shared" si="2"/>
        <v>0</v>
      </c>
    </row>
    <row r="158" spans="2:15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 s="1">
        <f t="shared" si="2"/>
        <v>0</v>
      </c>
    </row>
    <row r="159" spans="2:15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 s="1">
        <f t="shared" si="2"/>
        <v>0</v>
      </c>
    </row>
    <row r="160" spans="2:15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 s="1">
        <f t="shared" si="2"/>
        <v>0</v>
      </c>
    </row>
    <row r="161" spans="2:15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 s="1">
        <f t="shared" si="2"/>
        <v>0</v>
      </c>
    </row>
    <row r="162" spans="2:15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 s="1">
        <f t="shared" si="2"/>
        <v>0</v>
      </c>
    </row>
    <row r="163" spans="2:15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 s="1">
        <f t="shared" si="2"/>
        <v>0</v>
      </c>
    </row>
    <row r="164" spans="2:15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 s="1">
        <f t="shared" si="2"/>
        <v>0</v>
      </c>
    </row>
    <row r="165" spans="2:15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 s="1">
        <f t="shared" si="2"/>
        <v>0</v>
      </c>
    </row>
    <row r="166" spans="2:15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 s="1">
        <f t="shared" si="2"/>
        <v>0</v>
      </c>
    </row>
    <row r="167" spans="2:15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 s="1">
        <f t="shared" si="2"/>
        <v>0</v>
      </c>
    </row>
    <row r="168" spans="2:15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 s="1">
        <f t="shared" si="2"/>
        <v>0</v>
      </c>
    </row>
    <row r="169" spans="2:15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 s="1">
        <f t="shared" si="2"/>
        <v>0</v>
      </c>
    </row>
    <row r="170" spans="2:15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 s="1">
        <f t="shared" si="2"/>
        <v>0</v>
      </c>
    </row>
    <row r="171" spans="2:15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 s="1">
        <f t="shared" si="2"/>
        <v>0</v>
      </c>
    </row>
    <row r="172" spans="2:15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 s="1">
        <f t="shared" si="2"/>
        <v>0</v>
      </c>
    </row>
    <row r="173" spans="2:15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 s="1">
        <f t="shared" si="2"/>
        <v>0</v>
      </c>
    </row>
    <row r="174" spans="2:15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 s="1">
        <f t="shared" si="2"/>
        <v>0</v>
      </c>
    </row>
    <row r="175" spans="2:15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">
        <f t="shared" si="2"/>
        <v>0</v>
      </c>
    </row>
    <row r="176" spans="2:15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">
        <f t="shared" si="2"/>
        <v>0</v>
      </c>
    </row>
    <row r="177" spans="2:15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">
        <f t="shared" si="2"/>
        <v>0</v>
      </c>
    </row>
    <row r="178" spans="2:15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">
        <f t="shared" si="2"/>
        <v>0</v>
      </c>
    </row>
    <row r="179" spans="2:15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1">
        <f t="shared" si="2"/>
        <v>0</v>
      </c>
    </row>
    <row r="180" spans="2:15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1">
        <f t="shared" si="2"/>
        <v>0</v>
      </c>
    </row>
    <row r="181" spans="2:15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 s="1">
        <f t="shared" si="2"/>
        <v>0</v>
      </c>
    </row>
    <row r="182" spans="2:15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 s="1">
        <f t="shared" si="2"/>
        <v>0</v>
      </c>
    </row>
    <row r="183" spans="2:15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 s="1">
        <f t="shared" si="2"/>
        <v>0</v>
      </c>
    </row>
    <row r="184" spans="2:15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 s="1">
        <f t="shared" si="2"/>
        <v>0</v>
      </c>
    </row>
    <row r="185" spans="2:15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 s="1">
        <f t="shared" si="2"/>
        <v>0</v>
      </c>
    </row>
    <row r="186" spans="2:15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 s="1">
        <f t="shared" si="2"/>
        <v>0</v>
      </c>
    </row>
    <row r="187" spans="2:15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 s="1">
        <f t="shared" si="2"/>
        <v>0</v>
      </c>
    </row>
    <row r="188" spans="2:15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 s="1">
        <f t="shared" si="2"/>
        <v>0</v>
      </c>
    </row>
    <row r="189" spans="2:15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1">
        <f t="shared" si="2"/>
        <v>0</v>
      </c>
    </row>
    <row r="190" spans="2:15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1">
        <f t="shared" si="2"/>
        <v>0</v>
      </c>
    </row>
    <row r="191" spans="2:15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1">
        <f t="shared" si="2"/>
        <v>0</v>
      </c>
    </row>
    <row r="192" spans="2:15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 s="1">
        <f t="shared" si="2"/>
        <v>0</v>
      </c>
    </row>
    <row r="193" spans="2:15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 s="1">
        <f t="shared" si="2"/>
        <v>0</v>
      </c>
    </row>
    <row r="194" spans="2:15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 s="1">
        <f t="shared" si="2"/>
        <v>0</v>
      </c>
    </row>
    <row r="195" spans="2:15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 s="1">
        <f t="shared" si="2"/>
        <v>0</v>
      </c>
    </row>
    <row r="196" spans="2:15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 s="1">
        <f t="shared" si="2"/>
        <v>0</v>
      </c>
    </row>
    <row r="197" spans="2:15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 s="1">
        <f t="shared" si="2"/>
        <v>0</v>
      </c>
    </row>
    <row r="198" spans="2:15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 s="1">
        <f t="shared" si="2"/>
        <v>0</v>
      </c>
    </row>
    <row r="199" spans="2:15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 s="1">
        <f t="shared" si="2"/>
        <v>0</v>
      </c>
    </row>
    <row r="200" spans="2:15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 s="1">
        <f t="shared" si="2"/>
        <v>0</v>
      </c>
    </row>
    <row r="201" spans="2:15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 s="1">
        <f t="shared" si="2"/>
        <v>0</v>
      </c>
    </row>
    <row r="202" spans="2:15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 s="1">
        <f t="shared" ref="O202:O208" si="3">M202*N202</f>
        <v>0</v>
      </c>
    </row>
    <row r="203" spans="2:15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 s="1">
        <f t="shared" si="3"/>
        <v>0</v>
      </c>
    </row>
    <row r="204" spans="2:15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1">
        <f t="shared" si="3"/>
        <v>0</v>
      </c>
    </row>
    <row r="205" spans="2:15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1">
        <f t="shared" si="3"/>
        <v>0</v>
      </c>
    </row>
    <row r="206" spans="2:15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 s="1">
        <f t="shared" si="3"/>
        <v>0</v>
      </c>
    </row>
    <row r="207" spans="2:15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 s="1">
        <f t="shared" si="3"/>
        <v>0</v>
      </c>
    </row>
    <row r="208" spans="2:15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 s="1">
        <f t="shared" si="3"/>
        <v>0</v>
      </c>
    </row>
  </sheetData>
  <autoFilter ref="A8:O208" xr:uid="{00000000-0009-0000-0000-000006000000}"/>
  <conditionalFormatting sqref="G2">
    <cfRule type="cellIs" dxfId="1" priority="2" operator="greaterThan">
      <formula>200</formula>
    </cfRule>
  </conditionalFormatting>
  <conditionalFormatting sqref="L1:L8 L209:L1048576">
    <cfRule type="cellIs" dxfId="0" priority="1" operator="lessThan">
      <formula>15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ercato2_Bouton1_Cliquer">
                <anchor moveWithCells="1" sizeWithCells="1">
                  <from>
                    <xdr:col>12</xdr:col>
                    <xdr:colOff>7620</xdr:colOff>
                    <xdr:row>0</xdr:row>
                    <xdr:rowOff>182880</xdr:rowOff>
                  </from>
                  <to>
                    <xdr:col>16</xdr:col>
                    <xdr:colOff>7620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uton2_Cliquer">
                <anchor moveWithCells="1" sizeWithCells="1">
                  <from>
                    <xdr:col>12</xdr:col>
                    <xdr:colOff>0</xdr:colOff>
                    <xdr:row>4</xdr:row>
                    <xdr:rowOff>7620</xdr:rowOff>
                  </from>
                  <to>
                    <xdr:col>15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BDD</vt:lpstr>
      <vt:lpstr>CalculCotation</vt:lpstr>
      <vt:lpstr>ButsMPG + Var</vt:lpstr>
      <vt:lpstr>PrixMini</vt:lpstr>
      <vt:lpstr>Calculs</vt:lpstr>
      <vt:lpstr>Mer</vt:lpstr>
      <vt:lpstr>Mercato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2020-09-20T15:52:16Z</dcterms:modified>
</cp:coreProperties>
</file>